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4" i="1" l="1"/>
  <c r="I14" i="1"/>
  <c r="H14" i="1"/>
  <c r="G14" i="1"/>
  <c r="F14" i="1"/>
  <c r="E14" i="1"/>
  <c r="D14" i="1"/>
  <c r="C14" i="1"/>
  <c r="B14" i="1"/>
  <c r="J13" i="1"/>
  <c r="I13" i="1"/>
  <c r="H13" i="1"/>
  <c r="G13" i="1"/>
  <c r="F13" i="1"/>
  <c r="E13" i="1"/>
  <c r="D13" i="1"/>
  <c r="C13" i="1"/>
  <c r="B13" i="1"/>
</calcChain>
</file>

<file path=xl/sharedStrings.xml><?xml version="1.0" encoding="utf-8"?>
<sst xmlns="http://schemas.openxmlformats.org/spreadsheetml/2006/main" count="15" uniqueCount="9">
  <si>
    <t>Number of measurements</t>
  </si>
  <si>
    <t>control</t>
  </si>
  <si>
    <t>before HD</t>
  </si>
  <si>
    <t>after HD</t>
  </si>
  <si>
    <t>base</t>
  </si>
  <si>
    <t>t-BOOH</t>
  </si>
  <si>
    <r>
      <t>+H</t>
    </r>
    <r>
      <rPr>
        <b/>
        <vertAlign val="subscript"/>
        <sz val="10"/>
        <color indexed="8"/>
        <rFont val="Calibri"/>
        <family val="2"/>
        <charset val="238"/>
      </rPr>
      <t>2</t>
    </r>
    <r>
      <rPr>
        <b/>
        <sz val="10"/>
        <color indexed="8"/>
        <rFont val="Calibri"/>
        <family val="2"/>
        <charset val="238"/>
      </rPr>
      <t>O</t>
    </r>
    <r>
      <rPr>
        <b/>
        <vertAlign val="subscript"/>
        <sz val="10"/>
        <color indexed="8"/>
        <rFont val="Calibri"/>
        <family val="2"/>
        <charset val="238"/>
      </rPr>
      <t>2</t>
    </r>
  </si>
  <si>
    <t>mean</t>
  </si>
  <si>
    <t>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</si>
</sst>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charset val="134"/>
      <scheme val="minor"/>
    </font>
    <font>
      <b/>
      <sz val="11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10"/>
      <color theme="1"/>
      <name val="Calibri"/>
      <family val="2"/>
      <charset val="238"/>
      <scheme val="minor"/>
    </font>
    <font>
      <sz val="12"/>
      <color theme="1"/>
      <name val="Calibri"/>
      <family val="2"/>
      <charset val="238"/>
      <scheme val="minor"/>
    </font>
    <font>
      <sz val="10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vertAlign val="subscript"/>
      <sz val="10"/>
      <color indexed="8"/>
      <name val="Calibri"/>
      <family val="2"/>
      <charset val="238"/>
    </font>
    <font>
      <b/>
      <sz val="10"/>
      <color indexed="8"/>
      <name val="Calibri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5" fillId="0" borderId="0" xfId="0" applyFont="1" applyFill="1" applyBorder="1" applyAlignment="1">
      <alignment horizontal="center" wrapText="1"/>
    </xf>
    <xf numFmtId="0" fontId="5" fillId="0" borderId="0" xfId="0" applyFont="1" applyFill="1" applyBorder="1" applyAlignment="1">
      <alignment horizontal="right" wrapText="1"/>
    </xf>
    <xf numFmtId="0" fontId="5" fillId="0" borderId="0" xfId="0" applyFont="1" applyFill="1" applyBorder="1" applyAlignment="1">
      <alignment wrapText="1"/>
    </xf>
    <xf numFmtId="0" fontId="6" fillId="0" borderId="0" xfId="0" applyFont="1" applyFill="1" applyBorder="1" applyAlignment="1"/>
    <xf numFmtId="2" fontId="6" fillId="0" borderId="0" xfId="0" applyNumberFormat="1" applyFont="1" applyFill="1" applyBorder="1" applyAlignment="1"/>
    <xf numFmtId="0" fontId="1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4" fillId="3" borderId="0" xfId="0" applyFont="1" applyFill="1" applyBorder="1" applyAlignment="1">
      <alignment horizontal="center" wrapText="1"/>
    </xf>
    <xf numFmtId="0" fontId="6" fillId="3" borderId="0" xfId="0" applyFont="1" applyFill="1" applyBorder="1" applyAlignment="1"/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tabSelected="1" workbookViewId="0">
      <selection activeCell="A13" sqref="A13:A14"/>
    </sheetView>
  </sheetViews>
  <sheetFormatPr defaultColWidth="8.7265625" defaultRowHeight="14.5"/>
  <cols>
    <col min="1" max="1" width="16.81640625" customWidth="1"/>
    <col min="2" max="2" width="6.08984375" customWidth="1"/>
    <col min="3" max="3" width="6.6328125" customWidth="1"/>
    <col min="4" max="5" width="6.08984375" customWidth="1"/>
    <col min="6" max="6" width="6.6328125" customWidth="1"/>
    <col min="7" max="8" width="6.08984375" customWidth="1"/>
    <col min="9" max="9" width="6.6328125" customWidth="1"/>
    <col min="10" max="10" width="6.08984375" customWidth="1"/>
  </cols>
  <sheetData>
    <row r="1" spans="1:10" ht="15.5">
      <c r="A1" s="6" t="s">
        <v>0</v>
      </c>
      <c r="B1" s="7" t="s">
        <v>1</v>
      </c>
      <c r="C1" s="7"/>
      <c r="D1" s="7"/>
      <c r="E1" s="7" t="s">
        <v>2</v>
      </c>
      <c r="F1" s="7"/>
      <c r="G1" s="7"/>
      <c r="H1" s="7" t="s">
        <v>3</v>
      </c>
      <c r="I1" s="7"/>
      <c r="J1" s="7"/>
    </row>
    <row r="2" spans="1:10" ht="27">
      <c r="A2" s="6"/>
      <c r="B2" s="8" t="s">
        <v>4</v>
      </c>
      <c r="C2" s="9" t="s">
        <v>5</v>
      </c>
      <c r="D2" s="9" t="s">
        <v>6</v>
      </c>
      <c r="E2" s="8" t="s">
        <v>4</v>
      </c>
      <c r="F2" s="9" t="s">
        <v>5</v>
      </c>
      <c r="G2" s="9" t="s">
        <v>6</v>
      </c>
      <c r="H2" s="8" t="s">
        <v>4</v>
      </c>
      <c r="I2" s="9" t="s">
        <v>5</v>
      </c>
      <c r="J2" s="9" t="s">
        <v>6</v>
      </c>
    </row>
    <row r="3" spans="1:10" ht="15.5">
      <c r="A3" s="10">
        <v>1</v>
      </c>
      <c r="B3" s="1">
        <v>0.377</v>
      </c>
      <c r="C3" s="2">
        <v>0.45100000000000001</v>
      </c>
      <c r="D3" s="2">
        <v>0.63200000000000001</v>
      </c>
      <c r="E3" s="1">
        <v>0.51500000000000001</v>
      </c>
      <c r="F3" s="2">
        <v>0.499</v>
      </c>
      <c r="G3" s="2">
        <v>0.41199999999999998</v>
      </c>
      <c r="H3" s="1">
        <v>0.497</v>
      </c>
      <c r="I3" s="2">
        <v>0.56100000000000005</v>
      </c>
      <c r="J3" s="2">
        <v>0.52200000000000002</v>
      </c>
    </row>
    <row r="4" spans="1:10" ht="15.5">
      <c r="A4" s="10">
        <v>2</v>
      </c>
      <c r="B4" s="1">
        <v>0.36499999999999999</v>
      </c>
      <c r="C4" s="2">
        <v>0.45200000000000001</v>
      </c>
      <c r="D4" s="2">
        <v>0.621</v>
      </c>
      <c r="E4" s="1">
        <v>0.48599999999999999</v>
      </c>
      <c r="F4" s="2">
        <v>0.47599999999999998</v>
      </c>
      <c r="G4" s="2">
        <v>0.48399999999999999</v>
      </c>
      <c r="H4" s="1">
        <v>0.49199999999999999</v>
      </c>
      <c r="I4" s="2">
        <v>0.52300000000000002</v>
      </c>
      <c r="J4" s="2">
        <v>0.504</v>
      </c>
    </row>
    <row r="5" spans="1:10" ht="15.5">
      <c r="A5" s="10">
        <v>3</v>
      </c>
      <c r="B5" s="1">
        <v>0.36299999999999999</v>
      </c>
      <c r="C5" s="2">
        <v>0.46700000000000003</v>
      </c>
      <c r="D5" s="2">
        <v>0.59</v>
      </c>
      <c r="E5" s="1">
        <v>0.48399999999999999</v>
      </c>
      <c r="F5" s="2">
        <v>0.47499999999999998</v>
      </c>
      <c r="G5" s="2">
        <v>0.46400000000000002</v>
      </c>
      <c r="H5" s="1">
        <v>0.48099999999999998</v>
      </c>
      <c r="I5" s="2">
        <v>0.48699999999999999</v>
      </c>
      <c r="J5" s="2">
        <v>0.46500000000000002</v>
      </c>
    </row>
    <row r="6" spans="1:10" ht="15.5">
      <c r="A6" s="10">
        <v>4</v>
      </c>
      <c r="B6" s="1">
        <v>0.36199999999999999</v>
      </c>
      <c r="C6" s="2">
        <v>0.46500000000000002</v>
      </c>
      <c r="D6" s="2">
        <v>0.55600000000000005</v>
      </c>
      <c r="E6" s="1">
        <v>0.48099999999999998</v>
      </c>
      <c r="F6" s="2">
        <v>0.47099999999999997</v>
      </c>
      <c r="G6" s="2">
        <v>0.46300000000000002</v>
      </c>
      <c r="H6" s="1">
        <v>0.46400000000000002</v>
      </c>
      <c r="I6" s="2">
        <v>0.48199999999999998</v>
      </c>
      <c r="J6" s="2">
        <v>0.45600000000000002</v>
      </c>
    </row>
    <row r="7" spans="1:10" ht="15.5">
      <c r="A7" s="10">
        <v>5</v>
      </c>
      <c r="B7" s="1">
        <v>0.35599999999999998</v>
      </c>
      <c r="C7" s="2">
        <v>0.45800000000000002</v>
      </c>
      <c r="D7" s="2">
        <v>0.54</v>
      </c>
      <c r="E7" s="1">
        <v>0.47199999999999998</v>
      </c>
      <c r="F7" s="2">
        <v>0.46800000000000003</v>
      </c>
      <c r="G7" s="2">
        <v>0.45300000000000001</v>
      </c>
      <c r="H7" s="1">
        <v>0.46400000000000002</v>
      </c>
      <c r="I7" s="2">
        <v>0.47799999999999998</v>
      </c>
      <c r="J7" s="2">
        <v>0.443</v>
      </c>
    </row>
    <row r="8" spans="1:10" ht="15.5">
      <c r="A8" s="10">
        <v>6</v>
      </c>
      <c r="B8" s="1">
        <v>0.34399999999999997</v>
      </c>
      <c r="C8" s="2">
        <v>0.45100000000000001</v>
      </c>
      <c r="D8" s="2">
        <v>0.52900000000000003</v>
      </c>
      <c r="E8" s="1">
        <v>0.46200000000000002</v>
      </c>
      <c r="F8" s="2">
        <v>0.46100000000000002</v>
      </c>
      <c r="G8" s="2">
        <v>0.44800000000000001</v>
      </c>
      <c r="H8" s="1">
        <v>0.45200000000000001</v>
      </c>
      <c r="I8" s="2">
        <v>0.45400000000000001</v>
      </c>
      <c r="J8" s="2">
        <v>0.43099999999999999</v>
      </c>
    </row>
    <row r="9" spans="1:10" ht="15.5">
      <c r="A9" s="10">
        <v>7</v>
      </c>
      <c r="B9" s="1">
        <v>0.33600000000000002</v>
      </c>
      <c r="C9" s="2">
        <v>0.44900000000000001</v>
      </c>
      <c r="D9" s="2">
        <v>0.51100000000000001</v>
      </c>
      <c r="E9" s="1">
        <v>0.45700000000000002</v>
      </c>
      <c r="F9" s="2">
        <v>0.45600000000000002</v>
      </c>
      <c r="G9" s="2">
        <v>0.44700000000000001</v>
      </c>
      <c r="H9" s="1">
        <v>0.44400000000000001</v>
      </c>
      <c r="I9" s="2">
        <v>0.441</v>
      </c>
      <c r="J9" s="2">
        <v>0.42399999999999999</v>
      </c>
    </row>
    <row r="10" spans="1:10" ht="15.5">
      <c r="A10" s="10">
        <v>8</v>
      </c>
      <c r="B10" s="1">
        <v>0.33</v>
      </c>
      <c r="C10" s="2">
        <v>0.443</v>
      </c>
      <c r="D10" s="2">
        <v>0.50900000000000001</v>
      </c>
      <c r="E10" s="1">
        <v>0.39600000000000002</v>
      </c>
      <c r="F10" s="2">
        <v>0.44500000000000001</v>
      </c>
      <c r="G10" s="2">
        <v>0.436</v>
      </c>
      <c r="H10" s="1">
        <v>0.439</v>
      </c>
      <c r="I10" s="2">
        <v>0.433</v>
      </c>
      <c r="J10" s="2">
        <v>0.42299999999999999</v>
      </c>
    </row>
    <row r="11" spans="1:10" ht="15.5">
      <c r="A11" s="10">
        <v>9</v>
      </c>
      <c r="B11" s="1">
        <v>0.32800000000000001</v>
      </c>
      <c r="C11" s="2">
        <v>0.441</v>
      </c>
      <c r="D11" s="3">
        <v>0.55900000000000005</v>
      </c>
      <c r="E11" s="1">
        <v>0.38400000000000001</v>
      </c>
      <c r="F11" s="2">
        <v>0.433</v>
      </c>
      <c r="G11" s="2">
        <v>0.41399999999999998</v>
      </c>
      <c r="H11" s="1">
        <v>0.432</v>
      </c>
      <c r="I11" s="2">
        <v>0.433</v>
      </c>
      <c r="J11" s="2">
        <v>0.38800000000000001</v>
      </c>
    </row>
    <row r="12" spans="1:10">
      <c r="A12" s="4"/>
      <c r="B12" s="4"/>
      <c r="C12" s="4"/>
      <c r="D12" s="4"/>
      <c r="E12" s="4"/>
      <c r="F12" s="4"/>
      <c r="G12" s="4"/>
      <c r="H12" s="4"/>
      <c r="I12" s="4"/>
      <c r="J12" s="4"/>
    </row>
    <row r="13" spans="1:10">
      <c r="A13" s="11" t="s">
        <v>7</v>
      </c>
      <c r="B13" s="5">
        <f t="shared" ref="B13:J13" si="0">AVERAGE(B3:B11)</f>
        <v>0.35122222222222199</v>
      </c>
      <c r="C13" s="5">
        <f t="shared" si="0"/>
        <v>0.45300000000000001</v>
      </c>
      <c r="D13" s="5">
        <f t="shared" si="0"/>
        <v>0.56077777777777804</v>
      </c>
      <c r="E13" s="5">
        <f t="shared" si="0"/>
        <v>0.459666666666667</v>
      </c>
      <c r="F13" s="5">
        <f t="shared" si="0"/>
        <v>0.46488888888888902</v>
      </c>
      <c r="G13" s="5">
        <f t="shared" si="0"/>
        <v>0.446777777777778</v>
      </c>
      <c r="H13" s="5">
        <f t="shared" si="0"/>
        <v>0.46277777777777801</v>
      </c>
      <c r="I13" s="5">
        <f t="shared" si="0"/>
        <v>0.47688888888888897</v>
      </c>
      <c r="J13" s="5">
        <f t="shared" si="0"/>
        <v>0.45066666666666699</v>
      </c>
    </row>
    <row r="14" spans="1:10">
      <c r="A14" s="11" t="s">
        <v>8</v>
      </c>
      <c r="B14" s="5">
        <f t="shared" ref="B14:J14" si="1">STDEV(B3:B11)</f>
        <v>1.73405433722373E-2</v>
      </c>
      <c r="C14" s="5">
        <f t="shared" si="1"/>
        <v>8.9022469073824408E-3</v>
      </c>
      <c r="D14" s="5">
        <f t="shared" si="1"/>
        <v>4.4971595973952803E-2</v>
      </c>
      <c r="E14" s="5">
        <f t="shared" si="1"/>
        <v>4.29330874734161E-2</v>
      </c>
      <c r="F14" s="5">
        <f t="shared" si="1"/>
        <v>1.9179705709710702E-2</v>
      </c>
      <c r="G14" s="5">
        <f t="shared" si="1"/>
        <v>2.34135525805984E-2</v>
      </c>
      <c r="H14" s="5">
        <f t="shared" si="1"/>
        <v>2.32958031508777E-2</v>
      </c>
      <c r="I14" s="5">
        <f t="shared" si="1"/>
        <v>4.3293892307242503E-2</v>
      </c>
      <c r="J14" s="5">
        <f t="shared" si="1"/>
        <v>4.18568990729127E-2</v>
      </c>
    </row>
  </sheetData>
  <mergeCells count="4">
    <mergeCell ref="B1:D1"/>
    <mergeCell ref="E1:G1"/>
    <mergeCell ref="H1:J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2025-01-10T12:26:33Z</dcterms:created>
  <dcterms:modified xsi:type="dcterms:W3CDTF">2025-11-29T12:45:09Z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14F8F17C1AAC4FE3A0F639827154B3AB_11</vt:lpwstr>
  </property>
  <property fmtid="{D5CDD505-2E9C-101B-9397-08002B2CF9AE}" pid="3" name="KSOProductBuildVer">
    <vt:lpwstr>2052-12.1.0.19302</vt:lpwstr>
  </property>
</Properties>
</file>