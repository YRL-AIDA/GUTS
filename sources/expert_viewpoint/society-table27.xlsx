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Days_Individuals_Are_Infectious">'[1]Detailed COVID Calculations - 1'!$C$11</definedName>
    <definedName name="Fatality_Rate_Adult">'[1]Detailed COVID Calculations - 1'!$C$52</definedName>
    <definedName name="Package_or_Individual2">'[1]2a. Coverage General Recovery'!$E$3</definedName>
    <definedName name="Packege2">'[1]2a. Coverage General Recovery'!$W$3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0" i="1" l="1"/>
  <c r="I70" i="1"/>
  <c r="H70" i="1"/>
  <c r="A70" i="1"/>
  <c r="J69" i="1"/>
  <c r="I69" i="1"/>
  <c r="H69" i="1"/>
  <c r="A69" i="1"/>
  <c r="J68" i="1"/>
  <c r="I68" i="1"/>
  <c r="H68" i="1"/>
  <c r="A68" i="1"/>
  <c r="J67" i="1"/>
  <c r="I67" i="1"/>
  <c r="H67" i="1"/>
  <c r="A67" i="1"/>
  <c r="J66" i="1"/>
  <c r="I66" i="1"/>
  <c r="H66" i="1"/>
  <c r="A66" i="1"/>
  <c r="J65" i="1"/>
  <c r="I65" i="1"/>
  <c r="H65" i="1"/>
  <c r="A65" i="1"/>
  <c r="J64" i="1"/>
  <c r="I64" i="1"/>
  <c r="H64" i="1"/>
  <c r="A64" i="1"/>
  <c r="J63" i="1"/>
  <c r="I63" i="1"/>
  <c r="H63" i="1"/>
  <c r="A63" i="1"/>
  <c r="J62" i="1"/>
  <c r="I62" i="1"/>
  <c r="H62" i="1"/>
  <c r="A62" i="1"/>
  <c r="J61" i="1"/>
  <c r="I61" i="1"/>
  <c r="H61" i="1"/>
  <c r="A61" i="1"/>
  <c r="J60" i="1"/>
  <c r="I60" i="1"/>
  <c r="H60" i="1"/>
  <c r="A60" i="1"/>
  <c r="J59" i="1"/>
  <c r="I59" i="1"/>
  <c r="H59" i="1"/>
  <c r="A59" i="1"/>
  <c r="J58" i="1"/>
  <c r="I58" i="1"/>
  <c r="H58" i="1"/>
  <c r="J57" i="1"/>
  <c r="I57" i="1"/>
  <c r="H57" i="1"/>
  <c r="A57" i="1"/>
  <c r="J56" i="1"/>
  <c r="I56" i="1"/>
  <c r="H56" i="1"/>
  <c r="A56" i="1"/>
  <c r="J55" i="1"/>
  <c r="I55" i="1"/>
  <c r="H55" i="1"/>
  <c r="A55" i="1"/>
  <c r="J54" i="1"/>
  <c r="I54" i="1"/>
  <c r="H54" i="1"/>
  <c r="A54" i="1"/>
  <c r="J53" i="1"/>
  <c r="I53" i="1"/>
  <c r="H53" i="1"/>
  <c r="A53" i="1"/>
  <c r="J52" i="1"/>
  <c r="I52" i="1"/>
  <c r="H52" i="1"/>
  <c r="A52" i="1"/>
  <c r="J50" i="1"/>
  <c r="I50" i="1"/>
  <c r="H50" i="1"/>
  <c r="A50" i="1"/>
  <c r="J49" i="1"/>
  <c r="I49" i="1"/>
  <c r="H49" i="1"/>
  <c r="J48" i="1"/>
  <c r="I48" i="1"/>
  <c r="H48" i="1"/>
  <c r="A48" i="1"/>
  <c r="J47" i="1"/>
  <c r="I47" i="1"/>
  <c r="H47" i="1"/>
  <c r="A47" i="1"/>
  <c r="J46" i="1"/>
  <c r="I46" i="1"/>
  <c r="H46" i="1"/>
  <c r="J45" i="1"/>
  <c r="I45" i="1"/>
  <c r="H45" i="1"/>
  <c r="A45" i="1"/>
  <c r="J44" i="1"/>
  <c r="I44" i="1"/>
  <c r="H44" i="1"/>
  <c r="A44" i="1"/>
  <c r="J43" i="1"/>
  <c r="I43" i="1"/>
  <c r="H43" i="1"/>
  <c r="A43" i="1"/>
  <c r="J42" i="1"/>
  <c r="I42" i="1"/>
  <c r="H42" i="1"/>
  <c r="J41" i="1"/>
  <c r="A41" i="1"/>
  <c r="J40" i="1"/>
  <c r="A40" i="1"/>
  <c r="J39" i="1"/>
  <c r="I39" i="1"/>
  <c r="H39" i="1"/>
  <c r="J38" i="1"/>
  <c r="I38" i="1"/>
  <c r="H38" i="1"/>
  <c r="A38" i="1"/>
  <c r="J37" i="1"/>
  <c r="I37" i="1"/>
  <c r="H37" i="1"/>
  <c r="A37" i="1"/>
  <c r="J36" i="1"/>
  <c r="I36" i="1"/>
  <c r="H36" i="1"/>
  <c r="A36" i="1"/>
  <c r="J35" i="1"/>
  <c r="I35" i="1"/>
  <c r="H35" i="1"/>
  <c r="A35" i="1"/>
  <c r="J34" i="1"/>
  <c r="I34" i="1"/>
  <c r="H34" i="1"/>
  <c r="J33" i="1"/>
  <c r="I33" i="1"/>
  <c r="H33" i="1"/>
  <c r="A33" i="1"/>
  <c r="J32" i="1"/>
  <c r="I32" i="1"/>
  <c r="H32" i="1"/>
  <c r="A32" i="1"/>
  <c r="J31" i="1"/>
  <c r="I31" i="1"/>
  <c r="H31" i="1"/>
  <c r="J30" i="1"/>
  <c r="I30" i="1"/>
  <c r="H30" i="1"/>
  <c r="J29" i="1"/>
  <c r="I29" i="1"/>
  <c r="H29" i="1"/>
  <c r="A29" i="1"/>
  <c r="J28" i="1"/>
  <c r="I28" i="1"/>
  <c r="H28" i="1"/>
  <c r="A28" i="1"/>
  <c r="J27" i="1"/>
  <c r="I27" i="1"/>
  <c r="H27" i="1"/>
  <c r="A27" i="1"/>
  <c r="J26" i="1"/>
  <c r="I26" i="1"/>
  <c r="H26" i="1"/>
  <c r="A26" i="1"/>
  <c r="J25" i="1"/>
  <c r="I25" i="1"/>
  <c r="H25" i="1"/>
  <c r="J24" i="1"/>
  <c r="I24" i="1"/>
  <c r="H24" i="1"/>
  <c r="A24" i="1"/>
  <c r="J23" i="1"/>
  <c r="I23" i="1"/>
  <c r="H23" i="1"/>
  <c r="A23" i="1"/>
  <c r="J22" i="1"/>
  <c r="I22" i="1"/>
  <c r="H22" i="1"/>
  <c r="A22" i="1"/>
  <c r="J21" i="1"/>
  <c r="I21" i="1"/>
  <c r="H21" i="1"/>
  <c r="A21" i="1"/>
  <c r="J20" i="1"/>
  <c r="I20" i="1"/>
  <c r="H20" i="1"/>
  <c r="A20" i="1"/>
  <c r="J19" i="1"/>
  <c r="I19" i="1"/>
  <c r="H19" i="1"/>
  <c r="A19" i="1"/>
  <c r="J18" i="1"/>
  <c r="I18" i="1"/>
  <c r="H18" i="1"/>
  <c r="J17" i="1"/>
  <c r="I17" i="1"/>
  <c r="H17" i="1"/>
  <c r="A17" i="1"/>
  <c r="J16" i="1"/>
  <c r="I16" i="1"/>
  <c r="H16" i="1"/>
  <c r="A16" i="1"/>
  <c r="J15" i="1"/>
  <c r="I15" i="1"/>
  <c r="H15" i="1"/>
  <c r="A15" i="1"/>
  <c r="J14" i="1"/>
  <c r="I14" i="1"/>
  <c r="H14" i="1"/>
  <c r="A14" i="1"/>
  <c r="J13" i="1"/>
  <c r="I13" i="1"/>
  <c r="H13" i="1"/>
  <c r="A13" i="1"/>
  <c r="J12" i="1"/>
  <c r="I12" i="1"/>
  <c r="H12" i="1"/>
  <c r="A12" i="1"/>
  <c r="J11" i="1"/>
  <c r="I11" i="1"/>
  <c r="H11" i="1"/>
  <c r="A11" i="1"/>
  <c r="J10" i="1"/>
  <c r="I10" i="1"/>
  <c r="H10" i="1"/>
  <c r="A10" i="1"/>
  <c r="J9" i="1"/>
  <c r="I9" i="1"/>
  <c r="H9" i="1"/>
  <c r="A9" i="1"/>
  <c r="J8" i="1"/>
  <c r="I8" i="1"/>
  <c r="H8" i="1"/>
  <c r="A8" i="1"/>
  <c r="J7" i="1"/>
  <c r="I7" i="1"/>
  <c r="H7" i="1"/>
  <c r="A7" i="1"/>
  <c r="J6" i="1"/>
  <c r="I6" i="1"/>
  <c r="H6" i="1"/>
  <c r="J5" i="1"/>
  <c r="I5" i="1"/>
  <c r="H5" i="1"/>
  <c r="J4" i="1"/>
  <c r="I4" i="1"/>
  <c r="H4" i="1"/>
</calcChain>
</file>

<file path=xl/sharedStrings.xml><?xml version="1.0" encoding="utf-8"?>
<sst xmlns="http://schemas.openxmlformats.org/spreadsheetml/2006/main" count="92" uniqueCount="87">
  <si>
    <t>Risk-Benefit Results</t>
  </si>
  <si>
    <t>HIDDEN</t>
  </si>
  <si>
    <t>Selected</t>
  </si>
  <si>
    <t>Int#</t>
  </si>
  <si>
    <t>Int# in LiST</t>
  </si>
  <si>
    <t>Lives Saved through Mitigation Measures</t>
  </si>
  <si>
    <t>Lives Lost through Added COVID Infections</t>
  </si>
  <si>
    <t>Benefit-Risk Ratio</t>
  </si>
  <si>
    <t>x</t>
  </si>
  <si>
    <t>Family Planning</t>
  </si>
  <si>
    <t>Contraceptive Use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</si>
  <si>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</si>
  <si>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</si>
  <si>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</si>
  <si>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</si>
  <si>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</si>
  <si>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</si>
  <si>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</si>
  <si>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</si>
  <si>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</si>
  <si>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</si>
  <si>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</si>
  <si>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</si>
  <si>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</si>
  <si>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</si>
  <si>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</t>
  </si>
  <si>
    <t>Health Facility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</si>
  <si>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</si>
  <si>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</si>
  <si>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</si>
  <si>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</si>
  <si>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</si>
  <si>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</si>
  <si>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</si>
  <si>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</si>
  <si>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</si>
  <si>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</si>
  <si>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</si>
  <si>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</si>
  <si>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</si>
  <si>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</si>
  <si>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</si>
  <si>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</si>
  <si>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</si>
  <si>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</si>
  <si>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</si>
  <si>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</si>
  <si>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</si>
  <si>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43/44</t>
  </si>
  <si>
    <t>66/67</t>
  </si>
  <si>
    <t>Case management of premature babies</t>
  </si>
  <si>
    <t>Kangaroo-Mother Care (KMC)</t>
  </si>
  <si>
    <t>Full supportive care of prematurity</t>
  </si>
  <si>
    <t>45/46/47</t>
  </si>
  <si>
    <t>68/69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</si>
  <si>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</si>
  <si>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</si>
  <si>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</si>
  <si>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</si>
  <si>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Breastfeeding</t>
  </si>
  <si>
    <t>Complementary feeding - Education only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</si>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</sst>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#,##0.0_);[Red]\(#,##0.0\)"/>
  </numFmts>
  <fonts count="11">
    <font>
      <sz val="11"/>
      <color theme="1"/>
      <name val="Calibri"/>
      <charset val="134"/>
      <scheme val="minor"/>
    </font>
    <font>
      <sz val="16"/>
      <color theme="1"/>
      <name val="Britannic Bold"/>
      <charset val="134"/>
    </font>
    <font>
      <sz val="9"/>
      <color rgb="FFC00000"/>
      <name val="Calibri"/>
      <charset val="134"/>
      <scheme val="minor"/>
    </font>
    <font>
      <b/>
      <sz val="8"/>
      <color theme="0"/>
      <name val="Arial Narrow"/>
      <charset val="134"/>
    </font>
    <font>
      <b/>
      <sz val="10"/>
      <color theme="0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sz val="11"/>
      <color theme="1"/>
      <name val="Calibri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theme="9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>
      <alignment vertical="center"/>
    </xf>
    <xf numFmtId="0" fontId="10" fillId="0" borderId="0"/>
    <xf numFmtId="0" fontId="5" fillId="0" borderId="0"/>
  </cellStyleXfs>
  <cellXfs count="56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>
      <alignment horizontal="centerContinuous"/>
    </xf>
    <xf numFmtId="0" fontId="3" fillId="2" borderId="0" xfId="0" applyFont="1" applyFill="1" applyAlignment="1">
      <alignment horizontal="center" vertical="center" wrapText="1"/>
    </xf>
    <xf numFmtId="0" fontId="0" fillId="0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vertical="center"/>
    </xf>
    <xf numFmtId="168" fontId="5" fillId="0" borderId="1" xfId="0" applyNumberFormat="1" applyFont="1" applyFill="1" applyBorder="1" applyAlignment="1"/>
    <xf numFmtId="0" fontId="7" fillId="4" borderId="1" xfId="1" applyFont="1" applyFill="1" applyBorder="1"/>
    <xf numFmtId="0" fontId="7" fillId="5" borderId="1" xfId="1" applyFont="1" applyFill="1" applyBorder="1"/>
    <xf numFmtId="0" fontId="7" fillId="5" borderId="1" xfId="1" applyFont="1" applyFill="1" applyBorder="1" applyAlignment="1">
      <alignment horizontal="right"/>
    </xf>
    <xf numFmtId="0" fontId="5" fillId="3" borderId="7" xfId="0" applyFont="1" applyFill="1" applyBorder="1" applyAlignment="1"/>
    <xf numFmtId="0" fontId="7" fillId="3" borderId="7" xfId="1" applyFont="1" applyFill="1" applyBorder="1"/>
    <xf numFmtId="0" fontId="7" fillId="6" borderId="8" xfId="1" applyFont="1" applyFill="1" applyBorder="1"/>
    <xf numFmtId="0" fontId="5" fillId="6" borderId="7" xfId="0" applyFont="1" applyFill="1" applyBorder="1" applyAlignment="1"/>
    <xf numFmtId="0" fontId="5" fillId="7" borderId="7" xfId="0" applyFont="1" applyFill="1" applyBorder="1" applyAlignment="1"/>
    <xf numFmtId="0" fontId="5" fillId="8" borderId="1" xfId="0" applyFont="1" applyFill="1" applyBorder="1" applyAlignment="1">
      <alignment horizontal="right"/>
    </xf>
    <xf numFmtId="168" fontId="5" fillId="0" borderId="1" xfId="0" applyNumberFormat="1" applyFont="1" applyFill="1" applyBorder="1" applyAlignment="1">
      <alignment horizontal="right"/>
    </xf>
    <xf numFmtId="0" fontId="5" fillId="9" borderId="1" xfId="0" applyFont="1" applyFill="1" applyBorder="1" applyAlignment="1">
      <alignment horizontal="right"/>
    </xf>
    <xf numFmtId="0" fontId="7" fillId="10" borderId="1" xfId="1" applyFont="1" applyFill="1" applyBorder="1"/>
    <xf numFmtId="0" fontId="5" fillId="10" borderId="1" xfId="0" applyFont="1" applyFill="1" applyBorder="1" applyAlignment="1"/>
    <xf numFmtId="0" fontId="6" fillId="1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/>
    <xf numFmtId="0" fontId="1" fillId="11" borderId="0" xfId="0" applyFont="1" applyFill="1" applyAlignment="1">
      <alignment vertical="center"/>
    </xf>
    <xf numFmtId="0" fontId="4" fillId="12" borderId="0" xfId="0" applyFont="1" applyFill="1" applyAlignment="1">
      <alignment horizontal="center" vertical="center" wrapText="1"/>
    </xf>
    <xf numFmtId="0" fontId="6" fillId="13" borderId="1" xfId="2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vertical="center"/>
    </xf>
    <xf numFmtId="0" fontId="6" fillId="13" borderId="1" xfId="2" applyFont="1" applyFill="1" applyBorder="1" applyAlignment="1">
      <alignment horizontal="center" vertical="center"/>
    </xf>
    <xf numFmtId="0" fontId="7" fillId="13" borderId="2" xfId="1" applyFont="1" applyFill="1" applyBorder="1"/>
    <xf numFmtId="0" fontId="6" fillId="13" borderId="5" xfId="2" applyFont="1" applyFill="1" applyBorder="1" applyAlignment="1">
      <alignment horizontal="center" vertical="center"/>
    </xf>
    <xf numFmtId="0" fontId="5" fillId="13" borderId="2" xfId="0" applyFont="1" applyFill="1" applyBorder="1" applyAlignment="1"/>
    <xf numFmtId="0" fontId="6" fillId="13" borderId="6" xfId="2" applyFont="1" applyFill="1" applyBorder="1" applyAlignment="1">
      <alignment horizontal="center" vertical="center"/>
    </xf>
    <xf numFmtId="0" fontId="5" fillId="13" borderId="7" xfId="0" applyFont="1" applyFill="1" applyBorder="1" applyAlignment="1"/>
    <xf numFmtId="0" fontId="5" fillId="13" borderId="2" xfId="0" applyFont="1" applyFill="1" applyBorder="1" applyAlignment="1">
      <alignment horizontal="left"/>
    </xf>
    <xf numFmtId="0" fontId="8" fillId="13" borderId="2" xfId="0" applyFont="1" applyFill="1" applyBorder="1" applyAlignment="1"/>
    <xf numFmtId="0" fontId="5" fillId="13" borderId="2" xfId="0" applyFont="1" applyFill="1" applyBorder="1" applyAlignment="1">
      <alignment horizontal="left" indent="1"/>
    </xf>
    <xf numFmtId="0" fontId="6" fillId="13" borderId="1" xfId="0" applyFont="1" applyFill="1" applyBorder="1" applyAlignment="1">
      <alignment horizontal="center" vertical="center"/>
    </xf>
    <xf numFmtId="0" fontId="9" fillId="13" borderId="2" xfId="0" applyFont="1" applyFill="1" applyBorder="1" applyAlignment="1"/>
    <xf numFmtId="0" fontId="6" fillId="13" borderId="1" xfId="0" applyFont="1" applyFill="1" applyBorder="1" applyAlignment="1">
      <alignment horizontal="center" vertical="center" wrapText="1"/>
    </xf>
    <xf numFmtId="0" fontId="5" fillId="13" borderId="9" xfId="0" applyFont="1" applyFill="1" applyBorder="1" applyAlignment="1">
      <alignment horizontal="left"/>
    </xf>
    <xf numFmtId="0" fontId="5" fillId="0" borderId="3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7" fillId="0" borderId="3" xfId="1" applyFont="1" applyFill="1" applyBorder="1"/>
    <xf numFmtId="0" fontId="7" fillId="0" borderId="4" xfId="1" applyFont="1" applyFill="1" applyBorder="1"/>
    <xf numFmtId="0" fontId="5" fillId="0" borderId="3" xfId="0" applyFont="1" applyFill="1" applyBorder="1" applyAlignment="1"/>
    <xf numFmtId="0" fontId="5" fillId="0" borderId="4" xfId="0" applyFont="1" applyFill="1" applyBorder="1" applyAlignment="1"/>
    <xf numFmtId="0" fontId="5" fillId="0" borderId="3" xfId="0" applyFont="1" applyFill="1" applyBorder="1" applyAlignment="1">
      <alignment horizontal="left"/>
    </xf>
    <xf numFmtId="0" fontId="5" fillId="0" borderId="4" xfId="0" applyFont="1" applyFill="1" applyBorder="1" applyAlignment="1">
      <alignment horizontal="left"/>
    </xf>
    <xf numFmtId="0" fontId="8" fillId="0" borderId="3" xfId="0" applyFont="1" applyFill="1" applyBorder="1" applyAlignment="1"/>
    <xf numFmtId="0" fontId="8" fillId="0" borderId="4" xfId="0" applyFont="1" applyFill="1" applyBorder="1" applyAlignment="1"/>
    <xf numFmtId="0" fontId="5" fillId="0" borderId="3" xfId="0" applyFont="1" applyFill="1" applyBorder="1" applyAlignment="1">
      <alignment horizontal="left" indent="1"/>
    </xf>
    <xf numFmtId="0" fontId="5" fillId="0" borderId="4" xfId="0" applyFont="1" applyFill="1" applyBorder="1" applyAlignment="1">
      <alignment horizontal="left" indent="1"/>
    </xf>
    <xf numFmtId="0" fontId="9" fillId="0" borderId="3" xfId="0" applyFont="1" applyFill="1" applyBorder="1" applyAlignment="1"/>
    <xf numFmtId="0" fontId="9" fillId="0" borderId="4" xfId="0" applyFont="1" applyFill="1" applyBorder="1" applyAlignment="1"/>
    <xf numFmtId="0" fontId="5" fillId="0" borderId="10" xfId="0" applyFont="1" applyFill="1" applyBorder="1" applyAlignment="1">
      <alignment horizontal="left"/>
    </xf>
    <xf numFmtId="0" fontId="5" fillId="0" borderId="11" xfId="0" applyFont="1" applyFill="1" applyBorder="1" applyAlignment="1">
      <alignment horizontal="left"/>
    </xf>
  </cellXfs>
  <cellStyles count="3">
    <cellStyle name="Normal 14" xfId="1"/>
    <cellStyle name="Normal 2" xfId="2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  <cell r="D7" t="str">
            <v>FP - Condoms</v>
          </cell>
          <cell r="E7" t="str">
            <v>x</v>
          </cell>
        </row>
        <row r="8">
          <cell r="A8">
            <v>3</v>
          </cell>
          <cell r="D8" t="str">
            <v>FP - Injectables</v>
          </cell>
          <cell r="E8" t="str">
            <v>x</v>
          </cell>
        </row>
        <row r="9">
          <cell r="A9">
            <v>4</v>
          </cell>
          <cell r="D9" t="str">
            <v>FP - Implants</v>
          </cell>
          <cell r="E9" t="str">
            <v>x</v>
          </cell>
        </row>
        <row r="10">
          <cell r="A10">
            <v>5</v>
          </cell>
          <cell r="D10" t="str">
            <v>FP - IUD</v>
          </cell>
          <cell r="E10" t="str">
            <v>x</v>
          </cell>
        </row>
        <row r="11">
          <cell r="A11">
            <v>6</v>
          </cell>
          <cell r="D11" t="str">
            <v>FP - Female Sterilization</v>
          </cell>
          <cell r="E11" t="str">
            <v>x</v>
          </cell>
        </row>
        <row r="12">
          <cell r="A12">
            <v>7</v>
          </cell>
          <cell r="D12" t="str">
            <v>FP - Male Sterilization</v>
          </cell>
        </row>
        <row r="13">
          <cell r="A13">
            <v>8</v>
          </cell>
          <cell r="D13" t="str">
            <v>FP - Traditional Methods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  <cell r="D15" t="str">
            <v>IPTp - Intermittent preventive treatment of malaria during pregnancy</v>
          </cell>
          <cell r="E15" t="str">
            <v>x</v>
          </cell>
        </row>
        <row r="16">
          <cell r="A16">
            <v>13</v>
          </cell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  <cell r="D17" t="str">
            <v>Calcium supplementation</v>
          </cell>
        </row>
        <row r="18">
          <cell r="A18">
            <v>15</v>
          </cell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  <cell r="D19" t="str">
            <v>Multiple micronutrient supplementation in pregnancy</v>
          </cell>
          <cell r="E19" t="str">
            <v>x</v>
          </cell>
        </row>
        <row r="20">
          <cell r="A20">
            <v>17</v>
          </cell>
          <cell r="D20" t="str">
            <v>Balanced energy supplementation</v>
          </cell>
          <cell r="E20" t="str">
            <v>x</v>
          </cell>
        </row>
        <row r="21">
          <cell r="A21">
            <v>18</v>
          </cell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  <cell r="D22" t="str">
            <v>Diabetes case management</v>
          </cell>
          <cell r="E22" t="str">
            <v>x</v>
          </cell>
        </row>
        <row r="23">
          <cell r="A23">
            <v>20</v>
          </cell>
          <cell r="D23" t="str">
            <v>Malaria case management</v>
          </cell>
          <cell r="E23" t="str">
            <v>x</v>
          </cell>
        </row>
        <row r="24">
          <cell r="A24">
            <v>21</v>
          </cell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  <cell r="D26" t="str">
            <v>Clean birth environment</v>
          </cell>
          <cell r="E26" t="str">
            <v>x</v>
          </cell>
        </row>
        <row r="27">
          <cell r="A27">
            <v>24</v>
          </cell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  <cell r="D31" t="str">
            <v>Assisted vaginal delivery</v>
          </cell>
          <cell r="E31" t="str">
            <v>x</v>
          </cell>
        </row>
        <row r="32">
          <cell r="A32">
            <v>29</v>
          </cell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  <cell r="D37" t="str">
            <v>Safe abortion services</v>
          </cell>
          <cell r="E37" t="str">
            <v>x</v>
          </cell>
        </row>
        <row r="38">
          <cell r="A38">
            <v>35</v>
          </cell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  <cell r="D39" t="str">
            <v>Cesarean delivery</v>
          </cell>
          <cell r="E39" t="str">
            <v>x</v>
          </cell>
        </row>
        <row r="40">
          <cell r="A40">
            <v>37</v>
          </cell>
          <cell r="D40" t="str">
            <v>Blood transfusion</v>
          </cell>
          <cell r="E40" t="str">
            <v>x</v>
          </cell>
        </row>
        <row r="41">
          <cell r="A41">
            <v>38</v>
          </cell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  <cell r="D43" t="str">
            <v>Thermal protection</v>
          </cell>
          <cell r="E43" t="str">
            <v>x</v>
          </cell>
        </row>
        <row r="44">
          <cell r="A44">
            <v>41</v>
          </cell>
          <cell r="D44" t="str">
            <v>Clean cord care</v>
          </cell>
          <cell r="E44" t="str">
            <v>x</v>
          </cell>
        </row>
        <row r="45">
          <cell r="A45">
            <v>42</v>
          </cell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  <cell r="D47" t="str">
            <v>Kangaroo-Mother Care (KMC)</v>
          </cell>
          <cell r="E47" t="str">
            <v>x</v>
          </cell>
        </row>
        <row r="48">
          <cell r="A48">
            <v>44</v>
          </cell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C53" t="str">
            <v>x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  <cell r="D59" t="str">
            <v>DPT - Three doses</v>
          </cell>
          <cell r="E59" t="str">
            <v>x</v>
          </cell>
        </row>
        <row r="60">
          <cell r="A60">
            <v>54</v>
          </cell>
          <cell r="D60" t="str">
            <v>Hib - Three doses</v>
          </cell>
          <cell r="E60" t="str">
            <v>x</v>
          </cell>
        </row>
        <row r="61">
          <cell r="A61">
            <v>55</v>
          </cell>
          <cell r="D61" t="str">
            <v>HepB - Three doses</v>
          </cell>
          <cell r="E61" t="str">
            <v>x</v>
          </cell>
        </row>
        <row r="62">
          <cell r="A62">
            <v>56</v>
          </cell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  <cell r="D63" t="str">
            <v>Rotavirus - Two doses</v>
          </cell>
          <cell r="E63" t="str">
            <v>x</v>
          </cell>
        </row>
        <row r="64">
          <cell r="A64">
            <v>58</v>
          </cell>
          <cell r="D64" t="str">
            <v>Meningococcal A - Single dose</v>
          </cell>
          <cell r="E64" t="str">
            <v>x</v>
          </cell>
        </row>
        <row r="65">
          <cell r="A65">
            <v>59</v>
          </cell>
          <cell r="D65" t="str">
            <v>Malaria vaccine - Three doses</v>
          </cell>
          <cell r="E65" t="str">
            <v>x</v>
          </cell>
        </row>
        <row r="66">
          <cell r="A66">
            <v>60</v>
          </cell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  <cell r="D68" t="str">
            <v>Zinc supplementation</v>
          </cell>
          <cell r="E68" t="str">
            <v>x</v>
          </cell>
        </row>
        <row r="69">
          <cell r="A69">
            <v>63</v>
          </cell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  <cell r="D74" t="str">
            <v>ACTs - Artemisinin compounds for treatment of malaria</v>
          </cell>
          <cell r="E74" t="str">
            <v>x</v>
          </cell>
        </row>
        <row r="75">
          <cell r="A75">
            <v>69</v>
          </cell>
          <cell r="B75" t="str">
            <v>Malnutrition</v>
          </cell>
          <cell r="D75" t="str">
            <v>SAM - treatment for severe acute malnutrition</v>
          </cell>
        </row>
        <row r="76">
          <cell r="A76">
            <v>70</v>
          </cell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5">
          <cell r="B15">
            <v>0</v>
          </cell>
          <cell r="C15">
            <v>0</v>
          </cell>
          <cell r="D15" t="str">
            <v>Family Planning</v>
          </cell>
          <cell r="E15" t="str">
            <v>Contraceptive Use</v>
          </cell>
          <cell r="F15">
            <v>3</v>
          </cell>
          <cell r="G15">
            <v>3</v>
          </cell>
          <cell r="H15">
            <v>4</v>
          </cell>
          <cell r="I15">
            <v>7</v>
          </cell>
        </row>
        <row r="16">
          <cell r="B16">
            <v>9</v>
          </cell>
          <cell r="C16">
            <v>14</v>
          </cell>
          <cell r="D16" t="str">
            <v>Antenatal Care</v>
          </cell>
          <cell r="E16" t="str">
            <v>Antenatal care (at least 1 visit)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B17">
            <v>10</v>
          </cell>
          <cell r="C17">
            <v>15</v>
          </cell>
          <cell r="E17" t="str">
            <v>Antenatal care (at least 4 visits)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>
            <v>11</v>
          </cell>
          <cell r="C18">
            <v>16</v>
          </cell>
          <cell r="E18" t="str">
            <v>TT - Tetanus toxoid vaccination</v>
          </cell>
          <cell r="F18">
            <v>80</v>
          </cell>
          <cell r="G18">
            <v>80</v>
          </cell>
          <cell r="H18">
            <v>1</v>
          </cell>
          <cell r="I18">
            <v>81</v>
          </cell>
        </row>
        <row r="19">
          <cell r="B19">
            <v>12</v>
          </cell>
          <cell r="C19">
            <v>17</v>
          </cell>
          <cell r="E19" t="str">
            <v>IPTp - Intermittent preventive treatment of malaria during pregnancy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B20">
            <v>13</v>
          </cell>
          <cell r="C20">
            <v>18</v>
          </cell>
          <cell r="E20" t="str">
            <v>Syphilis detection and treatment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B21">
            <v>14</v>
          </cell>
          <cell r="C21">
            <v>19</v>
          </cell>
          <cell r="E21" t="str">
            <v>Calcium supplementation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B22">
            <v>15</v>
          </cell>
          <cell r="C22">
            <v>20</v>
          </cell>
          <cell r="E22" t="str">
            <v>Iron supplementation in pregnancy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B23">
            <v>16</v>
          </cell>
          <cell r="C23">
            <v>21</v>
          </cell>
          <cell r="E23" t="str">
            <v>Multiple micronutrient supplementation in pregnancy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B24">
            <v>17</v>
          </cell>
          <cell r="C24">
            <v>22</v>
          </cell>
          <cell r="E24" t="str">
            <v>Balanced energy supplementation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B25">
            <v>18</v>
          </cell>
          <cell r="C25">
            <v>23</v>
          </cell>
          <cell r="E25" t="str">
            <v>Hypertensive disorder case management</v>
          </cell>
          <cell r="F25">
            <v>0</v>
          </cell>
          <cell r="G25">
            <v>0</v>
          </cell>
          <cell r="H25">
            <v>3</v>
          </cell>
          <cell r="I25">
            <v>3</v>
          </cell>
        </row>
        <row r="26">
          <cell r="B26">
            <v>19</v>
          </cell>
          <cell r="C26">
            <v>24</v>
          </cell>
          <cell r="E26" t="str">
            <v>Diabetes case management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B27">
            <v>20</v>
          </cell>
          <cell r="C27">
            <v>25</v>
          </cell>
          <cell r="E27" t="str">
            <v>Malaria case management</v>
          </cell>
          <cell r="F27">
            <v>0</v>
          </cell>
          <cell r="G27">
            <v>0</v>
          </cell>
          <cell r="H27">
            <v>1</v>
          </cell>
          <cell r="I27">
            <v>1</v>
          </cell>
        </row>
        <row r="28">
          <cell r="B28">
            <v>21</v>
          </cell>
          <cell r="C28">
            <v>26</v>
          </cell>
          <cell r="E28" t="str">
            <v>MgSO4 management of pre-eclampsia</v>
          </cell>
          <cell r="F28">
            <v>0</v>
          </cell>
          <cell r="G28">
            <v>0</v>
          </cell>
          <cell r="H28">
            <v>7</v>
          </cell>
          <cell r="I28">
            <v>7</v>
          </cell>
        </row>
        <row r="29">
          <cell r="B29">
            <v>22</v>
          </cell>
          <cell r="C29">
            <v>27</v>
          </cell>
          <cell r="D29" t="str">
            <v>Delivery Care</v>
          </cell>
          <cell r="E29" t="str">
            <v>Health Facility Delivery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B30">
            <v>23</v>
          </cell>
          <cell r="C30">
            <v>28</v>
          </cell>
          <cell r="E30" t="str">
            <v>Clean birth environment</v>
          </cell>
          <cell r="F30">
            <v>38</v>
          </cell>
          <cell r="G30">
            <v>38</v>
          </cell>
          <cell r="H30">
            <v>1</v>
          </cell>
          <cell r="I30">
            <v>39</v>
          </cell>
        </row>
        <row r="31">
          <cell r="B31">
            <v>24</v>
          </cell>
          <cell r="C31">
            <v>32</v>
          </cell>
          <cell r="E31" t="str">
            <v>Manual removal of placenta</v>
          </cell>
          <cell r="F31">
            <v>0</v>
          </cell>
          <cell r="G31">
            <v>0</v>
          </cell>
          <cell r="H31">
            <v>2</v>
          </cell>
          <cell r="I31">
            <v>2</v>
          </cell>
        </row>
        <row r="32">
          <cell r="B32">
            <v>25</v>
          </cell>
          <cell r="C32">
            <v>33</v>
          </cell>
          <cell r="E32" t="str">
            <v>Parenteral administration of anti-convulsants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B33">
            <v>26</v>
          </cell>
          <cell r="C33">
            <v>34</v>
          </cell>
          <cell r="E33" t="str">
            <v>Antibiotics for preterm or prolonged PROM</v>
          </cell>
          <cell r="F33">
            <v>21</v>
          </cell>
          <cell r="G33">
            <v>21</v>
          </cell>
          <cell r="H33">
            <v>1</v>
          </cell>
          <cell r="I33">
            <v>22</v>
          </cell>
        </row>
        <row r="34">
          <cell r="B34">
            <v>27</v>
          </cell>
          <cell r="C34">
            <v>35</v>
          </cell>
          <cell r="E34" t="str">
            <v>Parenteral administration of antibiotics</v>
          </cell>
          <cell r="F34">
            <v>21</v>
          </cell>
          <cell r="G34">
            <v>21</v>
          </cell>
          <cell r="H34">
            <v>3</v>
          </cell>
          <cell r="I34">
            <v>24</v>
          </cell>
        </row>
        <row r="35">
          <cell r="B35">
            <v>28</v>
          </cell>
          <cell r="C35">
            <v>36</v>
          </cell>
          <cell r="E35" t="str">
            <v>Assisted vaginal delivery</v>
          </cell>
          <cell r="F35">
            <v>26</v>
          </cell>
          <cell r="G35">
            <v>26</v>
          </cell>
          <cell r="H35">
            <v>0</v>
          </cell>
          <cell r="I35">
            <v>26</v>
          </cell>
        </row>
        <row r="36">
          <cell r="B36">
            <v>29</v>
          </cell>
          <cell r="C36">
            <v>38</v>
          </cell>
          <cell r="E36" t="str">
            <v>Parenteral administration of uterotonics</v>
          </cell>
          <cell r="F36">
            <v>0</v>
          </cell>
          <cell r="G36">
            <v>0</v>
          </cell>
          <cell r="H36">
            <v>27</v>
          </cell>
          <cell r="I36">
            <v>27</v>
          </cell>
        </row>
        <row r="37">
          <cell r="B37">
            <v>30</v>
          </cell>
          <cell r="C37">
            <v>39</v>
          </cell>
          <cell r="E37" t="str">
            <v>Removal of retained products of conception</v>
          </cell>
          <cell r="F37">
            <v>0</v>
          </cell>
          <cell r="G37">
            <v>0</v>
          </cell>
          <cell r="H37">
            <v>2</v>
          </cell>
          <cell r="I37">
            <v>2</v>
          </cell>
        </row>
        <row r="38">
          <cell r="B38">
            <v>31</v>
          </cell>
          <cell r="C38">
            <v>40</v>
          </cell>
          <cell r="E38" t="str">
            <v>Induction of labor for pregnancies lasting 41+ weeks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B39">
            <v>32</v>
          </cell>
          <cell r="C39">
            <v>41</v>
          </cell>
          <cell r="E39" t="str">
            <v>Antenatal corticosteroids for preterm labor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B40">
            <v>33</v>
          </cell>
          <cell r="C40">
            <v>65</v>
          </cell>
          <cell r="E40" t="str">
            <v>Maternal sepsis case management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B41">
            <v>34</v>
          </cell>
          <cell r="C41">
            <v>10</v>
          </cell>
          <cell r="E41" t="str">
            <v>Safe abortion services</v>
          </cell>
          <cell r="F41">
            <v>0</v>
          </cell>
          <cell r="G41">
            <v>0</v>
          </cell>
          <cell r="H41">
            <v>1</v>
          </cell>
          <cell r="I41">
            <v>1</v>
          </cell>
        </row>
        <row r="42">
          <cell r="B42">
            <v>35</v>
          </cell>
          <cell r="C42">
            <v>11</v>
          </cell>
          <cell r="E42" t="str">
            <v>Post abortion case management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B43">
            <v>36</v>
          </cell>
          <cell r="C43">
            <v>42</v>
          </cell>
          <cell r="E43" t="str">
            <v>Cesarean delivery</v>
          </cell>
          <cell r="F43">
            <v>48</v>
          </cell>
          <cell r="G43">
            <v>48</v>
          </cell>
          <cell r="H43">
            <v>1</v>
          </cell>
          <cell r="I43">
            <v>49</v>
          </cell>
        </row>
        <row r="44">
          <cell r="B44">
            <v>37</v>
          </cell>
          <cell r="C44">
            <v>43</v>
          </cell>
          <cell r="E44" t="str">
            <v>Blood transfusion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B45">
            <v>38</v>
          </cell>
          <cell r="C45">
            <v>12</v>
          </cell>
          <cell r="E45" t="str">
            <v>Ectopic pregnancy case management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B46">
            <v>39</v>
          </cell>
          <cell r="C46">
            <v>29</v>
          </cell>
          <cell r="D46" t="str">
            <v>Newborn Care</v>
          </cell>
          <cell r="E46" t="str">
            <v>Immediate drying and additional stimulation</v>
          </cell>
          <cell r="F46">
            <v>209</v>
          </cell>
          <cell r="G46">
            <v>209</v>
          </cell>
          <cell r="H46">
            <v>0</v>
          </cell>
          <cell r="I46">
            <v>209</v>
          </cell>
        </row>
        <row r="47">
          <cell r="B47">
            <v>40</v>
          </cell>
          <cell r="C47">
            <v>30</v>
          </cell>
          <cell r="E47" t="str">
            <v>Thermal protection</v>
          </cell>
          <cell r="F47">
            <v>350</v>
          </cell>
          <cell r="G47">
            <v>350</v>
          </cell>
          <cell r="H47">
            <v>0</v>
          </cell>
          <cell r="I47">
            <v>350</v>
          </cell>
        </row>
        <row r="48">
          <cell r="B48">
            <v>41</v>
          </cell>
          <cell r="C48">
            <v>31</v>
          </cell>
          <cell r="E48" t="str">
            <v>Clean cord care</v>
          </cell>
          <cell r="F48">
            <v>290</v>
          </cell>
          <cell r="G48">
            <v>290</v>
          </cell>
          <cell r="H48">
            <v>0</v>
          </cell>
          <cell r="I48">
            <v>290</v>
          </cell>
        </row>
        <row r="49">
          <cell r="B49">
            <v>42</v>
          </cell>
          <cell r="C49">
            <v>37</v>
          </cell>
          <cell r="E49" t="str">
            <v>Neonatal resuscitation</v>
          </cell>
          <cell r="F49">
            <v>237</v>
          </cell>
          <cell r="G49">
            <v>237</v>
          </cell>
          <cell r="H49">
            <v>0</v>
          </cell>
          <cell r="I49">
            <v>237</v>
          </cell>
        </row>
        <row r="50">
          <cell r="B50" t="str">
            <v>43/44</v>
          </cell>
          <cell r="C50" t="str">
            <v>66/67</v>
          </cell>
          <cell r="E50" t="str">
            <v>Case management of premature babies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B51">
            <v>43</v>
          </cell>
          <cell r="C51">
            <v>66</v>
          </cell>
          <cell r="E51" t="str">
            <v>Kangaroo-Mother Care (KMC)</v>
          </cell>
        </row>
        <row r="52">
          <cell r="B52">
            <v>44</v>
          </cell>
          <cell r="C52">
            <v>67</v>
          </cell>
          <cell r="E52" t="str">
            <v>Full supportive care of prematurity</v>
          </cell>
        </row>
        <row r="53">
          <cell r="B53" t="str">
            <v>45/46/47</v>
          </cell>
          <cell r="C53" t="str">
            <v>68/69</v>
          </cell>
          <cell r="E53" t="str">
            <v>Case management of neonatal sepsis/pneumonia</v>
          </cell>
          <cell r="F53">
            <v>1220</v>
          </cell>
          <cell r="G53">
            <v>1220</v>
          </cell>
          <cell r="H53">
            <v>0</v>
          </cell>
          <cell r="I53">
            <v>1220</v>
          </cell>
        </row>
        <row r="54">
          <cell r="B54">
            <v>45</v>
          </cell>
          <cell r="C54">
            <v>68</v>
          </cell>
          <cell r="E54" t="str">
            <v>Oral antibiotics for neonatal sepsis</v>
          </cell>
        </row>
        <row r="55">
          <cell r="B55">
            <v>46</v>
          </cell>
          <cell r="C55">
            <v>69</v>
          </cell>
          <cell r="E55" t="str">
            <v>Injectable antibiotics for neonatal sepsis</v>
          </cell>
        </row>
        <row r="56">
          <cell r="B56">
            <v>47</v>
          </cell>
          <cell r="C56">
            <v>70</v>
          </cell>
          <cell r="E56" t="str">
            <v>Full supportive care for neonatal sepsis/pneumonia</v>
          </cell>
        </row>
        <row r="57">
          <cell r="B57">
            <v>48</v>
          </cell>
          <cell r="C57">
            <v>44</v>
          </cell>
          <cell r="D57" t="str">
            <v>Breastfeeding</v>
          </cell>
          <cell r="E57" t="str">
            <v>Breastfeeding</v>
          </cell>
          <cell r="F57">
            <v>213</v>
          </cell>
          <cell r="G57">
            <v>419</v>
          </cell>
          <cell r="H57">
            <v>0</v>
          </cell>
          <cell r="I57">
            <v>419</v>
          </cell>
        </row>
        <row r="58">
          <cell r="B58">
            <v>49</v>
          </cell>
          <cell r="C58">
            <v>45</v>
          </cell>
          <cell r="E58" t="str">
            <v>Complementary feeding - Education only</v>
          </cell>
          <cell r="F58">
            <v>0</v>
          </cell>
          <cell r="G58">
            <v>6</v>
          </cell>
          <cell r="H58">
            <v>0</v>
          </cell>
          <cell r="I58">
            <v>6</v>
          </cell>
        </row>
        <row r="59">
          <cell r="B59">
            <v>50</v>
          </cell>
          <cell r="C59">
            <v>46</v>
          </cell>
          <cell r="E59" t="str">
            <v>Complementary feeding - Supplementary feeding + Education</v>
          </cell>
        </row>
        <row r="60">
          <cell r="B60">
            <v>51</v>
          </cell>
          <cell r="C60">
            <v>55</v>
          </cell>
          <cell r="D60" t="str">
            <v>Vaccines</v>
          </cell>
          <cell r="E60" t="str">
            <v>BCG - Single dose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B61">
            <v>52</v>
          </cell>
          <cell r="C61">
            <v>56</v>
          </cell>
          <cell r="E61" t="str">
            <v>Polio - Three doses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</row>
        <row r="62">
          <cell r="E62" t="str">
            <v>Pentavalent</v>
          </cell>
        </row>
        <row r="63">
          <cell r="B63">
            <v>53</v>
          </cell>
          <cell r="C63">
            <v>57</v>
          </cell>
          <cell r="E63" t="str">
            <v>DPT - Three doses</v>
          </cell>
          <cell r="F63">
            <v>0</v>
          </cell>
          <cell r="G63">
            <v>60</v>
          </cell>
          <cell r="H63">
            <v>0</v>
          </cell>
          <cell r="I63">
            <v>60</v>
          </cell>
        </row>
        <row r="64">
          <cell r="B64">
            <v>54</v>
          </cell>
          <cell r="C64">
            <v>58</v>
          </cell>
          <cell r="E64" t="str">
            <v>Hib - Three doses</v>
          </cell>
          <cell r="F64">
            <v>0</v>
          </cell>
          <cell r="G64">
            <v>63</v>
          </cell>
          <cell r="H64">
            <v>0</v>
          </cell>
          <cell r="I64">
            <v>63</v>
          </cell>
        </row>
        <row r="65">
          <cell r="B65">
            <v>55</v>
          </cell>
          <cell r="C65">
            <v>59</v>
          </cell>
          <cell r="E65" t="str">
            <v>HepB - Three doses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B66">
            <v>56</v>
          </cell>
          <cell r="C66">
            <v>60</v>
          </cell>
          <cell r="E66" t="str">
            <v>Pneumococcal - Three doses</v>
          </cell>
          <cell r="F66">
            <v>0</v>
          </cell>
          <cell r="G66">
            <v>66</v>
          </cell>
          <cell r="H66">
            <v>0</v>
          </cell>
          <cell r="I66">
            <v>66</v>
          </cell>
        </row>
        <row r="67">
          <cell r="B67">
            <v>57</v>
          </cell>
          <cell r="C67">
            <v>61</v>
          </cell>
          <cell r="E67" t="str">
            <v>Rotavirus - Two doses</v>
          </cell>
          <cell r="F67">
            <v>0</v>
          </cell>
          <cell r="G67">
            <v>9</v>
          </cell>
          <cell r="H67">
            <v>0</v>
          </cell>
          <cell r="I67">
            <v>9</v>
          </cell>
        </row>
        <row r="68">
          <cell r="B68">
            <v>58</v>
          </cell>
          <cell r="C68">
            <v>62</v>
          </cell>
          <cell r="E68" t="str">
            <v>Meningococcal A - Single dose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B69">
            <v>59</v>
          </cell>
          <cell r="C69">
            <v>63</v>
          </cell>
          <cell r="E69" t="str">
            <v>Malaria vaccine - Three doses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</row>
        <row r="70">
          <cell r="B70">
            <v>60</v>
          </cell>
          <cell r="C70">
            <v>64</v>
          </cell>
          <cell r="E70" t="str">
            <v>Measles - Single dose</v>
          </cell>
          <cell r="F70">
            <v>0</v>
          </cell>
          <cell r="G70">
            <v>16</v>
          </cell>
          <cell r="H70">
            <v>0</v>
          </cell>
          <cell r="I70">
            <v>16</v>
          </cell>
        </row>
        <row r="71">
          <cell r="B71">
            <v>61</v>
          </cell>
          <cell r="C71">
            <v>47</v>
          </cell>
          <cell r="D71" t="str">
            <v>Child Health</v>
          </cell>
          <cell r="E71" t="str">
            <v>Vitamin A supplementation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</row>
        <row r="72">
          <cell r="B72">
            <v>62</v>
          </cell>
          <cell r="C72">
            <v>48</v>
          </cell>
          <cell r="E72" t="str">
            <v>Zinc supplementation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</row>
        <row r="73">
          <cell r="B73">
            <v>63</v>
          </cell>
          <cell r="C73">
            <v>71</v>
          </cell>
          <cell r="E73" t="str">
            <v>ORS - Oral Rehydration Solution</v>
          </cell>
          <cell r="F73">
            <v>0</v>
          </cell>
          <cell r="G73">
            <v>9</v>
          </cell>
          <cell r="H73">
            <v>0</v>
          </cell>
          <cell r="I73">
            <v>9</v>
          </cell>
        </row>
        <row r="74">
          <cell r="B74">
            <v>64</v>
          </cell>
          <cell r="C74">
            <v>72</v>
          </cell>
          <cell r="E74" t="str">
            <v>Antibiotics for treatment of dysentery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B75">
            <v>65</v>
          </cell>
          <cell r="C75">
            <v>73</v>
          </cell>
          <cell r="E75" t="str">
            <v>Zinc for treatment of diarrhea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B76">
            <v>66</v>
          </cell>
          <cell r="C76">
            <v>74</v>
          </cell>
          <cell r="E76" t="str">
            <v>Oral antibiotics for pneumonia</v>
          </cell>
          <cell r="F76">
            <v>0</v>
          </cell>
          <cell r="G76">
            <v>25</v>
          </cell>
          <cell r="H76">
            <v>0</v>
          </cell>
          <cell r="I76">
            <v>25</v>
          </cell>
        </row>
        <row r="77">
          <cell r="B77">
            <v>67</v>
          </cell>
          <cell r="C77">
            <v>75</v>
          </cell>
          <cell r="E77" t="str">
            <v>Vitamin A for treatment of measles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8">
          <cell r="B78">
            <v>68</v>
          </cell>
          <cell r="C78">
            <v>76</v>
          </cell>
          <cell r="E78" t="str">
            <v>ACTs - Artemisinin compounds for treatment of malaria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</row>
        <row r="79">
          <cell r="B79">
            <v>69</v>
          </cell>
          <cell r="C79">
            <v>77</v>
          </cell>
          <cell r="D79" t="str">
            <v>Malnutrition</v>
          </cell>
          <cell r="E79" t="str">
            <v>SAM - treatment for severe acute malnutrition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B80">
            <v>70</v>
          </cell>
          <cell r="C80">
            <v>78</v>
          </cell>
          <cell r="E80" t="str">
            <v>MAM - treatment for moderate acute malnutrition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</row>
        <row r="81">
          <cell r="B81">
            <v>71</v>
          </cell>
          <cell r="C81">
            <v>54</v>
          </cell>
          <cell r="E81" t="str">
            <v>ITN/IRS - Households protected from malaria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</row>
      </sheetData>
      <sheetData sheetId="23"/>
      <sheetData sheetId="24"/>
      <sheetData sheetId="25"/>
      <sheetData sheetId="26">
        <row r="5">
          <cell r="B5">
            <v>0</v>
          </cell>
          <cell r="C5">
            <v>0</v>
          </cell>
          <cell r="D5" t="str">
            <v>Family Planning</v>
          </cell>
          <cell r="F5">
            <v>106900</v>
          </cell>
          <cell r="G5">
            <v>5.1805425631431197</v>
          </cell>
          <cell r="H5">
            <v>5.1805425631431197</v>
          </cell>
          <cell r="I5">
            <v>0.89</v>
          </cell>
          <cell r="J5">
            <v>8.7184205612582701E-3</v>
          </cell>
          <cell r="K5">
            <v>6.6841224302980002E-3</v>
          </cell>
          <cell r="L5">
            <v>4501.5559331328004</v>
          </cell>
          <cell r="M5">
            <v>11.4382485862757</v>
          </cell>
          <cell r="N5">
            <v>8.5275168743771407E-3</v>
          </cell>
          <cell r="O5">
            <v>6.5377629370224699E-3</v>
          </cell>
          <cell r="P5">
            <v>4402.9872051965203</v>
          </cell>
          <cell r="Q5">
            <v>8.5773056193346005</v>
          </cell>
          <cell r="R5">
            <v>8.3557040556864193E-3</v>
          </cell>
          <cell r="S5">
            <v>6.4060397760262499E-3</v>
          </cell>
          <cell r="T5">
            <v>4314.2756079603996</v>
          </cell>
          <cell r="U5">
            <v>8.4044896546242001</v>
          </cell>
          <cell r="V5">
            <v>8.3557040556864193E-3</v>
          </cell>
          <cell r="W5">
            <v>6.4060397760262499E-3</v>
          </cell>
          <cell r="X5">
            <v>4314.2756079603996</v>
          </cell>
          <cell r="Y5">
            <v>8.4044896546242001</v>
          </cell>
          <cell r="Z5">
            <v>7.01833452286849E-3</v>
          </cell>
          <cell r="AA5">
            <v>5.3807231341991696E-3</v>
          </cell>
          <cell r="AB5">
            <v>3261.3800482701999</v>
          </cell>
          <cell r="AC5">
            <v>6.3533805825731804</v>
          </cell>
        </row>
        <row r="6">
          <cell r="B6">
            <v>100</v>
          </cell>
          <cell r="C6">
            <v>100</v>
          </cell>
          <cell r="D6" t="str">
            <v>Antenatal Care</v>
          </cell>
          <cell r="F6">
            <v>152700</v>
          </cell>
          <cell r="G6">
            <v>8</v>
          </cell>
          <cell r="H6">
            <v>7.6142919389978196</v>
          </cell>
          <cell r="I6">
            <v>0.87</v>
          </cell>
          <cell r="J6">
            <v>1.34313484042908E-2</v>
          </cell>
          <cell r="K6">
            <v>7.6110974290981397E-3</v>
          </cell>
          <cell r="L6">
            <v>7321.9518377667</v>
          </cell>
          <cell r="M6">
            <v>25.171127096375798</v>
          </cell>
          <cell r="N6">
            <v>1.3137933554025399E-2</v>
          </cell>
          <cell r="O6">
            <v>1.0072415724752801E-2</v>
          </cell>
          <cell r="P6">
            <v>9689.7646513694308</v>
          </cell>
          <cell r="Q6">
            <v>18.876292144598899</v>
          </cell>
          <cell r="R6">
            <v>1.2873834666284801E-2</v>
          </cell>
          <cell r="S6">
            <v>9.8699399108183299E-3</v>
          </cell>
          <cell r="T6">
            <v>9494.98089360634</v>
          </cell>
          <cell r="U6">
            <v>18.496840708073101</v>
          </cell>
          <cell r="V6">
            <v>1.00381790303162E-2</v>
          </cell>
          <cell r="W6">
            <v>7.6959372565757796E-3</v>
          </cell>
          <cell r="X6">
            <v>7403.5686001984604</v>
          </cell>
          <cell r="Y6">
            <v>14.4226334527304</v>
          </cell>
          <cell r="Z6">
            <v>1.0354430938973499E-2</v>
          </cell>
          <cell r="AA6">
            <v>7.9383970532129998E-3</v>
          </cell>
          <cell r="AB6">
            <v>6873.1356142452996</v>
          </cell>
          <cell r="AC6">
            <v>14.877017195390801</v>
          </cell>
        </row>
        <row r="7">
          <cell r="B7">
            <v>200</v>
          </cell>
          <cell r="C7">
            <v>200</v>
          </cell>
          <cell r="D7" t="str">
            <v>Delivery Care</v>
          </cell>
          <cell r="F7">
            <v>56100</v>
          </cell>
          <cell r="G7">
            <v>5.1176470588235299</v>
          </cell>
          <cell r="H7">
            <v>5.1176470588235299</v>
          </cell>
          <cell r="I7">
            <v>0.77</v>
          </cell>
          <cell r="J7">
            <v>1.2379088700740001E-2</v>
          </cell>
          <cell r="K7">
            <v>7.0148169304193398E-3</v>
          </cell>
          <cell r="L7">
            <v>2479.2467477181099</v>
          </cell>
          <cell r="M7">
            <v>8.5230600218101493</v>
          </cell>
          <cell r="N7">
            <v>1.18149148902391E-2</v>
          </cell>
          <cell r="O7">
            <v>9.0581014158499906E-3</v>
          </cell>
          <cell r="P7">
            <v>3201.4047834038602</v>
          </cell>
          <cell r="Q7">
            <v>6.2365448634613898</v>
          </cell>
          <cell r="R7">
            <v>1.13071662462297E-2</v>
          </cell>
          <cell r="S7">
            <v>8.6688274554428003E-3</v>
          </cell>
          <cell r="T7">
            <v>3063.8236875771499</v>
          </cell>
          <cell r="U7">
            <v>5.9685279351005898</v>
          </cell>
          <cell r="V7">
            <v>1.13071662462297E-2</v>
          </cell>
          <cell r="W7">
            <v>8.6688274554428003E-3</v>
          </cell>
          <cell r="X7">
            <v>3063.8236875771499</v>
          </cell>
          <cell r="Y7">
            <v>5.9685279351005898</v>
          </cell>
          <cell r="Z7">
            <v>8.0282578581663006E-3</v>
          </cell>
          <cell r="AA7">
            <v>6.1549976912608304E-3</v>
          </cell>
          <cell r="AB7">
            <v>1957.8247506200801</v>
          </cell>
          <cell r="AC7">
            <v>3.81397002819963</v>
          </cell>
        </row>
        <row r="8">
          <cell r="B8">
            <v>200</v>
          </cell>
          <cell r="C8">
            <v>200</v>
          </cell>
          <cell r="D8" t="str">
            <v>Newborn Care</v>
          </cell>
          <cell r="F8">
            <v>56100</v>
          </cell>
          <cell r="G8">
            <v>4</v>
          </cell>
          <cell r="H8">
            <v>4</v>
          </cell>
          <cell r="I8">
            <v>0.79</v>
          </cell>
          <cell r="J8">
            <v>9.6887546730591908E-3</v>
          </cell>
          <cell r="K8">
            <v>5.4902943147335402E-3</v>
          </cell>
          <cell r="L8">
            <v>1940.4347196562701</v>
          </cell>
          <cell r="M8">
            <v>6.6707525579116904</v>
          </cell>
          <cell r="N8">
            <v>9.24661760082068E-3</v>
          </cell>
          <cell r="O8">
            <v>7.0890734939625197E-3</v>
          </cell>
          <cell r="P8">
            <v>2505.4912449711701</v>
          </cell>
          <cell r="Q8">
            <v>4.8808600009832803</v>
          </cell>
          <cell r="R8">
            <v>8.8487474680196705E-3</v>
          </cell>
          <cell r="S8">
            <v>6.7840397254817497E-3</v>
          </cell>
          <cell r="T8">
            <v>2397.68316017701</v>
          </cell>
          <cell r="U8">
            <v>4.6708428357225502</v>
          </cell>
          <cell r="V8">
            <v>8.8487474680196705E-3</v>
          </cell>
          <cell r="W8">
            <v>6.7840397254817497E-3</v>
          </cell>
          <cell r="X8">
            <v>2397.68316017701</v>
          </cell>
          <cell r="Y8">
            <v>4.6708428357225502</v>
          </cell>
          <cell r="Z8">
            <v>6.1918354252280504E-3</v>
          </cell>
          <cell r="AA8">
            <v>4.7470738260081699E-3</v>
          </cell>
          <cell r="AB8">
            <v>1509.98247209346</v>
          </cell>
          <cell r="AC8">
            <v>2.94154412433863</v>
          </cell>
        </row>
        <row r="9">
          <cell r="D9" t="str">
            <v>Breastfeeding</v>
          </cell>
          <cell r="F9">
            <v>120200</v>
          </cell>
          <cell r="G9">
            <v>3.7121464226289498</v>
          </cell>
          <cell r="H9">
            <v>3.7121464226289498</v>
          </cell>
          <cell r="I9">
            <v>0.87</v>
          </cell>
          <cell r="J9">
            <v>6.2549804454493704E-3</v>
          </cell>
          <cell r="K9">
            <v>3.5444889190879699E-3</v>
          </cell>
          <cell r="L9">
            <v>2684.0996788685602</v>
          </cell>
          <cell r="M9">
            <v>9.2272956245979891</v>
          </cell>
          <cell r="N9">
            <v>6.11785115001451E-3</v>
          </cell>
          <cell r="O9">
            <v>4.6903525483444602E-3</v>
          </cell>
          <cell r="P9">
            <v>3551.8163707593199</v>
          </cell>
          <cell r="Q9">
            <v>6.9191694401934498</v>
          </cell>
          <cell r="R9">
            <v>5.9944415415667E-3</v>
          </cell>
          <cell r="S9">
            <v>4.5957385152011303E-3</v>
          </cell>
          <cell r="T9">
            <v>3480.1689480212099</v>
          </cell>
          <cell r="U9">
            <v>6.77959559793082</v>
          </cell>
          <cell r="V9">
            <v>4.9311341906401697E-3</v>
          </cell>
          <cell r="W9">
            <v>3.78053621282413E-3</v>
          </cell>
          <cell r="X9">
            <v>2862.8488525232001</v>
          </cell>
          <cell r="Y9">
            <v>5.5770158771008402</v>
          </cell>
          <cell r="Z9">
            <v>5.0614924492107197E-3</v>
          </cell>
          <cell r="AA9">
            <v>3.8804775443948901E-3</v>
          </cell>
          <cell r="AB9">
            <v>2644.67738274163</v>
          </cell>
          <cell r="AC9">
            <v>5.1520036555055997</v>
          </cell>
        </row>
        <row r="10">
          <cell r="B10">
            <v>300</v>
          </cell>
          <cell r="C10">
            <v>300</v>
          </cell>
          <cell r="D10" t="str">
            <v>Vaccines</v>
          </cell>
          <cell r="F10">
            <v>523933.33333333302</v>
          </cell>
          <cell r="G10">
            <v>6</v>
          </cell>
          <cell r="H10">
            <v>6</v>
          </cell>
          <cell r="I10">
            <v>0.87</v>
          </cell>
          <cell r="J10">
            <v>2.0079219979132298E-2</v>
          </cell>
          <cell r="K10">
            <v>1.13782246548416E-2</v>
          </cell>
          <cell r="L10">
            <v>37557.016376208201</v>
          </cell>
          <cell r="M10">
            <v>129.112080154648</v>
          </cell>
          <cell r="N10">
            <v>1.96420309115669E-2</v>
          </cell>
          <cell r="O10">
            <v>1.5058890365534599E-2</v>
          </cell>
          <cell r="P10">
            <v>49706.084140749401</v>
          </cell>
          <cell r="Q10">
            <v>96.830686746576305</v>
          </cell>
          <cell r="R10">
            <v>1.92484671410229E-2</v>
          </cell>
          <cell r="S10">
            <v>1.4757158141450901E-2</v>
          </cell>
          <cell r="T10">
            <v>48710.132450138299</v>
          </cell>
          <cell r="U10">
            <v>94.890508037362196</v>
          </cell>
          <cell r="V10">
            <v>1.92484671410229E-2</v>
          </cell>
          <cell r="W10">
            <v>1.4757158141450901E-2</v>
          </cell>
          <cell r="X10">
            <v>48710.132450138299</v>
          </cell>
          <cell r="Y10">
            <v>94.890508037362196</v>
          </cell>
          <cell r="Z10">
            <v>1.6269681550074602E-2</v>
          </cell>
          <cell r="AA10">
            <v>1.2473422521723799E-2</v>
          </cell>
          <cell r="AB10">
            <v>37054.821232130103</v>
          </cell>
          <cell r="AC10">
            <v>72.185203264428296</v>
          </cell>
        </row>
        <row r="11">
          <cell r="B11">
            <v>400</v>
          </cell>
          <cell r="C11">
            <v>400</v>
          </cell>
          <cell r="D11" t="str">
            <v>Child Health</v>
          </cell>
          <cell r="F11">
            <v>3764200</v>
          </cell>
          <cell r="G11">
            <v>1.72326125073057</v>
          </cell>
          <cell r="H11">
            <v>1.5509351256575099</v>
          </cell>
          <cell r="I11">
            <v>0.89</v>
          </cell>
          <cell r="J11">
            <v>5.8087057002447198E-3</v>
          </cell>
          <cell r="K11">
            <v>3.2915998968053401E-3</v>
          </cell>
          <cell r="L11">
            <v>78058.5140887944</v>
          </cell>
          <cell r="M11">
            <v>268.34658607677801</v>
          </cell>
          <cell r="N11">
            <v>5.68133219181499E-3</v>
          </cell>
          <cell r="O11">
            <v>4.3556880137248302E-3</v>
          </cell>
          <cell r="P11">
            <v>103292.789173957</v>
          </cell>
          <cell r="Q11">
            <v>201.22107554000499</v>
          </cell>
          <cell r="R11">
            <v>5.5667033860239403E-3</v>
          </cell>
          <cell r="S11">
            <v>4.26780592928502E-3</v>
          </cell>
          <cell r="T11">
            <v>101208.712997792</v>
          </cell>
          <cell r="U11">
            <v>197.16115951848201</v>
          </cell>
          <cell r="V11">
            <v>5.0114303704489301E-3</v>
          </cell>
          <cell r="W11">
            <v>3.8420966173441798E-3</v>
          </cell>
          <cell r="X11">
            <v>91113.246548143899</v>
          </cell>
          <cell r="Y11">
            <v>177.49453386802</v>
          </cell>
          <cell r="Z11">
            <v>4.2081918416112503E-3</v>
          </cell>
          <cell r="AA11">
            <v>3.2262804119019598E-3</v>
          </cell>
          <cell r="AB11">
            <v>68858.547999149305</v>
          </cell>
          <cell r="AC11">
            <v>134.14093277292699</v>
          </cell>
        </row>
        <row r="12">
          <cell r="D12" t="str">
            <v>Malnutrition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</row>
        <row r="13">
          <cell r="D13" t="str">
            <v>Other</v>
          </cell>
          <cell r="F13">
            <v>0</v>
          </cell>
          <cell r="G13">
            <v>4</v>
          </cell>
          <cell r="H13">
            <v>4</v>
          </cell>
          <cell r="I13">
            <v>0</v>
          </cell>
          <cell r="J13">
            <v>6.7383770648795603E-3</v>
          </cell>
          <cell r="K13">
            <v>3.81841367009842E-3</v>
          </cell>
          <cell r="L13">
            <v>0</v>
          </cell>
          <cell r="M13">
            <v>0</v>
          </cell>
          <cell r="N13">
            <v>6.5906853436622503E-3</v>
          </cell>
          <cell r="O13">
            <v>5.05285876347439E-3</v>
          </cell>
          <cell r="P13">
            <v>0</v>
          </cell>
          <cell r="Q13">
            <v>0</v>
          </cell>
          <cell r="R13">
            <v>6.4577687215731103E-3</v>
          </cell>
          <cell r="S13">
            <v>4.9509560198727201E-3</v>
          </cell>
          <cell r="T13">
            <v>0</v>
          </cell>
          <cell r="U13">
            <v>0</v>
          </cell>
          <cell r="V13">
            <v>5.6303391446483903E-3</v>
          </cell>
          <cell r="W13">
            <v>4.3165933442304303E-3</v>
          </cell>
          <cell r="X13">
            <v>0</v>
          </cell>
          <cell r="Y13">
            <v>0</v>
          </cell>
          <cell r="Z13">
            <v>6.7383770648795603E-3</v>
          </cell>
          <cell r="AA13">
            <v>5.16608908307433E-3</v>
          </cell>
          <cell r="AB13">
            <v>0</v>
          </cell>
          <cell r="AC13">
            <v>0</v>
          </cell>
        </row>
        <row r="14">
          <cell r="D14" t="str">
            <v>By Intervention</v>
          </cell>
        </row>
        <row r="15">
          <cell r="B15">
            <v>1</v>
          </cell>
          <cell r="C15">
            <v>7</v>
          </cell>
          <cell r="D15" t="str">
            <v>Family Planning</v>
          </cell>
          <cell r="E15" t="str">
            <v>FP - Pills</v>
          </cell>
          <cell r="F15">
            <v>42300</v>
          </cell>
          <cell r="G15">
            <v>12</v>
          </cell>
          <cell r="H15">
            <v>12</v>
          </cell>
          <cell r="I15">
            <v>0.89</v>
          </cell>
          <cell r="J15">
            <v>2.0079219979132298E-2</v>
          </cell>
          <cell r="K15">
            <v>1.13782246548416E-2</v>
          </cell>
          <cell r="L15">
            <v>3032.18308826875</v>
          </cell>
          <cell r="M15">
            <v>10.4239235091136</v>
          </cell>
          <cell r="N15">
            <v>1.96420309115669E-2</v>
          </cell>
          <cell r="O15">
            <v>1.5058890365534599E-2</v>
          </cell>
          <cell r="P15">
            <v>4013.0436935113198</v>
          </cell>
          <cell r="Q15">
            <v>7.81767028129567</v>
          </cell>
          <cell r="R15">
            <v>1.92484671410229E-2</v>
          </cell>
          <cell r="S15">
            <v>1.4757158141450901E-2</v>
          </cell>
          <cell r="T15">
            <v>3932.6350731152502</v>
          </cell>
          <cell r="U15">
            <v>7.6610290558221497</v>
          </cell>
          <cell r="V15">
            <v>1.5739507385166801E-2</v>
          </cell>
          <cell r="W15">
            <v>1.20669556619612E-2</v>
          </cell>
          <cell r="X15">
            <v>3215.72301435605</v>
          </cell>
          <cell r="Y15">
            <v>6.2644377091776304</v>
          </cell>
          <cell r="Z15">
            <v>1.61819465428991E-2</v>
          </cell>
          <cell r="AA15">
            <v>1.24061590162226E-2</v>
          </cell>
          <cell r="AB15">
            <v>2975.5055846098498</v>
          </cell>
          <cell r="AC15">
            <v>5.7964785228342199</v>
          </cell>
        </row>
        <row r="16">
          <cell r="B16">
            <v>2</v>
          </cell>
          <cell r="C16">
            <v>1</v>
          </cell>
          <cell r="E16" t="str">
            <v>FP - Condoms</v>
          </cell>
          <cell r="F16">
            <v>1700</v>
          </cell>
          <cell r="G16">
            <v>12</v>
          </cell>
          <cell r="H16">
            <v>12</v>
          </cell>
          <cell r="I16">
            <v>0.89</v>
          </cell>
          <cell r="J16">
            <v>2.0079219979132298E-2</v>
          </cell>
          <cell r="K16">
            <v>1.53940686506681E-2</v>
          </cell>
          <cell r="L16">
            <v>164.870475248655</v>
          </cell>
          <cell r="M16">
            <v>0.41892836797856098</v>
          </cell>
          <cell r="N16">
            <v>1.96420309115669E-2</v>
          </cell>
          <cell r="O16">
            <v>1.5058890365534599E-2</v>
          </cell>
          <cell r="P16">
            <v>161.280715814876</v>
          </cell>
          <cell r="Q16">
            <v>0.31418533045396302</v>
          </cell>
          <cell r="R16">
            <v>1.92484671410229E-2</v>
          </cell>
          <cell r="S16">
            <v>1.4757158141450901E-2</v>
          </cell>
          <cell r="T16">
            <v>158.04916369493901</v>
          </cell>
          <cell r="U16">
            <v>0.307890056616966</v>
          </cell>
          <cell r="V16">
            <v>1.5739507385166801E-2</v>
          </cell>
          <cell r="W16">
            <v>1.20669556619612E-2</v>
          </cell>
          <cell r="X16">
            <v>129.237095139605</v>
          </cell>
          <cell r="Y16">
            <v>0.25176227200004703</v>
          </cell>
          <cell r="Z16">
            <v>1.61819465428991E-2</v>
          </cell>
          <cell r="AA16">
            <v>1.24061590162226E-2</v>
          </cell>
          <cell r="AB16">
            <v>119.58296675737</v>
          </cell>
          <cell r="AC16">
            <v>0.232955401626907</v>
          </cell>
        </row>
        <row r="17">
          <cell r="B17">
            <v>3</v>
          </cell>
          <cell r="C17">
            <v>4</v>
          </cell>
          <cell r="E17" t="str">
            <v>FP - Injectables</v>
          </cell>
          <cell r="F17">
            <v>2500</v>
          </cell>
          <cell r="G17">
            <v>4</v>
          </cell>
          <cell r="H17">
            <v>4</v>
          </cell>
          <cell r="I17">
            <v>0.89</v>
          </cell>
          <cell r="J17">
            <v>6.7383770648795603E-3</v>
          </cell>
          <cell r="K17">
            <v>5.16608908307433E-3</v>
          </cell>
          <cell r="L17">
            <v>81.365903058420699</v>
          </cell>
          <cell r="M17">
            <v>0.20674705356406101</v>
          </cell>
          <cell r="N17">
            <v>6.5906853436622503E-3</v>
          </cell>
          <cell r="O17">
            <v>5.05285876347439E-3</v>
          </cell>
          <cell r="P17">
            <v>79.582525524721703</v>
          </cell>
          <cell r="Q17">
            <v>0.15503193890239</v>
          </cell>
          <cell r="R17">
            <v>6.4577687215731103E-3</v>
          </cell>
          <cell r="S17">
            <v>4.9509560198727201E-3</v>
          </cell>
          <cell r="T17">
            <v>77.977557312995302</v>
          </cell>
          <cell r="U17">
            <v>0.15190535637563499</v>
          </cell>
          <cell r="V17">
            <v>5.3013768202898603E-3</v>
          </cell>
          <cell r="W17">
            <v>4.0643888955555598E-3</v>
          </cell>
          <cell r="X17">
            <v>64.014125105000005</v>
          </cell>
          <cell r="Y17">
            <v>0.124703681703158</v>
          </cell>
          <cell r="Z17">
            <v>5.4233416439648501E-3</v>
          </cell>
          <cell r="AA17">
            <v>4.1578952603730504E-3</v>
          </cell>
          <cell r="AB17">
            <v>58.938165315787998</v>
          </cell>
          <cell r="AC17">
            <v>0.114815381693533</v>
          </cell>
        </row>
        <row r="18">
          <cell r="B18">
            <v>4</v>
          </cell>
          <cell r="C18">
            <v>5</v>
          </cell>
          <cell r="E18" t="str">
            <v>FP - Implants</v>
          </cell>
          <cell r="F18">
            <v>0</v>
          </cell>
          <cell r="G18">
            <v>1</v>
          </cell>
          <cell r="H18">
            <v>1</v>
          </cell>
          <cell r="I18">
            <v>0.89</v>
          </cell>
          <cell r="J18">
            <v>1.68886786312739E-3</v>
          </cell>
          <cell r="K18">
            <v>1.2947986950643301E-3</v>
          </cell>
          <cell r="L18">
            <v>0</v>
          </cell>
          <cell r="M18">
            <v>0</v>
          </cell>
          <cell r="N18">
            <v>1.6517592944171901E-3</v>
          </cell>
          <cell r="O18">
            <v>1.26634879238651E-3</v>
          </cell>
          <cell r="P18">
            <v>0</v>
          </cell>
          <cell r="Q18">
            <v>0</v>
          </cell>
          <cell r="R18">
            <v>1.6183666091496001E-3</v>
          </cell>
          <cell r="S18">
            <v>1.24074773368136E-3</v>
          </cell>
          <cell r="T18">
            <v>0</v>
          </cell>
          <cell r="U18">
            <v>0</v>
          </cell>
          <cell r="V18">
            <v>1.3586016016061699E-3</v>
          </cell>
          <cell r="W18">
            <v>1.0415945612314E-3</v>
          </cell>
          <cell r="X18">
            <v>0</v>
          </cell>
          <cell r="Y18">
            <v>0</v>
          </cell>
          <cell r="Z18">
            <v>1.3586016016061699E-3</v>
          </cell>
          <cell r="AA18">
            <v>1.0415945612314E-3</v>
          </cell>
          <cell r="AB18">
            <v>0</v>
          </cell>
          <cell r="AC18">
            <v>0</v>
          </cell>
        </row>
        <row r="19">
          <cell r="B19">
            <v>5</v>
          </cell>
          <cell r="C19">
            <v>6</v>
          </cell>
          <cell r="E19" t="str">
            <v>FP - IUD</v>
          </cell>
          <cell r="F19">
            <v>12800</v>
          </cell>
          <cell r="G19">
            <v>1</v>
          </cell>
          <cell r="H19">
            <v>1</v>
          </cell>
          <cell r="I19">
            <v>0.89</v>
          </cell>
          <cell r="J19">
            <v>1.68886786312739E-3</v>
          </cell>
          <cell r="K19">
            <v>1.2947986950643301E-3</v>
          </cell>
          <cell r="L19">
            <v>104.412566769987</v>
          </cell>
          <cell r="M19">
            <v>0.26530757631063601</v>
          </cell>
          <cell r="N19">
            <v>1.6517592944171901E-3</v>
          </cell>
          <cell r="O19">
            <v>1.26634879238651E-3</v>
          </cell>
          <cell r="P19">
            <v>102.118366618048</v>
          </cell>
          <cell r="Q19">
            <v>0.19893322397041999</v>
          </cell>
          <cell r="R19">
            <v>1.6183666091496001E-3</v>
          </cell>
          <cell r="S19">
            <v>1.24074773368136E-3</v>
          </cell>
          <cell r="T19">
            <v>100.053897244065</v>
          </cell>
          <cell r="U19">
            <v>0.19491150327554499</v>
          </cell>
          <cell r="V19">
            <v>1.3586016016061699E-3</v>
          </cell>
          <cell r="W19">
            <v>1.0415945612314E-3</v>
          </cell>
          <cell r="X19">
            <v>83.994185417699796</v>
          </cell>
          <cell r="Y19">
            <v>0.16362613948193599</v>
          </cell>
          <cell r="Z19">
            <v>1.3586016016061699E-3</v>
          </cell>
          <cell r="AA19">
            <v>1.0415945612314E-3</v>
          </cell>
          <cell r="AB19">
            <v>75.594766875929807</v>
          </cell>
          <cell r="AC19">
            <v>0.147263525533743</v>
          </cell>
        </row>
        <row r="20">
          <cell r="B20">
            <v>6</v>
          </cell>
          <cell r="C20">
            <v>2</v>
          </cell>
          <cell r="E20" t="str">
            <v>FP - Female Sterilization</v>
          </cell>
          <cell r="F20">
            <v>1500</v>
          </cell>
          <cell r="G20">
            <v>2</v>
          </cell>
          <cell r="H20">
            <v>2</v>
          </cell>
          <cell r="I20">
            <v>0.89</v>
          </cell>
          <cell r="J20">
            <v>3.3748834515956402E-3</v>
          </cell>
          <cell r="K20">
            <v>2.5874106462233301E-3</v>
          </cell>
          <cell r="L20">
            <v>24.451030606810399</v>
          </cell>
          <cell r="M20">
            <v>6.2128955060366302E-2</v>
          </cell>
          <cell r="N20">
            <v>3.3007902800675799E-3</v>
          </cell>
          <cell r="O20">
            <v>2.5306058813851398E-3</v>
          </cell>
          <cell r="P20">
            <v>23.914225579089599</v>
          </cell>
          <cell r="Q20">
            <v>4.6586467750683598E-2</v>
          </cell>
          <cell r="R20">
            <v>3.2341141078176001E-3</v>
          </cell>
          <cell r="S20">
            <v>2.4794874826601599E-3</v>
          </cell>
          <cell r="T20">
            <v>23.431156711138499</v>
          </cell>
          <cell r="U20">
            <v>4.5645418158099603E-2</v>
          </cell>
          <cell r="V20">
            <v>2.6745934366562102E-3</v>
          </cell>
          <cell r="W20">
            <v>2.0505216347697598E-3</v>
          </cell>
          <cell r="X20">
            <v>19.377429448574301</v>
          </cell>
          <cell r="Y20">
            <v>3.7748493636628098E-2</v>
          </cell>
          <cell r="Z20">
            <v>2.7153574049004802E-3</v>
          </cell>
          <cell r="AA20">
            <v>2.0817740104236999E-3</v>
          </cell>
          <cell r="AB20">
            <v>17.705487958653599</v>
          </cell>
          <cell r="AC20">
            <v>3.4491442805371898E-2</v>
          </cell>
        </row>
        <row r="21">
          <cell r="B21">
            <v>7</v>
          </cell>
          <cell r="C21">
            <v>3</v>
          </cell>
          <cell r="E21" t="str">
            <v>FP - Male Sterilization</v>
          </cell>
          <cell r="F21">
            <v>0</v>
          </cell>
          <cell r="G21">
            <v>2</v>
          </cell>
          <cell r="H21">
            <v>2</v>
          </cell>
          <cell r="I21">
            <v>0.89</v>
          </cell>
          <cell r="J21">
            <v>3.3748834515956402E-3</v>
          </cell>
          <cell r="K21">
            <v>2.5874106462233301E-3</v>
          </cell>
          <cell r="L21">
            <v>0</v>
          </cell>
          <cell r="M21">
            <v>0</v>
          </cell>
          <cell r="N21">
            <v>3.3007902800675799E-3</v>
          </cell>
          <cell r="O21">
            <v>2.5306058813851398E-3</v>
          </cell>
          <cell r="P21">
            <v>0</v>
          </cell>
          <cell r="Q21">
            <v>0</v>
          </cell>
          <cell r="R21">
            <v>3.2341141078176001E-3</v>
          </cell>
          <cell r="S21">
            <v>2.4794874826601599E-3</v>
          </cell>
          <cell r="T21">
            <v>0</v>
          </cell>
          <cell r="U21">
            <v>0</v>
          </cell>
          <cell r="V21">
            <v>2.6745934366562102E-3</v>
          </cell>
          <cell r="W21">
            <v>2.0505216347697598E-3</v>
          </cell>
          <cell r="X21">
            <v>0</v>
          </cell>
          <cell r="Y21">
            <v>0</v>
          </cell>
          <cell r="Z21">
            <v>2.7153574049004802E-3</v>
          </cell>
          <cell r="AA21">
            <v>2.0817740104236999E-3</v>
          </cell>
          <cell r="AB21">
            <v>0</v>
          </cell>
          <cell r="AC21">
            <v>0</v>
          </cell>
        </row>
        <row r="22">
          <cell r="B22">
            <v>8</v>
          </cell>
          <cell r="C22">
            <v>8</v>
          </cell>
          <cell r="E22" t="str">
            <v>FP - Traditional Methods</v>
          </cell>
          <cell r="F22">
            <v>46100</v>
          </cell>
          <cell r="G22">
            <v>0</v>
          </cell>
          <cell r="H22">
            <v>0</v>
          </cell>
          <cell r="I22">
            <v>0.89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4.0873287671217E-5</v>
          </cell>
          <cell r="W22">
            <v>3.1336187214599698E-5</v>
          </cell>
          <cell r="X22">
            <v>9.1009688527361892</v>
          </cell>
          <cell r="Y22">
            <v>1.7729279610404599E-2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</row>
        <row r="23">
          <cell r="B23">
            <v>9</v>
          </cell>
          <cell r="C23">
            <v>14</v>
          </cell>
          <cell r="D23" t="str">
            <v>Antenatal Care</v>
          </cell>
          <cell r="E23" t="str">
            <v>Antenatal care (at least 1 visit)</v>
          </cell>
          <cell r="F23">
            <v>197100</v>
          </cell>
          <cell r="G23">
            <v>1</v>
          </cell>
          <cell r="H23">
            <v>1</v>
          </cell>
          <cell r="I23">
            <v>0.87</v>
          </cell>
          <cell r="J23">
            <v>1.68886786312739E-3</v>
          </cell>
          <cell r="K23">
            <v>1.2947986950643301E-3</v>
          </cell>
          <cell r="L23">
            <v>1607.7903836222299</v>
          </cell>
          <cell r="M23">
            <v>4.0853221320957998</v>
          </cell>
          <cell r="N23">
            <v>1.6517592944171901E-3</v>
          </cell>
          <cell r="O23">
            <v>1.26634879238651E-3</v>
          </cell>
          <cell r="P23">
            <v>1572.4632859701001</v>
          </cell>
          <cell r="Q23">
            <v>3.0632608159820198</v>
          </cell>
          <cell r="R23">
            <v>1.6183666091496001E-3</v>
          </cell>
          <cell r="S23">
            <v>1.24074773368136E-3</v>
          </cell>
          <cell r="T23">
            <v>1540.6736833441601</v>
          </cell>
          <cell r="U23">
            <v>3.0013326012195201</v>
          </cell>
          <cell r="V23">
            <v>1.3660233153483001E-3</v>
          </cell>
          <cell r="W23">
            <v>1.04728454176703E-3</v>
          </cell>
          <cell r="X23">
            <v>1300.4446340483701</v>
          </cell>
          <cell r="Y23">
            <v>2.5333507792373302</v>
          </cell>
          <cell r="Z23">
            <v>1.3660233153483001E-3</v>
          </cell>
          <cell r="AA23">
            <v>1.04728454176703E-3</v>
          </cell>
          <cell r="AB23">
            <v>1170.4001706435299</v>
          </cell>
          <cell r="AC23">
            <v>2.2800157013136002</v>
          </cell>
        </row>
        <row r="24">
          <cell r="B24">
            <v>10</v>
          </cell>
          <cell r="C24">
            <v>15</v>
          </cell>
          <cell r="E24" t="str">
            <v>Antenatal care (at least 4 visits)</v>
          </cell>
          <cell r="F24">
            <v>152700</v>
          </cell>
          <cell r="G24">
            <v>6</v>
          </cell>
          <cell r="H24">
            <v>5.7</v>
          </cell>
          <cell r="I24">
            <v>0.87</v>
          </cell>
          <cell r="J24">
            <v>1.00905192792284E-2</v>
          </cell>
          <cell r="K24">
            <v>7.7360647807418002E-3</v>
          </cell>
          <cell r="L24">
            <v>7442.1716797214203</v>
          </cell>
          <cell r="M24">
            <v>18.910219257267499</v>
          </cell>
          <cell r="N24">
            <v>9.8697211536085093E-3</v>
          </cell>
          <cell r="O24">
            <v>7.5667862177665303E-3</v>
          </cell>
          <cell r="P24">
            <v>7279.3240093535796</v>
          </cell>
          <cell r="Q24">
            <v>14.180596904005499</v>
          </cell>
          <cell r="R24">
            <v>9.6709976684632402E-3</v>
          </cell>
          <cell r="S24">
            <v>7.41443154582182E-3</v>
          </cell>
          <cell r="T24">
            <v>7132.7572913960503</v>
          </cell>
          <cell r="U24">
            <v>13.895075398955299</v>
          </cell>
          <cell r="V24">
            <v>7.5360781714231004E-3</v>
          </cell>
          <cell r="W24">
            <v>5.7776599314243804E-3</v>
          </cell>
          <cell r="X24">
            <v>5558.1666306295601</v>
          </cell>
          <cell r="Y24">
            <v>10.827670318421699</v>
          </cell>
          <cell r="Z24">
            <v>7.7613796360094202E-3</v>
          </cell>
          <cell r="AA24">
            <v>5.9503910542738903E-3</v>
          </cell>
          <cell r="AB24">
            <v>5151.90212830982</v>
          </cell>
          <cell r="AC24">
            <v>10.036240628467</v>
          </cell>
        </row>
        <row r="25">
          <cell r="B25">
            <v>11</v>
          </cell>
          <cell r="C25">
            <v>16</v>
          </cell>
          <cell r="E25" t="str">
            <v>TT - Tetanus toxoid vaccination</v>
          </cell>
          <cell r="F25">
            <v>168600</v>
          </cell>
          <cell r="G25">
            <v>2</v>
          </cell>
          <cell r="H25">
            <v>1.9</v>
          </cell>
          <cell r="I25">
            <v>0.87</v>
          </cell>
          <cell r="J25">
            <v>3.3748834515956402E-3</v>
          </cell>
          <cell r="K25">
            <v>2.5874106462233301E-3</v>
          </cell>
          <cell r="L25">
            <v>2748.2958402054901</v>
          </cell>
          <cell r="M25">
            <v>6.9832945487851701</v>
          </cell>
          <cell r="N25">
            <v>3.3007902800675799E-3</v>
          </cell>
          <cell r="O25">
            <v>2.5306058813851398E-3</v>
          </cell>
          <cell r="P25">
            <v>2687.9589550896699</v>
          </cell>
          <cell r="Q25">
            <v>5.2363189751768404</v>
          </cell>
          <cell r="R25">
            <v>3.2341141078176001E-3</v>
          </cell>
          <cell r="S25">
            <v>2.4794874826601599E-3</v>
          </cell>
          <cell r="T25">
            <v>2633.6620143319701</v>
          </cell>
          <cell r="U25">
            <v>5.1305450009704003</v>
          </cell>
          <cell r="V25">
            <v>2.5504852404408798E-3</v>
          </cell>
          <cell r="W25">
            <v>1.95537201767134E-3</v>
          </cell>
          <cell r="X25">
            <v>2076.9570497301502</v>
          </cell>
          <cell r="Y25">
            <v>4.0460474999204203</v>
          </cell>
          <cell r="Z25">
            <v>2.59384877964541E-3</v>
          </cell>
          <cell r="AA25">
            <v>1.9886173977281501E-3</v>
          </cell>
          <cell r="AB25">
            <v>1901.0426647669999</v>
          </cell>
          <cell r="AC25">
            <v>3.7033548296157202</v>
          </cell>
        </row>
        <row r="26">
          <cell r="B26">
            <v>12</v>
          </cell>
          <cell r="C26">
            <v>17</v>
          </cell>
          <cell r="E26" t="str">
            <v>IPTp - Intermittent preventive treatment of malaria during pregnancy</v>
          </cell>
          <cell r="F26">
            <v>0</v>
          </cell>
          <cell r="G26">
            <v>3</v>
          </cell>
          <cell r="H26">
            <v>2.85</v>
          </cell>
          <cell r="I26">
            <v>0.87</v>
          </cell>
          <cell r="J26">
            <v>5.0580515825200401E-3</v>
          </cell>
          <cell r="K26">
            <v>3.8778395465987E-3</v>
          </cell>
          <cell r="L26">
            <v>0</v>
          </cell>
          <cell r="M26">
            <v>0</v>
          </cell>
          <cell r="N26">
            <v>4.9470974634607803E-3</v>
          </cell>
          <cell r="O26">
            <v>3.7927747219865999E-3</v>
          </cell>
          <cell r="P26">
            <v>0</v>
          </cell>
          <cell r="Q26">
            <v>0</v>
          </cell>
          <cell r="R26">
            <v>4.8472467346851698E-3</v>
          </cell>
          <cell r="S26">
            <v>3.7162224965919702E-3</v>
          </cell>
          <cell r="T26">
            <v>0</v>
          </cell>
          <cell r="U26">
            <v>0</v>
          </cell>
          <cell r="V26">
            <v>3.7992265297300798E-3</v>
          </cell>
          <cell r="W26">
            <v>2.9127403394597299E-3</v>
          </cell>
          <cell r="X26">
            <v>0</v>
          </cell>
          <cell r="Y26">
            <v>0</v>
          </cell>
          <cell r="Z26">
            <v>3.8882490583746999E-3</v>
          </cell>
          <cell r="AA26">
            <v>2.9809909447539402E-3</v>
          </cell>
          <cell r="AB26">
            <v>0</v>
          </cell>
          <cell r="AC26">
            <v>0</v>
          </cell>
        </row>
        <row r="27">
          <cell r="B27">
            <v>13</v>
          </cell>
          <cell r="C27">
            <v>18</v>
          </cell>
          <cell r="E27" t="str">
            <v>Syphilis detection and treatment</v>
          </cell>
          <cell r="F27">
            <v>48800</v>
          </cell>
          <cell r="G27">
            <v>2</v>
          </cell>
          <cell r="H27">
            <v>1.9</v>
          </cell>
          <cell r="I27">
            <v>0.87</v>
          </cell>
          <cell r="J27">
            <v>3.3748834515956402E-3</v>
          </cell>
          <cell r="K27">
            <v>2.5874106462233301E-3</v>
          </cell>
          <cell r="L27">
            <v>795.47352907489994</v>
          </cell>
          <cell r="M27">
            <v>2.02126200463058</v>
          </cell>
          <cell r="N27">
            <v>3.3007902800675799E-3</v>
          </cell>
          <cell r="O27">
            <v>2.5306058813851398E-3</v>
          </cell>
          <cell r="P27">
            <v>778.00947217304804</v>
          </cell>
          <cell r="Q27">
            <v>1.5156130841555699</v>
          </cell>
          <cell r="R27">
            <v>3.2341141078176001E-3</v>
          </cell>
          <cell r="S27">
            <v>2.4794874826601599E-3</v>
          </cell>
          <cell r="T27">
            <v>762.29363166903897</v>
          </cell>
          <cell r="U27">
            <v>1.48499760407684</v>
          </cell>
          <cell r="V27">
            <v>2.5504852404408798E-3</v>
          </cell>
          <cell r="W27">
            <v>1.95537201767134E-3</v>
          </cell>
          <cell r="X27">
            <v>601.15957311287696</v>
          </cell>
          <cell r="Y27">
            <v>1.1710979715072101</v>
          </cell>
          <cell r="Z27">
            <v>2.59384877964541E-3</v>
          </cell>
          <cell r="AA27">
            <v>1.9886173977281501E-3</v>
          </cell>
          <cell r="AB27">
            <v>550.242479481788</v>
          </cell>
          <cell r="AC27">
            <v>1.0719081594617299</v>
          </cell>
        </row>
        <row r="28">
          <cell r="B28">
            <v>14</v>
          </cell>
          <cell r="C28">
            <v>19</v>
          </cell>
          <cell r="E28" t="str">
            <v>Calcium supplementation</v>
          </cell>
          <cell r="F28">
            <v>0</v>
          </cell>
          <cell r="G28">
            <v>4</v>
          </cell>
          <cell r="H28">
            <v>3.8</v>
          </cell>
          <cell r="I28">
            <v>0.87</v>
          </cell>
          <cell r="J28">
            <v>6.7383770648795603E-3</v>
          </cell>
          <cell r="K28">
            <v>5.16608908307433E-3</v>
          </cell>
          <cell r="L28">
            <v>0</v>
          </cell>
          <cell r="M28">
            <v>0</v>
          </cell>
          <cell r="N28">
            <v>6.5906853436622503E-3</v>
          </cell>
          <cell r="O28">
            <v>5.05285876347439E-3</v>
          </cell>
          <cell r="P28">
            <v>0</v>
          </cell>
          <cell r="Q28">
            <v>0</v>
          </cell>
          <cell r="R28">
            <v>6.4577687215731103E-3</v>
          </cell>
          <cell r="S28">
            <v>4.9509560198727201E-3</v>
          </cell>
          <cell r="T28">
            <v>0</v>
          </cell>
          <cell r="U28">
            <v>0</v>
          </cell>
          <cell r="V28">
            <v>5.04640447693094E-3</v>
          </cell>
          <cell r="W28">
            <v>3.86891009898039E-3</v>
          </cell>
          <cell r="X28">
            <v>0</v>
          </cell>
          <cell r="Y28">
            <v>0</v>
          </cell>
          <cell r="Z28">
            <v>5.1809695077992303E-3</v>
          </cell>
          <cell r="AA28">
            <v>3.9720766226460699E-3</v>
          </cell>
          <cell r="AB28">
            <v>0</v>
          </cell>
          <cell r="AC28">
            <v>0</v>
          </cell>
        </row>
        <row r="29">
          <cell r="B29">
            <v>15</v>
          </cell>
          <cell r="C29">
            <v>20</v>
          </cell>
          <cell r="E29" t="str">
            <v>Iron supplementation in pregnancy</v>
          </cell>
          <cell r="F29">
            <v>0</v>
          </cell>
          <cell r="G29">
            <v>4</v>
          </cell>
          <cell r="H29">
            <v>3.8</v>
          </cell>
          <cell r="I29">
            <v>0.87</v>
          </cell>
          <cell r="J29">
            <v>6.7383770648795603E-3</v>
          </cell>
          <cell r="K29">
            <v>5.16608908307433E-3</v>
          </cell>
          <cell r="L29">
            <v>0</v>
          </cell>
          <cell r="M29">
            <v>0</v>
          </cell>
          <cell r="N29">
            <v>6.5906853436622503E-3</v>
          </cell>
          <cell r="O29">
            <v>5.05285876347439E-3</v>
          </cell>
          <cell r="P29">
            <v>0</v>
          </cell>
          <cell r="Q29">
            <v>0</v>
          </cell>
          <cell r="R29">
            <v>6.4577687215731103E-3</v>
          </cell>
          <cell r="S29">
            <v>4.9509560198727201E-3</v>
          </cell>
          <cell r="T29">
            <v>0</v>
          </cell>
          <cell r="U29">
            <v>0</v>
          </cell>
          <cell r="V29">
            <v>5.04640447693094E-3</v>
          </cell>
          <cell r="W29">
            <v>3.86891009898039E-3</v>
          </cell>
          <cell r="X29">
            <v>0</v>
          </cell>
          <cell r="Y29">
            <v>0</v>
          </cell>
          <cell r="Z29">
            <v>5.1809695077992303E-3</v>
          </cell>
          <cell r="AA29">
            <v>3.9720766226460699E-3</v>
          </cell>
          <cell r="AB29">
            <v>0</v>
          </cell>
          <cell r="AC29">
            <v>0</v>
          </cell>
        </row>
        <row r="30">
          <cell r="B30">
            <v>16</v>
          </cell>
          <cell r="C30">
            <v>21</v>
          </cell>
          <cell r="E30" t="str">
            <v>Multiple micronutrient supplementation in pregnancy</v>
          </cell>
          <cell r="F30">
            <v>0</v>
          </cell>
          <cell r="G30">
            <v>4</v>
          </cell>
          <cell r="H30">
            <v>4</v>
          </cell>
          <cell r="I30">
            <v>0.87</v>
          </cell>
          <cell r="J30">
            <v>6.7383770648795603E-3</v>
          </cell>
          <cell r="K30">
            <v>5.16608908307433E-3</v>
          </cell>
          <cell r="L30">
            <v>0</v>
          </cell>
          <cell r="M30">
            <v>0</v>
          </cell>
          <cell r="N30">
            <v>6.5906853436622503E-3</v>
          </cell>
          <cell r="O30">
            <v>5.05285876347439E-3</v>
          </cell>
          <cell r="P30">
            <v>0</v>
          </cell>
          <cell r="Q30">
            <v>0</v>
          </cell>
          <cell r="R30">
            <v>6.4577687215731103E-3</v>
          </cell>
          <cell r="S30">
            <v>4.9509560198727201E-3</v>
          </cell>
          <cell r="T30">
            <v>0</v>
          </cell>
          <cell r="U30">
            <v>0</v>
          </cell>
          <cell r="V30">
            <v>5.3087692320732396E-3</v>
          </cell>
          <cell r="W30">
            <v>4.0700564112561496E-3</v>
          </cell>
          <cell r="X30">
            <v>0</v>
          </cell>
          <cell r="Y30">
            <v>0</v>
          </cell>
          <cell r="Z30">
            <v>5.4529073358284804E-3</v>
          </cell>
          <cell r="AA30">
            <v>4.1805622908018397E-3</v>
          </cell>
          <cell r="AB30">
            <v>0</v>
          </cell>
          <cell r="AC30">
            <v>0</v>
          </cell>
        </row>
        <row r="31">
          <cell r="B31">
            <v>17</v>
          </cell>
          <cell r="C31">
            <v>22</v>
          </cell>
          <cell r="E31" t="str">
            <v>Balanced energy supplementation</v>
          </cell>
          <cell r="F31">
            <v>0</v>
          </cell>
          <cell r="G31">
            <v>4</v>
          </cell>
          <cell r="H31">
            <v>3.8</v>
          </cell>
          <cell r="I31">
            <v>0.87</v>
          </cell>
          <cell r="J31">
            <v>6.7383770648795603E-3</v>
          </cell>
          <cell r="K31">
            <v>5.16608908307433E-3</v>
          </cell>
          <cell r="L31">
            <v>0</v>
          </cell>
          <cell r="M31">
            <v>0</v>
          </cell>
          <cell r="N31">
            <v>6.5906853436622503E-3</v>
          </cell>
          <cell r="O31">
            <v>5.05285876347439E-3</v>
          </cell>
          <cell r="P31">
            <v>0</v>
          </cell>
          <cell r="Q31">
            <v>0</v>
          </cell>
          <cell r="R31">
            <v>6.4577687215731103E-3</v>
          </cell>
          <cell r="S31">
            <v>4.9509560198727201E-3</v>
          </cell>
          <cell r="T31">
            <v>0</v>
          </cell>
          <cell r="U31">
            <v>0</v>
          </cell>
          <cell r="V31">
            <v>5.04640447693094E-3</v>
          </cell>
          <cell r="W31">
            <v>3.86891009898039E-3</v>
          </cell>
          <cell r="X31">
            <v>0</v>
          </cell>
          <cell r="Y31">
            <v>0</v>
          </cell>
          <cell r="Z31">
            <v>5.1809695077992303E-3</v>
          </cell>
          <cell r="AA31">
            <v>3.9720766226460699E-3</v>
          </cell>
          <cell r="AB31">
            <v>0</v>
          </cell>
          <cell r="AC31">
            <v>0</v>
          </cell>
        </row>
        <row r="32">
          <cell r="B32">
            <v>18</v>
          </cell>
          <cell r="C32">
            <v>23</v>
          </cell>
          <cell r="E32" t="str">
            <v>Hypertensive disorder case management</v>
          </cell>
          <cell r="F32">
            <v>1800</v>
          </cell>
          <cell r="G32">
            <v>4</v>
          </cell>
          <cell r="H32">
            <v>3.8</v>
          </cell>
          <cell r="I32">
            <v>0.87</v>
          </cell>
          <cell r="J32">
            <v>6.7383770648795603E-3</v>
          </cell>
          <cell r="K32">
            <v>5.16608908307433E-3</v>
          </cell>
          <cell r="L32">
            <v>58.583450202062899</v>
          </cell>
          <cell r="M32">
            <v>0.14885787856612401</v>
          </cell>
          <cell r="N32">
            <v>6.5906853436622503E-3</v>
          </cell>
          <cell r="O32">
            <v>5.05285876347439E-3</v>
          </cell>
          <cell r="P32">
            <v>57.299418377799597</v>
          </cell>
          <cell r="Q32">
            <v>0.111622996009721</v>
          </cell>
          <cell r="R32">
            <v>6.4577687215731103E-3</v>
          </cell>
          <cell r="S32">
            <v>4.9509560198727201E-3</v>
          </cell>
          <cell r="T32">
            <v>56.143841265356599</v>
          </cell>
          <cell r="U32">
            <v>0.10937185659045701</v>
          </cell>
          <cell r="V32">
            <v>5.04640447693094E-3</v>
          </cell>
          <cell r="W32">
            <v>3.86891009898039E-3</v>
          </cell>
          <cell r="X32">
            <v>43.873440522437598</v>
          </cell>
          <cell r="Y32">
            <v>8.5468317393361498E-2</v>
          </cell>
          <cell r="Z32">
            <v>5.1809695077992303E-3</v>
          </cell>
          <cell r="AA32">
            <v>3.9720766226460699E-3</v>
          </cell>
          <cell r="AB32">
            <v>40.539014010725801</v>
          </cell>
          <cell r="AC32">
            <v>7.8972637546186594E-2</v>
          </cell>
        </row>
        <row r="33">
          <cell r="B33">
            <v>19</v>
          </cell>
          <cell r="C33">
            <v>24</v>
          </cell>
          <cell r="E33" t="str">
            <v>Diabetes case management</v>
          </cell>
          <cell r="F33">
            <v>2000</v>
          </cell>
          <cell r="G33">
            <v>4</v>
          </cell>
          <cell r="H33">
            <v>4</v>
          </cell>
          <cell r="I33">
            <v>0.87</v>
          </cell>
          <cell r="J33">
            <v>6.7383770648795603E-3</v>
          </cell>
          <cell r="K33">
            <v>5.16608908307433E-3</v>
          </cell>
          <cell r="L33">
            <v>65.092722446736602</v>
          </cell>
          <cell r="M33">
            <v>0.165397642851249</v>
          </cell>
          <cell r="N33">
            <v>6.5906853436622503E-3</v>
          </cell>
          <cell r="O33">
            <v>5.05285876347439E-3</v>
          </cell>
          <cell r="P33">
            <v>63.666020419777297</v>
          </cell>
          <cell r="Q33">
            <v>0.12402555112191201</v>
          </cell>
          <cell r="R33">
            <v>6.4577687215731103E-3</v>
          </cell>
          <cell r="S33">
            <v>4.9509560198727201E-3</v>
          </cell>
          <cell r="T33">
            <v>62.382045850396203</v>
          </cell>
          <cell r="U33">
            <v>0.121524285100508</v>
          </cell>
          <cell r="V33">
            <v>5.3087692320732396E-3</v>
          </cell>
          <cell r="W33">
            <v>4.0700564112561496E-3</v>
          </cell>
          <cell r="X33">
            <v>51.282710781827497</v>
          </cell>
          <cell r="Y33">
            <v>9.9902058049257197E-2</v>
          </cell>
          <cell r="Z33">
            <v>5.4529073358284804E-3</v>
          </cell>
          <cell r="AA33">
            <v>4.1805622908018397E-3</v>
          </cell>
          <cell r="AB33">
            <v>47.407576377692799</v>
          </cell>
          <cell r="AC33">
            <v>9.2353044038716206E-2</v>
          </cell>
        </row>
        <row r="34">
          <cell r="B34">
            <v>20</v>
          </cell>
          <cell r="C34">
            <v>25</v>
          </cell>
          <cell r="E34" t="str">
            <v>Malaria case management</v>
          </cell>
          <cell r="F34">
            <v>4200</v>
          </cell>
          <cell r="G34">
            <v>2</v>
          </cell>
          <cell r="H34">
            <v>2</v>
          </cell>
          <cell r="I34">
            <v>0.87</v>
          </cell>
          <cell r="J34">
            <v>3.3748834515956402E-3</v>
          </cell>
          <cell r="K34">
            <v>2.5874106462233301E-3</v>
          </cell>
          <cell r="L34">
            <v>68.462885699069204</v>
          </cell>
          <cell r="M34">
            <v>0.17396107416902601</v>
          </cell>
          <cell r="N34">
            <v>3.3007902800675799E-3</v>
          </cell>
          <cell r="O34">
            <v>2.5306058813851398E-3</v>
          </cell>
          <cell r="P34">
            <v>66.959831621450903</v>
          </cell>
          <cell r="Q34">
            <v>0.130442109701914</v>
          </cell>
          <cell r="R34">
            <v>3.2341141078176001E-3</v>
          </cell>
          <cell r="S34">
            <v>2.4794874826601599E-3</v>
          </cell>
          <cell r="T34">
            <v>65.607238791187797</v>
          </cell>
          <cell r="U34">
            <v>0.12780717084267901</v>
          </cell>
          <cell r="V34">
            <v>2.6820053701962498E-3</v>
          </cell>
          <cell r="W34">
            <v>2.0562041171504602E-3</v>
          </cell>
          <cell r="X34">
            <v>54.407160939801102</v>
          </cell>
          <cell r="Y34">
            <v>0.105988690294222</v>
          </cell>
          <cell r="Z34">
            <v>2.7301806109985001E-3</v>
          </cell>
          <cell r="AA34">
            <v>2.0931384684321798E-3</v>
          </cell>
          <cell r="AB34">
            <v>49.845999487244001</v>
          </cell>
          <cell r="AC34">
            <v>9.7103250947149694E-2</v>
          </cell>
        </row>
        <row r="35">
          <cell r="B35">
            <v>21</v>
          </cell>
          <cell r="C35">
            <v>26</v>
          </cell>
          <cell r="E35" t="str">
            <v>MgSO4 management of pre-eclampsia</v>
          </cell>
          <cell r="F35">
            <v>300</v>
          </cell>
          <cell r="G35">
            <v>2</v>
          </cell>
          <cell r="H35">
            <v>1.9</v>
          </cell>
          <cell r="I35">
            <v>0.87</v>
          </cell>
          <cell r="J35">
            <v>4.8561685228908401E-3</v>
          </cell>
          <cell r="K35">
            <v>3.7230625342163102E-3</v>
          </cell>
          <cell r="L35">
            <v>7.0365881896688203</v>
          </cell>
          <cell r="M35">
            <v>1.7879650082826E-2</v>
          </cell>
          <cell r="N35">
            <v>4.6340459915361603E-3</v>
          </cell>
          <cell r="O35">
            <v>3.5527685935110602E-3</v>
          </cell>
          <cell r="P35">
            <v>6.7147326417358997</v>
          </cell>
          <cell r="Q35">
            <v>1.30807361766385E-2</v>
          </cell>
          <cell r="R35">
            <v>4.4342048202035099E-3</v>
          </cell>
          <cell r="S35">
            <v>3.39955702882269E-3</v>
          </cell>
          <cell r="T35">
            <v>6.4251627844748898</v>
          </cell>
          <cell r="U35">
            <v>1.2516635249671599E-2</v>
          </cell>
          <cell r="V35">
            <v>4.2129622821734901E-3</v>
          </cell>
          <cell r="W35">
            <v>3.2299377496663399E-3</v>
          </cell>
          <cell r="X35">
            <v>6.1045823468693898</v>
          </cell>
          <cell r="Y35">
            <v>1.18921236940448E-2</v>
          </cell>
          <cell r="Z35">
            <v>2.6468530831799098E-3</v>
          </cell>
          <cell r="AA35">
            <v>2.0292540304379298E-3</v>
          </cell>
          <cell r="AB35">
            <v>3.4517611057749198</v>
          </cell>
          <cell r="AC35">
            <v>6.7242552724707198E-3</v>
          </cell>
        </row>
        <row r="36">
          <cell r="B36">
            <v>22</v>
          </cell>
          <cell r="C36">
            <v>27</v>
          </cell>
          <cell r="D36" t="str">
            <v>Delivery Care</v>
          </cell>
          <cell r="E36" t="str">
            <v>Facility-based delivery</v>
          </cell>
          <cell r="F36">
            <v>56100</v>
          </cell>
          <cell r="G36">
            <v>4</v>
          </cell>
          <cell r="H36">
            <v>4</v>
          </cell>
          <cell r="I36">
            <v>0.77</v>
          </cell>
          <cell r="J36">
            <v>9.6887546730591908E-3</v>
          </cell>
          <cell r="K36">
            <v>7.4280452493453797E-3</v>
          </cell>
          <cell r="L36">
            <v>2625.2940324761398</v>
          </cell>
          <cell r="M36">
            <v>6.6707525579116904</v>
          </cell>
          <cell r="N36">
            <v>9.24661760082068E-3</v>
          </cell>
          <cell r="O36">
            <v>7.0890734939625197E-3</v>
          </cell>
          <cell r="P36">
            <v>2505.4912449711701</v>
          </cell>
          <cell r="Q36">
            <v>4.8808600009832803</v>
          </cell>
          <cell r="R36">
            <v>8.8487474680196705E-3</v>
          </cell>
          <cell r="S36">
            <v>6.7840397254817497E-3</v>
          </cell>
          <cell r="T36">
            <v>2397.68316017701</v>
          </cell>
          <cell r="U36">
            <v>4.6708428357225502</v>
          </cell>
          <cell r="V36">
            <v>8.8487474680196705E-3</v>
          </cell>
          <cell r="W36">
            <v>6.7840397254817497E-3</v>
          </cell>
          <cell r="X36">
            <v>2397.68316017701</v>
          </cell>
          <cell r="Y36">
            <v>4.6708428357225502</v>
          </cell>
          <cell r="Z36">
            <v>5.5157567620066602E-3</v>
          </cell>
          <cell r="AA36">
            <v>4.22874685087177E-3</v>
          </cell>
          <cell r="AB36">
            <v>1345.1093995532499</v>
          </cell>
          <cell r="AC36">
            <v>2.6203606491954199</v>
          </cell>
        </row>
        <row r="37">
          <cell r="B37">
            <v>23</v>
          </cell>
          <cell r="C37">
            <v>28</v>
          </cell>
          <cell r="E37" t="str">
            <v>Clean birth environment</v>
          </cell>
          <cell r="F37">
            <v>46000</v>
          </cell>
          <cell r="G37">
            <v>0</v>
          </cell>
          <cell r="H37">
            <v>0</v>
          </cell>
          <cell r="I37">
            <v>0.77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2.5638698630137097E-4</v>
          </cell>
          <cell r="AA37">
            <v>1.9656335616438501E-4</v>
          </cell>
          <cell r="AB37">
            <v>51.267654554794802</v>
          </cell>
          <cell r="AC37">
            <v>9.9872727539147804E-2</v>
          </cell>
        </row>
        <row r="38">
          <cell r="B38">
            <v>24</v>
          </cell>
          <cell r="C38">
            <v>32</v>
          </cell>
          <cell r="E38" t="str">
            <v>Manual removal of placenta</v>
          </cell>
          <cell r="F38">
            <v>400</v>
          </cell>
          <cell r="G38">
            <v>4</v>
          </cell>
          <cell r="H38">
            <v>4</v>
          </cell>
          <cell r="I38">
            <v>0.77</v>
          </cell>
          <cell r="J38">
            <v>9.6887546730591908E-3</v>
          </cell>
          <cell r="K38">
            <v>7.4280452493453797E-3</v>
          </cell>
          <cell r="L38">
            <v>18.7186740283503</v>
          </cell>
          <cell r="M38">
            <v>4.7563298095627003E-2</v>
          </cell>
          <cell r="N38">
            <v>9.24661760082068E-3</v>
          </cell>
          <cell r="O38">
            <v>7.0890734939625197E-3</v>
          </cell>
          <cell r="P38">
            <v>17.864465204785599</v>
          </cell>
          <cell r="Q38">
            <v>3.4801140826975302E-2</v>
          </cell>
          <cell r="R38">
            <v>8.8487474680196705E-3</v>
          </cell>
          <cell r="S38">
            <v>6.7840397254817497E-3</v>
          </cell>
          <cell r="T38">
            <v>17.095780108214001</v>
          </cell>
          <cell r="U38">
            <v>3.33036922333158E-2</v>
          </cell>
          <cell r="V38">
            <v>8.8487474680196705E-3</v>
          </cell>
          <cell r="W38">
            <v>6.7840397254817497E-3</v>
          </cell>
          <cell r="X38">
            <v>17.095780108214001</v>
          </cell>
          <cell r="Y38">
            <v>3.33036922333158E-2</v>
          </cell>
          <cell r="Z38">
            <v>5.5157567620066602E-3</v>
          </cell>
          <cell r="AA38">
            <v>4.22874685087177E-3</v>
          </cell>
          <cell r="AB38">
            <v>9.5907978577771793</v>
          </cell>
          <cell r="AC38">
            <v>1.86834983899851E-2</v>
          </cell>
        </row>
        <row r="39">
          <cell r="B39">
            <v>25</v>
          </cell>
          <cell r="C39">
            <v>33</v>
          </cell>
          <cell r="E39" t="str">
            <v>MgSO4 management of eclampsia</v>
          </cell>
          <cell r="F39">
            <v>100</v>
          </cell>
          <cell r="G39">
            <v>10</v>
          </cell>
          <cell r="H39">
            <v>10</v>
          </cell>
          <cell r="I39">
            <v>0.77</v>
          </cell>
          <cell r="J39">
            <v>2.4046161309047801E-2</v>
          </cell>
          <cell r="K39">
            <v>1.84353903369366E-2</v>
          </cell>
          <cell r="L39">
            <v>11.6142959122701</v>
          </cell>
          <cell r="M39">
            <v>2.9511396897529501E-2</v>
          </cell>
          <cell r="N39">
            <v>2.2956478964305499E-2</v>
          </cell>
          <cell r="O39">
            <v>1.7599967205967602E-2</v>
          </cell>
          <cell r="P39">
            <v>11.087979339759601</v>
          </cell>
          <cell r="Q39">
            <v>2.1600105352507101E-2</v>
          </cell>
          <cell r="R39">
            <v>2.19752723068476E-2</v>
          </cell>
          <cell r="S39">
            <v>1.68477087685832E-2</v>
          </cell>
          <cell r="T39">
            <v>10.614056524207401</v>
          </cell>
          <cell r="U39">
            <v>2.0676872865215499E-2</v>
          </cell>
          <cell r="V39">
            <v>2.19752723068476E-2</v>
          </cell>
          <cell r="W39">
            <v>1.68477087685832E-2</v>
          </cell>
          <cell r="X39">
            <v>10.614056524207401</v>
          </cell>
          <cell r="Y39">
            <v>2.0676872865215499E-2</v>
          </cell>
          <cell r="Z39">
            <v>1.3352979320798699E-2</v>
          </cell>
          <cell r="AA39">
            <v>1.0237284145945699E-2</v>
          </cell>
          <cell r="AB39">
            <v>5.8045401107511996</v>
          </cell>
          <cell r="AC39">
            <v>1.1307621891528299E-2</v>
          </cell>
        </row>
        <row r="40">
          <cell r="B40">
            <v>26</v>
          </cell>
          <cell r="C40">
            <v>34</v>
          </cell>
          <cell r="E40" t="str">
            <v>Antibiotics for preterm or prolonged PROM</v>
          </cell>
          <cell r="F40">
            <v>2700</v>
          </cell>
          <cell r="G40">
            <v>6</v>
          </cell>
          <cell r="H40">
            <v>6</v>
          </cell>
          <cell r="I40">
            <v>0.77</v>
          </cell>
          <cell r="J40">
            <v>1.4497872970480901E-2</v>
          </cell>
          <cell r="K40">
            <v>1.11150359440353E-2</v>
          </cell>
          <cell r="L40">
            <v>189.066761408041</v>
          </cell>
          <cell r="M40">
            <v>0.48041002900128799</v>
          </cell>
          <cell r="N40">
            <v>1.38378143411286E-2</v>
          </cell>
          <cell r="O40">
            <v>1.06089909948653E-2</v>
          </cell>
          <cell r="P40">
            <v>180.45893682265799</v>
          </cell>
          <cell r="Q40">
            <v>0.35154575308357</v>
          </cell>
          <cell r="R40">
            <v>1.3243715129547799E-2</v>
          </cell>
          <cell r="S40">
            <v>1.0153514932653301E-2</v>
          </cell>
          <cell r="T40">
            <v>172.71128900443301</v>
          </cell>
          <cell r="U40">
            <v>0.336452830921666</v>
          </cell>
          <cell r="V40">
            <v>1.3243715129547799E-2</v>
          </cell>
          <cell r="W40">
            <v>1.0153514932653301E-2</v>
          </cell>
          <cell r="X40">
            <v>172.71128900443301</v>
          </cell>
          <cell r="Y40">
            <v>0.336452830921666</v>
          </cell>
          <cell r="Z40">
            <v>8.1350570106832904E-3</v>
          </cell>
          <cell r="AA40">
            <v>6.2368770415238504E-3</v>
          </cell>
          <cell r="AB40">
            <v>95.480350628688697</v>
          </cell>
          <cell r="AC40">
            <v>0.18600193682528199</v>
          </cell>
        </row>
        <row r="41">
          <cell r="B41">
            <v>27</v>
          </cell>
          <cell r="C41">
            <v>35</v>
          </cell>
          <cell r="E41" t="str">
            <v>Parenteral administration of antibiotics</v>
          </cell>
          <cell r="F41">
            <v>4200</v>
          </cell>
          <cell r="G41">
            <v>10</v>
          </cell>
          <cell r="H41">
            <v>10</v>
          </cell>
          <cell r="I41">
            <v>0.77</v>
          </cell>
          <cell r="J41">
            <v>2.4046161309047801E-2</v>
          </cell>
          <cell r="K41">
            <v>1.84353903369366E-2</v>
          </cell>
          <cell r="L41">
            <v>487.80042831534399</v>
          </cell>
          <cell r="M41">
            <v>1.2394786696962401</v>
          </cell>
          <cell r="N41">
            <v>2.2956478964305499E-2</v>
          </cell>
          <cell r="O41">
            <v>1.7599967205967602E-2</v>
          </cell>
          <cell r="P41">
            <v>465.69513226990199</v>
          </cell>
          <cell r="Q41">
            <v>0.90720442480529795</v>
          </cell>
          <cell r="R41">
            <v>2.19752723068476E-2</v>
          </cell>
          <cell r="S41">
            <v>1.68477087685832E-2</v>
          </cell>
          <cell r="T41">
            <v>445.79037401671002</v>
          </cell>
          <cell r="U41">
            <v>0.86842866033905097</v>
          </cell>
          <cell r="V41">
            <v>2.19752723068476E-2</v>
          </cell>
          <cell r="W41">
            <v>1.68477087685832E-2</v>
          </cell>
          <cell r="X41">
            <v>445.79037401671002</v>
          </cell>
          <cell r="Y41">
            <v>0.86842866033905097</v>
          </cell>
          <cell r="Z41">
            <v>1.3352979320798699E-2</v>
          </cell>
          <cell r="AA41">
            <v>1.0237284145945699E-2</v>
          </cell>
          <cell r="AB41">
            <v>243.79068465155001</v>
          </cell>
          <cell r="AC41">
            <v>0.47492011944418899</v>
          </cell>
        </row>
        <row r="42">
          <cell r="B42">
            <v>28</v>
          </cell>
          <cell r="C42">
            <v>36</v>
          </cell>
          <cell r="E42" t="str">
            <v>Assisted vaginal delivery</v>
          </cell>
          <cell r="F42">
            <v>1500</v>
          </cell>
          <cell r="G42">
            <v>4</v>
          </cell>
          <cell r="H42">
            <v>4</v>
          </cell>
          <cell r="I42">
            <v>0.77</v>
          </cell>
          <cell r="J42">
            <v>9.6887546730591908E-3</v>
          </cell>
          <cell r="K42">
            <v>7.4280452493453797E-3</v>
          </cell>
          <cell r="L42">
            <v>70.195027606313801</v>
          </cell>
          <cell r="M42">
            <v>0.17836236785860099</v>
          </cell>
          <cell r="N42">
            <v>9.24661760082068E-3</v>
          </cell>
          <cell r="O42">
            <v>7.0890734939625197E-3</v>
          </cell>
          <cell r="P42">
            <v>66.991744517945804</v>
          </cell>
          <cell r="Q42">
            <v>0.130504278101157</v>
          </cell>
          <cell r="R42">
            <v>8.8487474680196705E-3</v>
          </cell>
          <cell r="S42">
            <v>6.7840397254817497E-3</v>
          </cell>
          <cell r="T42">
            <v>64.109175405802503</v>
          </cell>
          <cell r="U42">
            <v>0.124888845874934</v>
          </cell>
          <cell r="V42">
            <v>8.8487474680196705E-3</v>
          </cell>
          <cell r="W42">
            <v>6.7840397254817497E-3</v>
          </cell>
          <cell r="X42">
            <v>64.109175405802503</v>
          </cell>
          <cell r="Y42">
            <v>0.124888845874934</v>
          </cell>
          <cell r="Z42">
            <v>5.5157567620066602E-3</v>
          </cell>
          <cell r="AA42">
            <v>4.22874685087177E-3</v>
          </cell>
          <cell r="AB42">
            <v>35.965491966664402</v>
          </cell>
          <cell r="AC42">
            <v>7.0063118962444298E-2</v>
          </cell>
        </row>
        <row r="43">
          <cell r="B43">
            <v>29</v>
          </cell>
          <cell r="C43">
            <v>38</v>
          </cell>
          <cell r="E43" t="str">
            <v>Active management of third stage of labor (AMTSL)</v>
          </cell>
          <cell r="F43">
            <v>50200</v>
          </cell>
          <cell r="G43">
            <v>2</v>
          </cell>
          <cell r="H43">
            <v>2</v>
          </cell>
          <cell r="I43">
            <v>0.77</v>
          </cell>
          <cell r="J43">
            <v>4.8561685228908401E-3</v>
          </cell>
          <cell r="K43">
            <v>3.7230625342163102E-3</v>
          </cell>
          <cell r="L43">
            <v>1177.45575707125</v>
          </cell>
          <cell r="M43">
            <v>2.9918614471928802</v>
          </cell>
          <cell r="N43">
            <v>4.6340459915361603E-3</v>
          </cell>
          <cell r="O43">
            <v>3.5527685935110602E-3</v>
          </cell>
          <cell r="P43">
            <v>1123.5985953838101</v>
          </cell>
          <cell r="Q43">
            <v>2.1888431868908498</v>
          </cell>
          <cell r="R43">
            <v>4.4342048202035099E-3</v>
          </cell>
          <cell r="S43">
            <v>3.39955702882269E-3</v>
          </cell>
          <cell r="T43">
            <v>1075.14390593546</v>
          </cell>
          <cell r="U43">
            <v>2.0944502984450502</v>
          </cell>
          <cell r="V43">
            <v>4.4342048202035099E-3</v>
          </cell>
          <cell r="W43">
            <v>3.39955702882269E-3</v>
          </cell>
          <cell r="X43">
            <v>1075.14390593546</v>
          </cell>
          <cell r="Y43">
            <v>2.0944502984450502</v>
          </cell>
          <cell r="Z43">
            <v>2.88953950931514E-3</v>
          </cell>
          <cell r="AA43">
            <v>2.2153136238082802E-3</v>
          </cell>
          <cell r="AB43">
            <v>630.55357799904505</v>
          </cell>
          <cell r="AC43">
            <v>1.22835940596864</v>
          </cell>
        </row>
        <row r="44">
          <cell r="B44">
            <v>30</v>
          </cell>
          <cell r="C44">
            <v>39</v>
          </cell>
          <cell r="E44" t="str">
            <v>Removal of retained products of conception</v>
          </cell>
          <cell r="F44">
            <v>200</v>
          </cell>
          <cell r="G44">
            <v>4</v>
          </cell>
          <cell r="H44">
            <v>4</v>
          </cell>
          <cell r="I44">
            <v>0.77</v>
          </cell>
          <cell r="J44">
            <v>9.6887546730591908E-3</v>
          </cell>
          <cell r="K44">
            <v>7.4280452493453797E-3</v>
          </cell>
          <cell r="L44">
            <v>9.3593370141751695</v>
          </cell>
          <cell r="M44">
            <v>2.3781649047813502E-2</v>
          </cell>
          <cell r="N44">
            <v>9.24661760082068E-3</v>
          </cell>
          <cell r="O44">
            <v>7.0890734939625197E-3</v>
          </cell>
          <cell r="P44">
            <v>8.9322326023927801</v>
          </cell>
          <cell r="Q44">
            <v>1.7400570413487599E-2</v>
          </cell>
          <cell r="R44">
            <v>8.8487474680196705E-3</v>
          </cell>
          <cell r="S44">
            <v>6.7840397254817497E-3</v>
          </cell>
          <cell r="T44">
            <v>8.5478900541070004</v>
          </cell>
          <cell r="U44">
            <v>1.66518461166579E-2</v>
          </cell>
          <cell r="V44">
            <v>8.8487474680196705E-3</v>
          </cell>
          <cell r="W44">
            <v>6.7840397254817497E-3</v>
          </cell>
          <cell r="X44">
            <v>8.5478900541070004</v>
          </cell>
          <cell r="Y44">
            <v>1.66518461166579E-2</v>
          </cell>
          <cell r="Z44">
            <v>5.5157567620066602E-3</v>
          </cell>
          <cell r="AA44">
            <v>4.22874685087177E-3</v>
          </cell>
          <cell r="AB44">
            <v>4.7953989288885897</v>
          </cell>
          <cell r="AC44">
            <v>9.3417491949925706E-3</v>
          </cell>
        </row>
        <row r="45">
          <cell r="B45">
            <v>31</v>
          </cell>
          <cell r="C45">
            <v>40</v>
          </cell>
          <cell r="E45" t="str">
            <v>Induction of labor for pregnancies lasting 41+ weeks</v>
          </cell>
          <cell r="F45">
            <v>100</v>
          </cell>
          <cell r="G45">
            <v>1</v>
          </cell>
          <cell r="H45">
            <v>1</v>
          </cell>
          <cell r="I45">
            <v>0.77</v>
          </cell>
          <cell r="J45">
            <v>2.43103923733212E-3</v>
          </cell>
          <cell r="K45">
            <v>1.86379674862129E-3</v>
          </cell>
          <cell r="L45">
            <v>1.1741919516314101</v>
          </cell>
          <cell r="M45">
            <v>2.9835682662322002E-3</v>
          </cell>
          <cell r="N45">
            <v>2.31971353120153E-3</v>
          </cell>
          <cell r="O45">
            <v>1.77844704058784E-3</v>
          </cell>
          <cell r="P45">
            <v>1.12042163557034</v>
          </cell>
          <cell r="Q45">
            <v>2.1826542624196802E-3</v>
          </cell>
          <cell r="R45">
            <v>2.21956564593007E-3</v>
          </cell>
          <cell r="S45">
            <v>1.7016669952130501E-3</v>
          </cell>
          <cell r="T45">
            <v>1.0720502069842199</v>
          </cell>
          <cell r="U45">
            <v>2.0884235715520698E-3</v>
          </cell>
          <cell r="V45">
            <v>2.21956564593007E-3</v>
          </cell>
          <cell r="W45">
            <v>1.7016669952130501E-3</v>
          </cell>
          <cell r="X45">
            <v>1.0720502069842199</v>
          </cell>
          <cell r="Y45">
            <v>2.0884235715520698E-3</v>
          </cell>
          <cell r="Z45">
            <v>1.5738313001256699E-3</v>
          </cell>
          <cell r="AA45">
            <v>1.2066039967630201E-3</v>
          </cell>
          <cell r="AB45">
            <v>0.68414446616462998</v>
          </cell>
          <cell r="AC45">
            <v>1.33275794377618E-3</v>
          </cell>
        </row>
        <row r="46">
          <cell r="B46">
            <v>32</v>
          </cell>
          <cell r="C46">
            <v>41</v>
          </cell>
          <cell r="E46" t="str">
            <v>Antenatal corticosteroids for preterm labor</v>
          </cell>
          <cell r="F46">
            <v>0</v>
          </cell>
          <cell r="G46">
            <v>4</v>
          </cell>
          <cell r="H46">
            <v>4</v>
          </cell>
          <cell r="I46">
            <v>0.77</v>
          </cell>
          <cell r="J46">
            <v>9.6887546730591908E-3</v>
          </cell>
          <cell r="K46">
            <v>7.4280452493453797E-3</v>
          </cell>
          <cell r="L46">
            <v>0</v>
          </cell>
          <cell r="M46">
            <v>0</v>
          </cell>
          <cell r="N46">
            <v>9.24661760082068E-3</v>
          </cell>
          <cell r="O46">
            <v>7.0890734939625197E-3</v>
          </cell>
          <cell r="P46">
            <v>0</v>
          </cell>
          <cell r="Q46">
            <v>0</v>
          </cell>
          <cell r="R46">
            <v>8.8487474680196705E-3</v>
          </cell>
          <cell r="S46">
            <v>6.7840397254817497E-3</v>
          </cell>
          <cell r="T46">
            <v>0</v>
          </cell>
          <cell r="U46">
            <v>0</v>
          </cell>
          <cell r="V46">
            <v>8.8487474680196705E-3</v>
          </cell>
          <cell r="W46">
            <v>6.7840397254817497E-3</v>
          </cell>
          <cell r="X46">
            <v>0</v>
          </cell>
          <cell r="Y46">
            <v>0</v>
          </cell>
          <cell r="Z46">
            <v>5.5157567620066602E-3</v>
          </cell>
          <cell r="AA46">
            <v>4.22874685087177E-3</v>
          </cell>
          <cell r="AB46">
            <v>0</v>
          </cell>
          <cell r="AC46">
            <v>0</v>
          </cell>
        </row>
        <row r="47">
          <cell r="B47">
            <v>33</v>
          </cell>
          <cell r="C47">
            <v>65</v>
          </cell>
          <cell r="E47" t="str">
            <v>Maternal sepsis case management</v>
          </cell>
          <cell r="F47">
            <v>0</v>
          </cell>
          <cell r="G47">
            <v>10</v>
          </cell>
          <cell r="H47">
            <v>10</v>
          </cell>
          <cell r="I47">
            <v>0.77</v>
          </cell>
          <cell r="J47">
            <v>2.4046161309047801E-2</v>
          </cell>
          <cell r="K47">
            <v>1.84353903369366E-2</v>
          </cell>
          <cell r="L47">
            <v>0</v>
          </cell>
          <cell r="M47">
            <v>0</v>
          </cell>
          <cell r="N47">
            <v>2.2956478964305499E-2</v>
          </cell>
          <cell r="O47">
            <v>1.7599967205967602E-2</v>
          </cell>
          <cell r="P47">
            <v>0</v>
          </cell>
          <cell r="Q47">
            <v>0</v>
          </cell>
          <cell r="R47">
            <v>2.19752723068476E-2</v>
          </cell>
          <cell r="S47">
            <v>1.68477087685832E-2</v>
          </cell>
          <cell r="T47">
            <v>0</v>
          </cell>
          <cell r="U47">
            <v>0</v>
          </cell>
          <cell r="V47">
            <v>2.19752723068476E-2</v>
          </cell>
          <cell r="W47">
            <v>1.68477087685832E-2</v>
          </cell>
          <cell r="X47">
            <v>0</v>
          </cell>
          <cell r="Y47">
            <v>0</v>
          </cell>
          <cell r="Z47">
            <v>1.3352979320798699E-2</v>
          </cell>
          <cell r="AA47">
            <v>1.0237284145945699E-2</v>
          </cell>
          <cell r="AB47">
            <v>0</v>
          </cell>
          <cell r="AC47">
            <v>0</v>
          </cell>
        </row>
        <row r="48">
          <cell r="B48">
            <v>34</v>
          </cell>
          <cell r="C48">
            <v>10</v>
          </cell>
          <cell r="E48" t="str">
            <v>Safe abortion services</v>
          </cell>
          <cell r="F48">
            <v>0</v>
          </cell>
          <cell r="G48">
            <v>2</v>
          </cell>
          <cell r="H48">
            <v>2</v>
          </cell>
          <cell r="I48">
            <v>0.77</v>
          </cell>
          <cell r="J48">
            <v>3.3748834515956402E-3</v>
          </cell>
          <cell r="K48">
            <v>2.5874106462233301E-3</v>
          </cell>
          <cell r="L48">
            <v>0</v>
          </cell>
          <cell r="M48">
            <v>0</v>
          </cell>
          <cell r="N48">
            <v>3.3007902800675799E-3</v>
          </cell>
          <cell r="O48">
            <v>2.5306058813851398E-3</v>
          </cell>
          <cell r="P48">
            <v>0</v>
          </cell>
          <cell r="Q48">
            <v>0</v>
          </cell>
          <cell r="R48">
            <v>3.2341141078176001E-3</v>
          </cell>
          <cell r="S48">
            <v>2.4794874826601599E-3</v>
          </cell>
          <cell r="T48">
            <v>0</v>
          </cell>
          <cell r="U48">
            <v>0</v>
          </cell>
          <cell r="V48">
            <v>2.7190650378961E-3</v>
          </cell>
          <cell r="W48">
            <v>2.0846165290536699E-3</v>
          </cell>
          <cell r="X48">
            <v>0</v>
          </cell>
          <cell r="Y48">
            <v>0</v>
          </cell>
          <cell r="Z48">
            <v>2.8042949890330101E-3</v>
          </cell>
          <cell r="AA48">
            <v>2.1499594915919702E-3</v>
          </cell>
          <cell r="AB48">
            <v>0</v>
          </cell>
          <cell r="AC48">
            <v>0</v>
          </cell>
        </row>
        <row r="49">
          <cell r="B49">
            <v>35</v>
          </cell>
          <cell r="C49">
            <v>11</v>
          </cell>
          <cell r="E49" t="str">
            <v>Post abortion case management</v>
          </cell>
          <cell r="F49">
            <v>0</v>
          </cell>
          <cell r="G49">
            <v>6</v>
          </cell>
          <cell r="H49">
            <v>6</v>
          </cell>
          <cell r="I49">
            <v>0.77</v>
          </cell>
          <cell r="J49">
            <v>1.4497872970480901E-2</v>
          </cell>
          <cell r="K49">
            <v>1.11150359440353E-2</v>
          </cell>
          <cell r="L49">
            <v>0</v>
          </cell>
          <cell r="M49">
            <v>0</v>
          </cell>
          <cell r="N49">
            <v>1.38378143411286E-2</v>
          </cell>
          <cell r="O49">
            <v>1.06089909948653E-2</v>
          </cell>
          <cell r="P49">
            <v>0</v>
          </cell>
          <cell r="Q49">
            <v>0</v>
          </cell>
          <cell r="R49">
            <v>1.3243715129547799E-2</v>
          </cell>
          <cell r="S49">
            <v>1.0153514932653301E-2</v>
          </cell>
          <cell r="T49">
            <v>0</v>
          </cell>
          <cell r="U49">
            <v>0</v>
          </cell>
          <cell r="V49">
            <v>1.3243715129547799E-2</v>
          </cell>
          <cell r="W49">
            <v>1.0153514932653301E-2</v>
          </cell>
          <cell r="X49">
            <v>0</v>
          </cell>
          <cell r="Y49">
            <v>0</v>
          </cell>
          <cell r="Z49">
            <v>8.1350570106832904E-3</v>
          </cell>
          <cell r="AA49">
            <v>6.2368770415238504E-3</v>
          </cell>
          <cell r="AB49">
            <v>0</v>
          </cell>
          <cell r="AC49">
            <v>0</v>
          </cell>
        </row>
        <row r="50">
          <cell r="B50">
            <v>36</v>
          </cell>
          <cell r="C50">
            <v>42</v>
          </cell>
          <cell r="E50" t="str">
            <v>Cesarean delivery</v>
          </cell>
          <cell r="F50">
            <v>2100</v>
          </cell>
          <cell r="G50">
            <v>21</v>
          </cell>
          <cell r="H50">
            <v>21</v>
          </cell>
          <cell r="I50">
            <v>0.77</v>
          </cell>
          <cell r="J50">
            <v>4.9829635328767302E-2</v>
          </cell>
          <cell r="K50">
            <v>3.8202720418721602E-2</v>
          </cell>
          <cell r="L50">
            <v>505.42199113968599</v>
          </cell>
          <cell r="M50">
            <v>1.2842542581944201</v>
          </cell>
          <cell r="N50">
            <v>4.7600389112470297E-2</v>
          </cell>
          <cell r="O50">
            <v>3.6493631652893897E-2</v>
          </cell>
          <cell r="P50">
            <v>482.81074676778599</v>
          </cell>
          <cell r="Q50">
            <v>0.94054675572050095</v>
          </cell>
          <cell r="R50">
            <v>4.5590718403922703E-2</v>
          </cell>
          <cell r="S50">
            <v>3.49528841096741E-2</v>
          </cell>
          <cell r="T50">
            <v>462.42665677098802</v>
          </cell>
          <cell r="U50">
            <v>0.900837221823103</v>
          </cell>
          <cell r="V50">
            <v>4.5590718403922703E-2</v>
          </cell>
          <cell r="W50">
            <v>3.49528841096741E-2</v>
          </cell>
          <cell r="X50">
            <v>462.42665677098802</v>
          </cell>
          <cell r="Y50">
            <v>0.900837221823103</v>
          </cell>
          <cell r="Z50">
            <v>2.7561160424421E-2</v>
          </cell>
          <cell r="AA50">
            <v>2.1130222992056101E-2</v>
          </cell>
          <cell r="AB50">
            <v>251.59756516641201</v>
          </cell>
          <cell r="AC50">
            <v>0.490128430753967</v>
          </cell>
        </row>
        <row r="51">
          <cell r="B51">
            <v>37</v>
          </cell>
          <cell r="C51">
            <v>43</v>
          </cell>
          <cell r="E51" t="str">
            <v>Blood transfusion</v>
          </cell>
          <cell r="F51">
            <v>0</v>
          </cell>
          <cell r="G51">
            <v>10</v>
          </cell>
          <cell r="H51">
            <v>10</v>
          </cell>
          <cell r="I51">
            <v>0.77</v>
          </cell>
          <cell r="J51">
            <v>2.4046161309047801E-2</v>
          </cell>
          <cell r="K51">
            <v>1.84353903369366E-2</v>
          </cell>
          <cell r="L51">
            <v>0</v>
          </cell>
          <cell r="M51">
            <v>0</v>
          </cell>
          <cell r="N51">
            <v>2.2956478964305499E-2</v>
          </cell>
          <cell r="O51">
            <v>1.7599967205967602E-2</v>
          </cell>
          <cell r="P51">
            <v>0</v>
          </cell>
          <cell r="Q51">
            <v>0</v>
          </cell>
          <cell r="R51">
            <v>2.19752723068476E-2</v>
          </cell>
          <cell r="S51">
            <v>1.68477087685832E-2</v>
          </cell>
          <cell r="T51">
            <v>0</v>
          </cell>
          <cell r="U51">
            <v>0</v>
          </cell>
          <cell r="V51">
            <v>2.19752723068476E-2</v>
          </cell>
          <cell r="W51">
            <v>1.68477087685832E-2</v>
          </cell>
          <cell r="X51">
            <v>0</v>
          </cell>
          <cell r="Y51">
            <v>0</v>
          </cell>
          <cell r="Z51">
            <v>1.3352979320798699E-2</v>
          </cell>
          <cell r="AA51">
            <v>1.0237284145945699E-2</v>
          </cell>
          <cell r="AB51">
            <v>0</v>
          </cell>
          <cell r="AC51">
            <v>0</v>
          </cell>
        </row>
        <row r="52">
          <cell r="B52">
            <v>38</v>
          </cell>
          <cell r="C52">
            <v>12</v>
          </cell>
          <cell r="E52" t="str">
            <v>Ectopic pregnancy case management</v>
          </cell>
          <cell r="F52">
            <v>0</v>
          </cell>
          <cell r="G52">
            <v>10</v>
          </cell>
          <cell r="H52">
            <v>10</v>
          </cell>
          <cell r="I52">
            <v>0.77</v>
          </cell>
          <cell r="J52">
            <v>2.4046161309047801E-2</v>
          </cell>
          <cell r="K52">
            <v>1.84353903369366E-2</v>
          </cell>
          <cell r="L52">
            <v>0</v>
          </cell>
          <cell r="M52">
            <v>0</v>
          </cell>
          <cell r="N52">
            <v>2.2956478964305499E-2</v>
          </cell>
          <cell r="O52">
            <v>1.7599967205967602E-2</v>
          </cell>
          <cell r="P52">
            <v>0</v>
          </cell>
          <cell r="Q52">
            <v>0</v>
          </cell>
          <cell r="R52">
            <v>2.19752723068476E-2</v>
          </cell>
          <cell r="S52">
            <v>1.68477087685832E-2</v>
          </cell>
          <cell r="T52">
            <v>0</v>
          </cell>
          <cell r="U52">
            <v>0</v>
          </cell>
          <cell r="V52">
            <v>2.19752723068476E-2</v>
          </cell>
          <cell r="W52">
            <v>1.68477087685832E-2</v>
          </cell>
          <cell r="X52">
            <v>0</v>
          </cell>
          <cell r="Y52">
            <v>0</v>
          </cell>
          <cell r="Z52">
            <v>1.3352979320798699E-2</v>
          </cell>
          <cell r="AA52">
            <v>1.0237284145945699E-2</v>
          </cell>
          <cell r="AB52">
            <v>0</v>
          </cell>
          <cell r="AC52">
            <v>0</v>
          </cell>
        </row>
        <row r="53">
          <cell r="B53">
            <v>39</v>
          </cell>
          <cell r="C53">
            <v>29</v>
          </cell>
          <cell r="D53" t="str">
            <v>Newborn Care</v>
          </cell>
          <cell r="E53" t="str">
            <v>Immediate drying and additional stimulation</v>
          </cell>
          <cell r="F53">
            <v>186800</v>
          </cell>
          <cell r="G53">
            <v>2</v>
          </cell>
          <cell r="H53">
            <v>2</v>
          </cell>
          <cell r="I53">
            <v>0.79</v>
          </cell>
          <cell r="J53">
            <v>3.3748834515956402E-3</v>
          </cell>
          <cell r="K53">
            <v>2.5874106462233301E-3</v>
          </cell>
          <cell r="L53">
            <v>3044.9683449014601</v>
          </cell>
          <cell r="M53">
            <v>7.73712587018428</v>
          </cell>
          <cell r="N53">
            <v>3.3007902800675799E-3</v>
          </cell>
          <cell r="O53">
            <v>2.5306058813851398E-3</v>
          </cell>
          <cell r="P53">
            <v>2978.1182254492901</v>
          </cell>
          <cell r="Q53">
            <v>5.8015681172184603</v>
          </cell>
          <cell r="R53">
            <v>3.2341141078176001E-3</v>
          </cell>
          <cell r="S53">
            <v>2.4794874826601599E-3</v>
          </cell>
          <cell r="T53">
            <v>2917.9600490937801</v>
          </cell>
          <cell r="U53">
            <v>5.6843760746220102</v>
          </cell>
          <cell r="V53">
            <v>2.7116531043560599E-3</v>
          </cell>
          <cell r="W53">
            <v>2.0789340466729799E-3</v>
          </cell>
          <cell r="X53">
            <v>2446.5727434866299</v>
          </cell>
          <cell r="Y53">
            <v>4.7660829257127197</v>
          </cell>
          <cell r="Z53">
            <v>2.78947233375348E-3</v>
          </cell>
          <cell r="AA53">
            <v>2.1385954558776699E-3</v>
          </cell>
          <cell r="AB53">
            <v>2265.1062086655702</v>
          </cell>
          <cell r="AC53">
            <v>4.41257430615443</v>
          </cell>
        </row>
        <row r="54">
          <cell r="B54">
            <v>40</v>
          </cell>
          <cell r="C54">
            <v>30</v>
          </cell>
          <cell r="E54" t="str">
            <v>Thermal protection</v>
          </cell>
          <cell r="F54">
            <v>13200</v>
          </cell>
          <cell r="G54">
            <v>2</v>
          </cell>
          <cell r="H54">
            <v>2</v>
          </cell>
          <cell r="I54">
            <v>0.79</v>
          </cell>
          <cell r="J54">
            <v>3.3748834515956402E-3</v>
          </cell>
          <cell r="K54">
            <v>2.5874106462233301E-3</v>
          </cell>
          <cell r="L54">
            <v>215.16906933993201</v>
          </cell>
          <cell r="M54">
            <v>0.54673480453122303</v>
          </cell>
          <cell r="N54">
            <v>3.3007902800675799E-3</v>
          </cell>
          <cell r="O54">
            <v>2.5306058813851398E-3</v>
          </cell>
          <cell r="P54">
            <v>210.44518509598799</v>
          </cell>
          <cell r="Q54">
            <v>0.40996091620601599</v>
          </cell>
          <cell r="R54">
            <v>3.2341141078176001E-3</v>
          </cell>
          <cell r="S54">
            <v>2.4794874826601599E-3</v>
          </cell>
          <cell r="T54">
            <v>206.19417905801899</v>
          </cell>
          <cell r="U54">
            <v>0.401679679791277</v>
          </cell>
          <cell r="V54">
            <v>2.7116531043560599E-3</v>
          </cell>
          <cell r="W54">
            <v>2.0789340466729799E-3</v>
          </cell>
          <cell r="X54">
            <v>172.88415532132501</v>
          </cell>
          <cell r="Y54">
            <v>0.33678958575700202</v>
          </cell>
          <cell r="Z54">
            <v>2.78947233375348E-3</v>
          </cell>
          <cell r="AA54">
            <v>2.1385954558776699E-3</v>
          </cell>
          <cell r="AB54">
            <v>160.061038299708</v>
          </cell>
          <cell r="AC54">
            <v>0.31180931927857902</v>
          </cell>
        </row>
        <row r="55">
          <cell r="B55">
            <v>41</v>
          </cell>
          <cell r="C55">
            <v>31</v>
          </cell>
          <cell r="E55" t="str">
            <v>Clean cord care</v>
          </cell>
          <cell r="F55">
            <v>194600</v>
          </cell>
          <cell r="G55">
            <v>1</v>
          </cell>
          <cell r="H55">
            <v>1</v>
          </cell>
          <cell r="I55">
            <v>0.79</v>
          </cell>
          <cell r="J55">
            <v>1.68886786312739E-3</v>
          </cell>
          <cell r="K55">
            <v>1.2947986950643301E-3</v>
          </cell>
          <cell r="L55">
            <v>1587.39730417497</v>
          </cell>
          <cell r="M55">
            <v>4.03350424609763</v>
          </cell>
          <cell r="N55">
            <v>1.6517592944171901E-3</v>
          </cell>
          <cell r="O55">
            <v>1.26634879238651E-3</v>
          </cell>
          <cell r="P55">
            <v>1552.51829249001</v>
          </cell>
          <cell r="Q55">
            <v>3.0244066706753001</v>
          </cell>
          <cell r="R55">
            <v>1.6183666091496001E-3</v>
          </cell>
          <cell r="S55">
            <v>1.24074773368136E-3</v>
          </cell>
          <cell r="T55">
            <v>1521.1319065386799</v>
          </cell>
          <cell r="U55">
            <v>2.9632639482360199</v>
          </cell>
          <cell r="V55">
            <v>1.39571017031648E-3</v>
          </cell>
          <cell r="W55">
            <v>1.0700444639092999E-3</v>
          </cell>
          <cell r="X55">
            <v>1311.8531118635201</v>
          </cell>
          <cell r="Y55">
            <v>2.5555752364777402</v>
          </cell>
          <cell r="Z55">
            <v>1.39571017031648E-3</v>
          </cell>
          <cell r="AA55">
            <v>1.0700444639092999E-3</v>
          </cell>
          <cell r="AB55">
            <v>1180.6678006771699</v>
          </cell>
          <cell r="AC55">
            <v>2.3000177128299701</v>
          </cell>
        </row>
        <row r="56">
          <cell r="B56">
            <v>42</v>
          </cell>
          <cell r="C56">
            <v>37</v>
          </cell>
          <cell r="E56" t="str">
            <v>Neonatal resuscitation</v>
          </cell>
          <cell r="F56">
            <v>5700</v>
          </cell>
          <cell r="G56">
            <v>0</v>
          </cell>
          <cell r="H56">
            <v>0</v>
          </cell>
          <cell r="I56">
            <v>0.79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7.8030821917818294E-5</v>
          </cell>
          <cell r="W56">
            <v>5.9823630136994003E-5</v>
          </cell>
          <cell r="X56">
            <v>2.14826655821946</v>
          </cell>
          <cell r="Y56">
            <v>4.1849630632351297E-3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</row>
        <row r="57">
          <cell r="B57" t="str">
            <v>43/44</v>
          </cell>
          <cell r="C57" t="str">
            <v>66/67</v>
          </cell>
          <cell r="E57" t="str">
            <v>Case management of premature babies</v>
          </cell>
          <cell r="V57">
            <v>3.7157534246579099E-4</v>
          </cell>
        </row>
        <row r="58">
          <cell r="B58">
            <v>43</v>
          </cell>
          <cell r="C58">
            <v>66</v>
          </cell>
          <cell r="E58" t="str">
            <v>Kangaroo-Mother Care (KMC)</v>
          </cell>
          <cell r="F58">
            <v>0</v>
          </cell>
          <cell r="G58">
            <v>1</v>
          </cell>
          <cell r="H58">
            <v>1</v>
          </cell>
          <cell r="I58">
            <v>0.79</v>
          </cell>
          <cell r="J58">
            <v>1.68886786312739E-3</v>
          </cell>
          <cell r="K58">
            <v>1.2947986950643301E-3</v>
          </cell>
          <cell r="L58">
            <v>0</v>
          </cell>
          <cell r="M58">
            <v>0</v>
          </cell>
          <cell r="N58">
            <v>1.6517592944171901E-3</v>
          </cell>
          <cell r="O58">
            <v>1.26634879238651E-3</v>
          </cell>
          <cell r="P58">
            <v>0</v>
          </cell>
          <cell r="Q58">
            <v>0</v>
          </cell>
          <cell r="R58">
            <v>1.6183666091496001E-3</v>
          </cell>
          <cell r="S58">
            <v>1.24074773368136E-3</v>
          </cell>
          <cell r="T58">
            <v>0</v>
          </cell>
          <cell r="U58">
            <v>0</v>
          </cell>
          <cell r="V58">
            <v>1.39571017031648E-3</v>
          </cell>
          <cell r="W58">
            <v>1.0700444639092999E-3</v>
          </cell>
          <cell r="X58">
            <v>0</v>
          </cell>
          <cell r="Y58">
            <v>0</v>
          </cell>
          <cell r="Z58">
            <v>1.39571017031648E-3</v>
          </cell>
          <cell r="AA58">
            <v>1.0700444639092999E-3</v>
          </cell>
          <cell r="AB58">
            <v>0</v>
          </cell>
          <cell r="AC58">
            <v>0</v>
          </cell>
        </row>
        <row r="59">
          <cell r="B59">
            <v>44</v>
          </cell>
          <cell r="C59">
            <v>67</v>
          </cell>
          <cell r="E59" t="str">
            <v>Full supportive care of prematurity</v>
          </cell>
          <cell r="F59">
            <v>0</v>
          </cell>
          <cell r="G59">
            <v>28</v>
          </cell>
          <cell r="H59">
            <v>28</v>
          </cell>
          <cell r="I59">
            <v>0.79</v>
          </cell>
          <cell r="J59">
            <v>4.6225755983076197E-2</v>
          </cell>
          <cell r="K59">
            <v>3.5439746253691798E-2</v>
          </cell>
          <cell r="L59">
            <v>0</v>
          </cell>
          <cell r="M59">
            <v>0</v>
          </cell>
          <cell r="N59">
            <v>4.5232571646183301E-2</v>
          </cell>
          <cell r="O59">
            <v>3.4678304928740501E-2</v>
          </cell>
          <cell r="P59">
            <v>0</v>
          </cell>
          <cell r="Q59">
            <v>0</v>
          </cell>
          <cell r="R59">
            <v>4.4337987844088399E-2</v>
          </cell>
          <cell r="S59">
            <v>3.3992457347134401E-2</v>
          </cell>
          <cell r="T59">
            <v>0</v>
          </cell>
          <cell r="U59">
            <v>0</v>
          </cell>
          <cell r="V59">
            <v>3.6324122793487103E-2</v>
          </cell>
          <cell r="W59">
            <v>2.78484941416734E-2</v>
          </cell>
          <cell r="X59">
            <v>0</v>
          </cell>
          <cell r="Y59">
            <v>0</v>
          </cell>
          <cell r="Z59">
            <v>3.8352367951513602E-2</v>
          </cell>
          <cell r="AA59">
            <v>2.9403482096160501E-2</v>
          </cell>
          <cell r="AB59">
            <v>0</v>
          </cell>
          <cell r="AC59">
            <v>0</v>
          </cell>
        </row>
        <row r="60">
          <cell r="B60" t="str">
            <v>45/46</v>
          </cell>
          <cell r="C60" t="str">
            <v>68/69</v>
          </cell>
          <cell r="E60" t="str">
            <v>Case management of neonatal sepsis/pneumonia</v>
          </cell>
          <cell r="V60">
            <v>3.7157534246579099E-4</v>
          </cell>
        </row>
        <row r="61">
          <cell r="B61">
            <v>45</v>
          </cell>
          <cell r="C61">
            <v>68</v>
          </cell>
          <cell r="E61" t="str">
            <v>Oral antibiotics</v>
          </cell>
          <cell r="F61">
            <v>0</v>
          </cell>
          <cell r="G61">
            <v>1</v>
          </cell>
          <cell r="H61">
            <v>1</v>
          </cell>
          <cell r="I61">
            <v>0.79</v>
          </cell>
          <cell r="J61">
            <v>1.68886786312739E-3</v>
          </cell>
          <cell r="K61">
            <v>1.2947986950643301E-3</v>
          </cell>
          <cell r="L61">
            <v>0</v>
          </cell>
          <cell r="M61">
            <v>0</v>
          </cell>
          <cell r="N61">
            <v>1.6517592944171901E-3</v>
          </cell>
          <cell r="O61">
            <v>1.26634879238651E-3</v>
          </cell>
          <cell r="P61">
            <v>0</v>
          </cell>
          <cell r="Q61">
            <v>0</v>
          </cell>
          <cell r="R61">
            <v>1.6183666091496001E-3</v>
          </cell>
          <cell r="S61">
            <v>1.24074773368136E-3</v>
          </cell>
          <cell r="T61">
            <v>0</v>
          </cell>
          <cell r="U61">
            <v>0</v>
          </cell>
          <cell r="V61">
            <v>1.39571017031648E-3</v>
          </cell>
          <cell r="W61">
            <v>1.0700444639092999E-3</v>
          </cell>
          <cell r="X61">
            <v>0</v>
          </cell>
          <cell r="Y61">
            <v>0</v>
          </cell>
          <cell r="Z61">
            <v>1.39571017031648E-3</v>
          </cell>
          <cell r="AA61">
            <v>1.0700444639092999E-3</v>
          </cell>
          <cell r="AB61">
            <v>0</v>
          </cell>
          <cell r="AC61">
            <v>0</v>
          </cell>
        </row>
        <row r="62">
          <cell r="B62">
            <v>46</v>
          </cell>
          <cell r="C62">
            <v>69</v>
          </cell>
          <cell r="E62" t="str">
            <v>Injectable antibiotics</v>
          </cell>
          <cell r="F62">
            <v>32200</v>
          </cell>
          <cell r="G62">
            <v>1</v>
          </cell>
          <cell r="H62">
            <v>1</v>
          </cell>
          <cell r="I62">
            <v>0.79</v>
          </cell>
          <cell r="J62">
            <v>1.68886786312739E-3</v>
          </cell>
          <cell r="K62">
            <v>1.2947986950643301E-3</v>
          </cell>
          <cell r="L62">
            <v>262.66286328075</v>
          </cell>
          <cell r="M62">
            <v>0.66741437165644302</v>
          </cell>
          <cell r="N62">
            <v>1.6517592944171901E-3</v>
          </cell>
          <cell r="O62">
            <v>1.26634879238651E-3</v>
          </cell>
          <cell r="P62">
            <v>256.89151602352803</v>
          </cell>
          <cell r="Q62">
            <v>0.50044139155058898</v>
          </cell>
          <cell r="R62">
            <v>1.6183666091496001E-3</v>
          </cell>
          <cell r="S62">
            <v>1.24074773368136E-3</v>
          </cell>
          <cell r="T62">
            <v>251.69808525460101</v>
          </cell>
          <cell r="U62">
            <v>0.49032425042754302</v>
          </cell>
          <cell r="V62">
            <v>1.39571017031648E-3</v>
          </cell>
          <cell r="W62">
            <v>1.0700444639092999E-3</v>
          </cell>
          <cell r="X62">
            <v>217.06921994864001</v>
          </cell>
          <cell r="Y62">
            <v>0.42286496718696398</v>
          </cell>
          <cell r="Z62">
            <v>1.39571017031648E-3</v>
          </cell>
          <cell r="AA62">
            <v>1.0700444639092999E-3</v>
          </cell>
          <cell r="AB62">
            <v>195.36229795377599</v>
          </cell>
          <cell r="AC62">
            <v>0.38057847046826798</v>
          </cell>
        </row>
        <row r="63">
          <cell r="B63">
            <v>47</v>
          </cell>
          <cell r="C63">
            <v>70</v>
          </cell>
          <cell r="E63" t="str">
            <v>Full supportive care</v>
          </cell>
          <cell r="F63">
            <v>0</v>
          </cell>
          <cell r="G63">
            <v>56</v>
          </cell>
          <cell r="H63">
            <v>56</v>
          </cell>
          <cell r="I63">
            <v>0.79</v>
          </cell>
          <cell r="J63">
            <v>9.03146914499455E-2</v>
          </cell>
          <cell r="K63">
            <v>6.9241263444958207E-2</v>
          </cell>
          <cell r="L63">
            <v>0</v>
          </cell>
          <cell r="M63">
            <v>0</v>
          </cell>
          <cell r="N63">
            <v>8.8419157754639502E-2</v>
          </cell>
          <cell r="O63">
            <v>6.7788020945223598E-2</v>
          </cell>
          <cell r="P63">
            <v>0</v>
          </cell>
          <cell r="Q63">
            <v>0</v>
          </cell>
          <cell r="R63">
            <v>8.6710118522114299E-2</v>
          </cell>
          <cell r="S63">
            <v>6.6477757533621007E-2</v>
          </cell>
          <cell r="T63">
            <v>0</v>
          </cell>
          <cell r="U63">
            <v>0</v>
          </cell>
          <cell r="V63">
            <v>7.1256333058575497E-2</v>
          </cell>
          <cell r="W63">
            <v>5.4629855344907899E-2</v>
          </cell>
          <cell r="X63">
            <v>0</v>
          </cell>
          <cell r="Y63">
            <v>0</v>
          </cell>
          <cell r="Z63">
            <v>7.5233831775538995E-2</v>
          </cell>
          <cell r="AA63">
            <v>5.7679271027913197E-2</v>
          </cell>
          <cell r="AB63">
            <v>0</v>
          </cell>
          <cell r="AC63">
            <v>0</v>
          </cell>
        </row>
        <row r="64">
          <cell r="B64">
            <v>48</v>
          </cell>
          <cell r="C64">
            <v>44</v>
          </cell>
          <cell r="D64" t="str">
            <v>Breastfeeding</v>
          </cell>
          <cell r="E64" t="str">
            <v>Early Initiation of Breastfeeding</v>
          </cell>
          <cell r="F64">
            <v>17300</v>
          </cell>
          <cell r="G64">
            <v>2</v>
          </cell>
          <cell r="H64">
            <v>2</v>
          </cell>
          <cell r="I64">
            <v>0.87</v>
          </cell>
          <cell r="J64">
            <v>3.3748834515956402E-3</v>
          </cell>
          <cell r="K64">
            <v>2.5874106462233301E-3</v>
          </cell>
          <cell r="L64">
            <v>282.00188633187997</v>
          </cell>
          <cell r="M64">
            <v>0.71655394836289199</v>
          </cell>
          <cell r="N64">
            <v>3.3007902800675799E-3</v>
          </cell>
          <cell r="O64">
            <v>2.5306058813851398E-3</v>
          </cell>
          <cell r="P64">
            <v>275.81073501216702</v>
          </cell>
          <cell r="Q64">
            <v>0.53729726139121703</v>
          </cell>
          <cell r="R64">
            <v>3.2341141078176001E-3</v>
          </cell>
          <cell r="S64">
            <v>2.4794874826601599E-3</v>
          </cell>
          <cell r="T64">
            <v>270.23934073513101</v>
          </cell>
          <cell r="U64">
            <v>0.52644382275674895</v>
          </cell>
          <cell r="V64">
            <v>2.6820053701962498E-3</v>
          </cell>
          <cell r="W64">
            <v>2.0562041171504602E-3</v>
          </cell>
          <cell r="X64">
            <v>224.10568672822799</v>
          </cell>
          <cell r="Y64">
            <v>0.436572462402392</v>
          </cell>
          <cell r="Z64">
            <v>2.7301806109985001E-3</v>
          </cell>
          <cell r="AA64">
            <v>2.0931384684321798E-3</v>
          </cell>
          <cell r="AB64">
            <v>205.31804550698101</v>
          </cell>
          <cell r="AC64">
            <v>0.39997291461564</v>
          </cell>
        </row>
        <row r="65">
          <cell r="B65">
            <v>49</v>
          </cell>
          <cell r="C65">
            <v>45</v>
          </cell>
          <cell r="E65" t="str">
            <v>Complementary feeding - Education only</v>
          </cell>
          <cell r="F65">
            <v>32100</v>
          </cell>
          <cell r="G65">
            <v>4</v>
          </cell>
          <cell r="H65">
            <v>4</v>
          </cell>
          <cell r="I65">
            <v>0.87</v>
          </cell>
          <cell r="J65">
            <v>6.7383770648795603E-3</v>
          </cell>
          <cell r="K65">
            <v>5.16608908307433E-3</v>
          </cell>
          <cell r="L65">
            <v>1044.7381952701201</v>
          </cell>
          <cell r="M65">
            <v>2.65463216776255</v>
          </cell>
          <cell r="N65">
            <v>6.5906853436622503E-3</v>
          </cell>
          <cell r="O65">
            <v>5.05285876347439E-3</v>
          </cell>
          <cell r="P65">
            <v>1021.83962773743</v>
          </cell>
          <cell r="Q65">
            <v>1.9906100955066901</v>
          </cell>
          <cell r="R65">
            <v>6.4577687215731103E-3</v>
          </cell>
          <cell r="S65">
            <v>4.9509560198727201E-3</v>
          </cell>
          <cell r="T65">
            <v>1001.23183589886</v>
          </cell>
          <cell r="U65">
            <v>1.9504647758631599</v>
          </cell>
          <cell r="V65">
            <v>5.3087692320732396E-3</v>
          </cell>
          <cell r="W65">
            <v>4.0700564112561496E-3</v>
          </cell>
          <cell r="X65">
            <v>823.08750804833096</v>
          </cell>
          <cell r="Y65">
            <v>1.60342803169058</v>
          </cell>
          <cell r="Z65">
            <v>5.4529073358284804E-3</v>
          </cell>
          <cell r="AA65">
            <v>4.1805622908018397E-3</v>
          </cell>
          <cell r="AB65">
            <v>760.89160086197001</v>
          </cell>
          <cell r="AC65">
            <v>1.4822663568214001</v>
          </cell>
        </row>
        <row r="66">
          <cell r="B66">
            <v>50</v>
          </cell>
          <cell r="C66">
            <v>46</v>
          </cell>
          <cell r="E66" t="str">
            <v>Complementary feeding - Supplementary feeding + Education</v>
          </cell>
          <cell r="F66">
            <v>70800</v>
          </cell>
          <cell r="G66">
            <v>4</v>
          </cell>
          <cell r="H66">
            <v>4</v>
          </cell>
          <cell r="I66">
            <v>0.87</v>
          </cell>
          <cell r="J66">
            <v>6.7383770648795603E-3</v>
          </cell>
          <cell r="K66">
            <v>5.16608908307433E-3</v>
          </cell>
          <cell r="L66">
            <v>2304.28237461447</v>
          </cell>
          <cell r="M66">
            <v>5.85507655693422</v>
          </cell>
          <cell r="N66">
            <v>6.5906853436622503E-3</v>
          </cell>
          <cell r="O66">
            <v>5.05285876347439E-3</v>
          </cell>
          <cell r="P66">
            <v>2253.77712286012</v>
          </cell>
          <cell r="Q66">
            <v>4.3905045097156901</v>
          </cell>
          <cell r="R66">
            <v>6.4577687215731103E-3</v>
          </cell>
          <cell r="S66">
            <v>4.9509560198727201E-3</v>
          </cell>
          <cell r="T66">
            <v>2208.3244231040298</v>
          </cell>
          <cell r="U66">
            <v>4.3019596925579897</v>
          </cell>
          <cell r="V66">
            <v>5.3087692320732396E-3</v>
          </cell>
          <cell r="W66">
            <v>4.0700564112561496E-3</v>
          </cell>
          <cell r="X66">
            <v>1815.4079616766901</v>
          </cell>
          <cell r="Y66">
            <v>3.5365328549437001</v>
          </cell>
          <cell r="Z66">
            <v>5.4529073358284804E-3</v>
          </cell>
          <cell r="AA66">
            <v>4.1805622908018397E-3</v>
          </cell>
          <cell r="AB66">
            <v>1678.2282037703301</v>
          </cell>
          <cell r="AC66">
            <v>3.2692977589705499</v>
          </cell>
        </row>
        <row r="67">
          <cell r="B67">
            <v>51</v>
          </cell>
          <cell r="C67">
            <v>55</v>
          </cell>
          <cell r="D67" t="str">
            <v>Vaccines</v>
          </cell>
          <cell r="E67" t="str">
            <v>BCG - Single dose</v>
          </cell>
          <cell r="F67">
            <v>275500</v>
          </cell>
          <cell r="G67">
            <v>1</v>
          </cell>
          <cell r="H67">
            <v>0.9</v>
          </cell>
          <cell r="I67">
            <v>0.87</v>
          </cell>
          <cell r="J67">
            <v>3.3748834515956402E-3</v>
          </cell>
          <cell r="K67">
            <v>2.5874106462233301E-3</v>
          </cell>
          <cell r="L67">
            <v>4490.8392881175196</v>
          </cell>
          <cell r="M67">
            <v>11.4110180794206</v>
          </cell>
          <cell r="N67">
            <v>3.3007902800675799E-3</v>
          </cell>
          <cell r="O67">
            <v>2.5306058813851398E-3</v>
          </cell>
          <cell r="P67">
            <v>4392.2460980261203</v>
          </cell>
          <cell r="Q67">
            <v>8.5563812435422193</v>
          </cell>
          <cell r="R67">
            <v>3.2341141078176001E-3</v>
          </cell>
          <cell r="S67">
            <v>2.4794874826601599E-3</v>
          </cell>
          <cell r="T67">
            <v>4303.5224492791003</v>
          </cell>
          <cell r="U67">
            <v>8.3835418017043004</v>
          </cell>
          <cell r="V67">
            <v>2.9111739333670399E-3</v>
          </cell>
          <cell r="W67">
            <v>2.2319000155814001E-3</v>
          </cell>
          <cell r="X67">
            <v>3873.79726204385</v>
          </cell>
          <cell r="Y67">
            <v>7.5464091707276797</v>
          </cell>
          <cell r="Z67">
            <v>2.7301806109985001E-3</v>
          </cell>
          <cell r="AA67">
            <v>2.0931384684321798E-3</v>
          </cell>
          <cell r="AB67">
            <v>3269.6602044608899</v>
          </cell>
          <cell r="AC67">
            <v>6.3695108656999402</v>
          </cell>
        </row>
        <row r="68">
          <cell r="B68">
            <v>52</v>
          </cell>
          <cell r="C68">
            <v>56</v>
          </cell>
          <cell r="E68" t="str">
            <v>Polio - Three doses</v>
          </cell>
          <cell r="F68">
            <v>239000</v>
          </cell>
          <cell r="G68">
            <v>3</v>
          </cell>
          <cell r="H68">
            <v>2.7</v>
          </cell>
          <cell r="I68">
            <v>0.87</v>
          </cell>
          <cell r="J68">
            <v>1.00905192792284E-2</v>
          </cell>
          <cell r="K68">
            <v>7.7360647807418002E-3</v>
          </cell>
          <cell r="L68">
            <v>11648.1927403629</v>
          </cell>
          <cell r="M68">
            <v>29.597527193758498</v>
          </cell>
          <cell r="N68">
            <v>9.8697211536085093E-3</v>
          </cell>
          <cell r="O68">
            <v>7.5667862177665303E-3</v>
          </cell>
          <cell r="P68">
            <v>11393.310008091101</v>
          </cell>
          <cell r="Q68">
            <v>22.194909365142902</v>
          </cell>
          <cell r="R68">
            <v>9.6709976684632402E-3</v>
          </cell>
          <cell r="S68">
            <v>7.41443154582182E-3</v>
          </cell>
          <cell r="T68">
            <v>11163.9095785439</v>
          </cell>
          <cell r="U68">
            <v>21.748022399150699</v>
          </cell>
          <cell r="V68">
            <v>8.70812167109636E-3</v>
          </cell>
          <cell r="W68">
            <v>6.6762266145072103E-3</v>
          </cell>
          <cell r="X68">
            <v>10052.3944134635</v>
          </cell>
          <cell r="Y68">
            <v>19.582718520872898</v>
          </cell>
          <cell r="Z68">
            <v>8.1682005249451607E-3</v>
          </cell>
          <cell r="AA68">
            <v>6.2622870691246202E-3</v>
          </cell>
          <cell r="AB68">
            <v>8486.2130759828506</v>
          </cell>
          <cell r="AC68">
            <v>16.5316953493735</v>
          </cell>
        </row>
        <row r="69">
          <cell r="E69" t="str">
            <v>Pentavalent</v>
          </cell>
        </row>
        <row r="70">
          <cell r="B70">
            <v>53</v>
          </cell>
          <cell r="C70">
            <v>57</v>
          </cell>
          <cell r="E70" t="str">
            <v>DPT - Three doses</v>
          </cell>
          <cell r="F70">
            <v>236200</v>
          </cell>
          <cell r="G70">
            <v>3</v>
          </cell>
          <cell r="H70">
            <v>2.7</v>
          </cell>
          <cell r="I70">
            <v>0.87</v>
          </cell>
          <cell r="J70">
            <v>1.00905192792284E-2</v>
          </cell>
          <cell r="K70">
            <v>7.7360647807418002E-3</v>
          </cell>
          <cell r="L70">
            <v>11511.7285576306</v>
          </cell>
          <cell r="M70">
            <v>29.250777921195599</v>
          </cell>
          <cell r="N70">
            <v>9.8697211536085093E-3</v>
          </cell>
          <cell r="O70">
            <v>7.5667862177665303E-3</v>
          </cell>
          <cell r="P70">
            <v>11259.831899209699</v>
          </cell>
          <cell r="Q70">
            <v>21.934885322371301</v>
          </cell>
          <cell r="R70">
            <v>9.6709976684632402E-3</v>
          </cell>
          <cell r="S70">
            <v>7.41443154582182E-3</v>
          </cell>
          <cell r="T70">
            <v>11033.1190060756</v>
          </cell>
          <cell r="U70">
            <v>21.493233852215099</v>
          </cell>
          <cell r="V70">
            <v>8.70812167109636E-3</v>
          </cell>
          <cell r="W70">
            <v>6.6762266145072103E-3</v>
          </cell>
          <cell r="X70">
            <v>9934.6257759836008</v>
          </cell>
          <cell r="Y70">
            <v>19.353297550753801</v>
          </cell>
          <cell r="Z70">
            <v>8.1682005249451607E-3</v>
          </cell>
          <cell r="AA70">
            <v>6.2622870691246202E-3</v>
          </cell>
          <cell r="AB70">
            <v>8386.7930064734192</v>
          </cell>
          <cell r="AC70">
            <v>16.338018583774101</v>
          </cell>
        </row>
        <row r="71">
          <cell r="B71">
            <v>54</v>
          </cell>
          <cell r="C71">
            <v>58</v>
          </cell>
          <cell r="E71" t="str">
            <v>Hib - Three doses</v>
          </cell>
          <cell r="F71">
            <v>236200</v>
          </cell>
          <cell r="G71">
            <v>3</v>
          </cell>
          <cell r="H71">
            <v>2.7</v>
          </cell>
          <cell r="I71">
            <v>0.87</v>
          </cell>
          <cell r="J71">
            <v>1.00905192792284E-2</v>
          </cell>
          <cell r="K71">
            <v>7.7360647807418002E-3</v>
          </cell>
          <cell r="L71">
            <v>11511.7285576306</v>
          </cell>
          <cell r="M71">
            <v>29.250777921195599</v>
          </cell>
          <cell r="N71">
            <v>9.8697211536085093E-3</v>
          </cell>
          <cell r="O71">
            <v>7.5667862177665303E-3</v>
          </cell>
          <cell r="P71">
            <v>11259.831899209699</v>
          </cell>
          <cell r="Q71">
            <v>21.934885322371301</v>
          </cell>
          <cell r="R71">
            <v>9.6709976684632402E-3</v>
          </cell>
          <cell r="S71">
            <v>7.41443154582182E-3</v>
          </cell>
          <cell r="T71">
            <v>11033.1190060756</v>
          </cell>
          <cell r="U71">
            <v>21.493233852215099</v>
          </cell>
          <cell r="V71">
            <v>8.70812167109636E-3</v>
          </cell>
          <cell r="W71">
            <v>6.6762266145072103E-3</v>
          </cell>
          <cell r="X71">
            <v>9934.6257759836008</v>
          </cell>
          <cell r="Y71">
            <v>19.353297550753801</v>
          </cell>
          <cell r="Z71">
            <v>8.1682005249451607E-3</v>
          </cell>
          <cell r="AA71">
            <v>6.2622870691246202E-3</v>
          </cell>
          <cell r="AB71">
            <v>8386.7930064734192</v>
          </cell>
          <cell r="AC71">
            <v>16.338018583774101</v>
          </cell>
        </row>
        <row r="72">
          <cell r="B72">
            <v>55</v>
          </cell>
          <cell r="C72">
            <v>59</v>
          </cell>
          <cell r="E72" t="str">
            <v>HepB - Three doses</v>
          </cell>
          <cell r="F72">
            <v>236200</v>
          </cell>
          <cell r="G72">
            <v>3</v>
          </cell>
          <cell r="H72">
            <v>2.7</v>
          </cell>
          <cell r="I72">
            <v>0.87</v>
          </cell>
          <cell r="J72">
            <v>1.00905192792284E-2</v>
          </cell>
          <cell r="K72">
            <v>7.7360647807418002E-3</v>
          </cell>
          <cell r="L72">
            <v>11511.7285576306</v>
          </cell>
          <cell r="M72">
            <v>29.250777921195599</v>
          </cell>
          <cell r="N72">
            <v>9.8697211536085093E-3</v>
          </cell>
          <cell r="O72">
            <v>7.5667862177665303E-3</v>
          </cell>
          <cell r="P72">
            <v>11259.831899209699</v>
          </cell>
          <cell r="Q72">
            <v>21.934885322371301</v>
          </cell>
          <cell r="R72">
            <v>9.6709976684632402E-3</v>
          </cell>
          <cell r="S72">
            <v>7.41443154582182E-3</v>
          </cell>
          <cell r="T72">
            <v>11033.1190060756</v>
          </cell>
          <cell r="U72">
            <v>21.493233852215099</v>
          </cell>
          <cell r="V72">
            <v>8.70812167109636E-3</v>
          </cell>
          <cell r="W72">
            <v>6.6762266145072103E-3</v>
          </cell>
          <cell r="X72">
            <v>9934.6257759836008</v>
          </cell>
          <cell r="Y72">
            <v>19.353297550753801</v>
          </cell>
          <cell r="Z72">
            <v>8.1682005249451607E-3</v>
          </cell>
          <cell r="AA72">
            <v>6.2622870691246202E-3</v>
          </cell>
          <cell r="AB72">
            <v>8386.7930064734192</v>
          </cell>
          <cell r="AC72">
            <v>16.338018583774101</v>
          </cell>
        </row>
        <row r="73">
          <cell r="B73">
            <v>56</v>
          </cell>
          <cell r="C73">
            <v>60</v>
          </cell>
          <cell r="E73" t="str">
            <v>Pneumococcal - Three doses</v>
          </cell>
          <cell r="F73">
            <v>104100</v>
          </cell>
          <cell r="G73">
            <v>3</v>
          </cell>
          <cell r="H73">
            <v>2.7</v>
          </cell>
          <cell r="I73">
            <v>0.87</v>
          </cell>
          <cell r="J73">
            <v>1.00905192792284E-2</v>
          </cell>
          <cell r="K73">
            <v>7.7360647807418002E-3</v>
          </cell>
          <cell r="L73">
            <v>5073.5433651538997</v>
          </cell>
          <cell r="M73">
            <v>12.8916425977835</v>
          </cell>
          <cell r="N73">
            <v>9.8697211536085093E-3</v>
          </cell>
          <cell r="O73">
            <v>7.5667862177665303E-3</v>
          </cell>
          <cell r="P73">
            <v>4962.52540519782</v>
          </cell>
          <cell r="Q73">
            <v>9.6673224473279102</v>
          </cell>
          <cell r="R73">
            <v>9.6709976684632402E-3</v>
          </cell>
          <cell r="S73">
            <v>7.41443154582182E-3</v>
          </cell>
          <cell r="T73">
            <v>4862.60664069632</v>
          </cell>
          <cell r="U73">
            <v>9.4726741914292507</v>
          </cell>
          <cell r="V73">
            <v>8.70812167109636E-3</v>
          </cell>
          <cell r="W73">
            <v>6.6762266145072103E-3</v>
          </cell>
          <cell r="X73">
            <v>4378.4697005922599</v>
          </cell>
          <cell r="Y73">
            <v>8.5295439247818603</v>
          </cell>
          <cell r="Z73">
            <v>8.1682005249451607E-3</v>
          </cell>
          <cell r="AA73">
            <v>6.2622870691246202E-3</v>
          </cell>
          <cell r="AB73">
            <v>3696.2961556895998</v>
          </cell>
          <cell r="AC73">
            <v>7.2006254638903</v>
          </cell>
        </row>
        <row r="74">
          <cell r="B74">
            <v>57</v>
          </cell>
          <cell r="C74">
            <v>61</v>
          </cell>
          <cell r="E74" t="str">
            <v>Rotavirus - Two doses</v>
          </cell>
          <cell r="F74">
            <v>14100</v>
          </cell>
          <cell r="G74">
            <v>2</v>
          </cell>
          <cell r="H74">
            <v>1.8</v>
          </cell>
          <cell r="I74">
            <v>0.87</v>
          </cell>
          <cell r="J74">
            <v>6.7383770648795603E-3</v>
          </cell>
          <cell r="K74">
            <v>5.16608908307433E-3</v>
          </cell>
          <cell r="L74">
            <v>458.90369324949302</v>
          </cell>
          <cell r="M74">
            <v>1.1660533821013099</v>
          </cell>
          <cell r="N74">
            <v>6.5906853436622503E-3</v>
          </cell>
          <cell r="O74">
            <v>5.05285876347439E-3</v>
          </cell>
          <cell r="P74">
            <v>448.84544395942999</v>
          </cell>
          <cell r="Q74">
            <v>0.87438013540948201</v>
          </cell>
          <cell r="R74">
            <v>6.4577687215731103E-3</v>
          </cell>
          <cell r="S74">
            <v>4.9509560198727201E-3</v>
          </cell>
          <cell r="T74">
            <v>439.79342324529301</v>
          </cell>
          <cell r="U74">
            <v>0.85674620995858197</v>
          </cell>
          <cell r="V74">
            <v>5.8138729330638999E-3</v>
          </cell>
          <cell r="W74">
            <v>4.4573025820156603E-3</v>
          </cell>
          <cell r="X74">
            <v>395.94218836045098</v>
          </cell>
          <cell r="Y74">
            <v>0.77132115059238504</v>
          </cell>
          <cell r="Z74">
            <v>5.4529073358284804E-3</v>
          </cell>
          <cell r="AA74">
            <v>4.1805622908018397E-3</v>
          </cell>
          <cell r="AB74">
            <v>334.22341346273402</v>
          </cell>
          <cell r="AC74">
            <v>0.65108896047294895</v>
          </cell>
        </row>
        <row r="75">
          <cell r="B75">
            <v>58</v>
          </cell>
          <cell r="C75">
            <v>62</v>
          </cell>
          <cell r="E75" t="str">
            <v>Meningococcal A - Single dose</v>
          </cell>
          <cell r="F75">
            <v>0</v>
          </cell>
          <cell r="G75">
            <v>1</v>
          </cell>
          <cell r="H75">
            <v>0.9</v>
          </cell>
          <cell r="I75">
            <v>0.87</v>
          </cell>
          <cell r="J75">
            <v>3.3748834515956402E-3</v>
          </cell>
          <cell r="K75">
            <v>2.5874106462233301E-3</v>
          </cell>
          <cell r="L75">
            <v>0</v>
          </cell>
          <cell r="M75">
            <v>0</v>
          </cell>
          <cell r="N75">
            <v>3.3007902800675799E-3</v>
          </cell>
          <cell r="O75">
            <v>2.5306058813851398E-3</v>
          </cell>
          <cell r="P75">
            <v>0</v>
          </cell>
          <cell r="Q75">
            <v>0</v>
          </cell>
          <cell r="R75">
            <v>3.2341141078176001E-3</v>
          </cell>
          <cell r="S75">
            <v>2.4794874826601599E-3</v>
          </cell>
          <cell r="T75">
            <v>0</v>
          </cell>
          <cell r="U75">
            <v>0</v>
          </cell>
          <cell r="V75">
            <v>2.9111739333670399E-3</v>
          </cell>
          <cell r="W75">
            <v>2.2319000155814001E-3</v>
          </cell>
          <cell r="X75">
            <v>0</v>
          </cell>
          <cell r="Y75">
            <v>0</v>
          </cell>
          <cell r="Z75">
            <v>2.7301806109985001E-3</v>
          </cell>
          <cell r="AA75">
            <v>2.0931384684321798E-3</v>
          </cell>
          <cell r="AB75">
            <v>0</v>
          </cell>
          <cell r="AC75">
            <v>0</v>
          </cell>
        </row>
        <row r="76">
          <cell r="B76">
            <v>59</v>
          </cell>
          <cell r="C76">
            <v>63</v>
          </cell>
          <cell r="E76" t="str">
            <v>Malaria vaccine - Three doses</v>
          </cell>
          <cell r="F76">
            <v>0</v>
          </cell>
          <cell r="G76">
            <v>3</v>
          </cell>
          <cell r="H76">
            <v>2.7</v>
          </cell>
          <cell r="I76">
            <v>0.87</v>
          </cell>
          <cell r="J76">
            <v>1.00905192792284E-2</v>
          </cell>
          <cell r="K76">
            <v>7.7360647807418002E-3</v>
          </cell>
          <cell r="L76">
            <v>0</v>
          </cell>
          <cell r="M76">
            <v>0</v>
          </cell>
          <cell r="N76">
            <v>9.8697211536085093E-3</v>
          </cell>
          <cell r="O76">
            <v>7.5667862177665303E-3</v>
          </cell>
          <cell r="P76">
            <v>0</v>
          </cell>
          <cell r="Q76">
            <v>0</v>
          </cell>
          <cell r="R76">
            <v>9.6709976684632402E-3</v>
          </cell>
          <cell r="S76">
            <v>7.41443154582182E-3</v>
          </cell>
          <cell r="T76">
            <v>0</v>
          </cell>
          <cell r="U76">
            <v>0</v>
          </cell>
          <cell r="V76">
            <v>8.70812167109636E-3</v>
          </cell>
          <cell r="W76">
            <v>6.6762266145072103E-3</v>
          </cell>
          <cell r="X76">
            <v>0</v>
          </cell>
          <cell r="Y76">
            <v>0</v>
          </cell>
          <cell r="Z76">
            <v>8.1682005249451607E-3</v>
          </cell>
          <cell r="AA76">
            <v>6.2622870691246202E-3</v>
          </cell>
          <cell r="AB76">
            <v>0</v>
          </cell>
          <cell r="AC76">
            <v>0</v>
          </cell>
        </row>
        <row r="77">
          <cell r="B77">
            <v>60</v>
          </cell>
          <cell r="C77">
            <v>64</v>
          </cell>
          <cell r="E77" t="str">
            <v>Measles - Single dose</v>
          </cell>
          <cell r="F77">
            <v>230500</v>
          </cell>
          <cell r="G77">
            <v>1</v>
          </cell>
          <cell r="H77">
            <v>0.9</v>
          </cell>
          <cell r="I77">
            <v>0.87</v>
          </cell>
          <cell r="J77">
            <v>3.3748834515956402E-3</v>
          </cell>
          <cell r="K77">
            <v>2.5874106462233301E-3</v>
          </cell>
          <cell r="L77">
            <v>3757.3083699132098</v>
          </cell>
          <cell r="M77">
            <v>9.5471494276096198</v>
          </cell>
          <cell r="N77">
            <v>3.3007902800675799E-3</v>
          </cell>
          <cell r="O77">
            <v>2.5306058813851398E-3</v>
          </cell>
          <cell r="P77">
            <v>3674.8193306534399</v>
          </cell>
          <cell r="Q77">
            <v>7.1587872110217097</v>
          </cell>
          <cell r="R77">
            <v>3.2341141078176001E-3</v>
          </cell>
          <cell r="S77">
            <v>2.4794874826601599E-3</v>
          </cell>
          <cell r="T77">
            <v>3600.58774794495</v>
          </cell>
          <cell r="U77">
            <v>7.0141792569613104</v>
          </cell>
          <cell r="V77">
            <v>2.9111739333670399E-3</v>
          </cell>
          <cell r="W77">
            <v>2.2319000155814001E-3</v>
          </cell>
          <cell r="X77">
            <v>3241.0536076265198</v>
          </cell>
          <cell r="Y77">
            <v>6.3137833533674401</v>
          </cell>
          <cell r="Z77">
            <v>2.7301806109985001E-3</v>
          </cell>
          <cell r="AA77">
            <v>2.0931384684321798E-3</v>
          </cell>
          <cell r="AB77">
            <v>2735.5959242404201</v>
          </cell>
          <cell r="AC77">
            <v>5.32911889126619</v>
          </cell>
        </row>
        <row r="78">
          <cell r="B78">
            <v>61</v>
          </cell>
          <cell r="C78">
            <v>47</v>
          </cell>
          <cell r="D78" t="str">
            <v>Child Health</v>
          </cell>
          <cell r="E78" t="str">
            <v>Vitamin A supplementation</v>
          </cell>
          <cell r="F78">
            <v>0</v>
          </cell>
          <cell r="G78">
            <v>2</v>
          </cell>
          <cell r="H78">
            <v>1.8</v>
          </cell>
          <cell r="I78">
            <v>0.89</v>
          </cell>
          <cell r="J78">
            <v>6.7383770648795603E-3</v>
          </cell>
          <cell r="K78">
            <v>5.16608908307433E-3</v>
          </cell>
          <cell r="L78">
            <v>0</v>
          </cell>
          <cell r="M78">
            <v>0</v>
          </cell>
          <cell r="N78">
            <v>6.5906853436622503E-3</v>
          </cell>
          <cell r="O78">
            <v>5.05285876347439E-3</v>
          </cell>
          <cell r="P78">
            <v>0</v>
          </cell>
          <cell r="Q78">
            <v>0</v>
          </cell>
          <cell r="R78">
            <v>6.4577687215731103E-3</v>
          </cell>
          <cell r="S78">
            <v>4.9509560198727201E-3</v>
          </cell>
          <cell r="T78">
            <v>0</v>
          </cell>
          <cell r="U78">
            <v>0</v>
          </cell>
          <cell r="V78">
            <v>5.8138729330638999E-3</v>
          </cell>
          <cell r="W78">
            <v>4.4573025820156603E-3</v>
          </cell>
          <cell r="X78">
            <v>0</v>
          </cell>
          <cell r="Y78">
            <v>0</v>
          </cell>
          <cell r="Z78">
            <v>5.4233416439648501E-3</v>
          </cell>
          <cell r="AA78">
            <v>4.1578952603730504E-3</v>
          </cell>
          <cell r="AB78">
            <v>0</v>
          </cell>
          <cell r="AC78">
            <v>0</v>
          </cell>
        </row>
        <row r="79">
          <cell r="B79">
            <v>62</v>
          </cell>
          <cell r="C79">
            <v>48</v>
          </cell>
          <cell r="E79" t="str">
            <v>Zinc supplementation</v>
          </cell>
          <cell r="F79">
            <v>0</v>
          </cell>
          <cell r="G79">
            <v>2</v>
          </cell>
          <cell r="H79">
            <v>1.8</v>
          </cell>
          <cell r="I79">
            <v>0.89</v>
          </cell>
          <cell r="J79">
            <v>6.7383770648795603E-3</v>
          </cell>
          <cell r="K79">
            <v>5.16608908307433E-3</v>
          </cell>
          <cell r="L79">
            <v>0</v>
          </cell>
          <cell r="M79">
            <v>0</v>
          </cell>
          <cell r="N79">
            <v>6.5906853436622503E-3</v>
          </cell>
          <cell r="O79">
            <v>5.05285876347439E-3</v>
          </cell>
          <cell r="P79">
            <v>0</v>
          </cell>
          <cell r="Q79">
            <v>0</v>
          </cell>
          <cell r="R79">
            <v>6.4577687215731103E-3</v>
          </cell>
          <cell r="S79">
            <v>4.9509560198727201E-3</v>
          </cell>
          <cell r="T79">
            <v>0</v>
          </cell>
          <cell r="U79">
            <v>0</v>
          </cell>
          <cell r="V79">
            <v>5.8138729330638999E-3</v>
          </cell>
          <cell r="W79">
            <v>4.4573025820156603E-3</v>
          </cell>
          <cell r="X79">
            <v>0</v>
          </cell>
          <cell r="Y79">
            <v>0</v>
          </cell>
          <cell r="Z79">
            <v>5.4233416439648501E-3</v>
          </cell>
          <cell r="AA79">
            <v>4.1578952603730504E-3</v>
          </cell>
          <cell r="AB79">
            <v>0</v>
          </cell>
          <cell r="AC79">
            <v>0</v>
          </cell>
        </row>
        <row r="80">
          <cell r="B80">
            <v>63</v>
          </cell>
          <cell r="C80">
            <v>71</v>
          </cell>
          <cell r="E80" t="str">
            <v>ORS - Oral Rehydration Solution</v>
          </cell>
          <cell r="F80">
            <v>2876500</v>
          </cell>
          <cell r="G80">
            <v>1</v>
          </cell>
          <cell r="H80">
            <v>0.9</v>
          </cell>
          <cell r="I80">
            <v>0.89</v>
          </cell>
          <cell r="J80">
            <v>3.3748834515956402E-3</v>
          </cell>
          <cell r="K80">
            <v>2.5874106462233301E-3</v>
          </cell>
          <cell r="L80">
            <v>46888.926360326797</v>
          </cell>
          <cell r="M80">
            <v>119.14262615409601</v>
          </cell>
          <cell r="N80">
            <v>3.3007902800675799E-3</v>
          </cell>
          <cell r="O80">
            <v>2.5306058813851398E-3</v>
          </cell>
          <cell r="P80">
            <v>45859.513252167497</v>
          </cell>
          <cell r="Q80">
            <v>89.337316323227597</v>
          </cell>
          <cell r="R80">
            <v>3.2341141078176001E-3</v>
          </cell>
          <cell r="S80">
            <v>2.4794874826601599E-3</v>
          </cell>
          <cell r="T80">
            <v>44933.1481863933</v>
          </cell>
          <cell r="U80">
            <v>87.532696887849099</v>
          </cell>
          <cell r="V80">
            <v>2.9111739333670399E-3</v>
          </cell>
          <cell r="W80">
            <v>2.2319000155814001E-3</v>
          </cell>
          <cell r="X80">
            <v>40446.380487365299</v>
          </cell>
          <cell r="Y80">
            <v>78.792181414149496</v>
          </cell>
          <cell r="Z80">
            <v>2.7153574049004802E-3</v>
          </cell>
          <cell r="AA80">
            <v>2.0817740104236999E-3</v>
          </cell>
          <cell r="AB80">
            <v>33953.224075377999</v>
          </cell>
          <cell r="AC80">
            <v>66.143090153101497</v>
          </cell>
        </row>
        <row r="81">
          <cell r="B81">
            <v>64</v>
          </cell>
          <cell r="C81">
            <v>72</v>
          </cell>
          <cell r="E81" t="str">
            <v>Antibiotics for treatment of dysentery</v>
          </cell>
          <cell r="F81">
            <v>0</v>
          </cell>
          <cell r="G81">
            <v>1</v>
          </cell>
          <cell r="H81">
            <v>0.9</v>
          </cell>
          <cell r="I81">
            <v>0.89</v>
          </cell>
          <cell r="J81">
            <v>3.3748834515956402E-3</v>
          </cell>
          <cell r="K81">
            <v>2.5874106462233301E-3</v>
          </cell>
          <cell r="L81">
            <v>0</v>
          </cell>
          <cell r="M81">
            <v>0</v>
          </cell>
          <cell r="N81">
            <v>3.3007902800675799E-3</v>
          </cell>
          <cell r="O81">
            <v>2.5306058813851398E-3</v>
          </cell>
          <cell r="P81">
            <v>0</v>
          </cell>
          <cell r="Q81">
            <v>0</v>
          </cell>
          <cell r="R81">
            <v>3.2341141078176001E-3</v>
          </cell>
          <cell r="S81">
            <v>2.4794874826601599E-3</v>
          </cell>
          <cell r="T81">
            <v>0</v>
          </cell>
          <cell r="U81">
            <v>0</v>
          </cell>
          <cell r="V81">
            <v>2.9111739333670399E-3</v>
          </cell>
          <cell r="W81">
            <v>2.2319000155814001E-3</v>
          </cell>
          <cell r="X81">
            <v>0</v>
          </cell>
          <cell r="Y81">
            <v>0</v>
          </cell>
          <cell r="Z81">
            <v>2.7153574049004802E-3</v>
          </cell>
          <cell r="AA81">
            <v>2.0817740104236999E-3</v>
          </cell>
          <cell r="AB81">
            <v>0</v>
          </cell>
          <cell r="AC81">
            <v>0</v>
          </cell>
        </row>
        <row r="82">
          <cell r="B82">
            <v>65</v>
          </cell>
          <cell r="C82">
            <v>73</v>
          </cell>
          <cell r="E82" t="str">
            <v>Zinc for treatment of diarrhea</v>
          </cell>
          <cell r="F82">
            <v>838100</v>
          </cell>
          <cell r="G82">
            <v>1</v>
          </cell>
          <cell r="H82">
            <v>0.9</v>
          </cell>
          <cell r="I82">
            <v>0.89</v>
          </cell>
          <cell r="J82">
            <v>3.3748834515956402E-3</v>
          </cell>
          <cell r="K82">
            <v>2.5874106462233301E-3</v>
          </cell>
          <cell r="L82">
            <v>13661.605834378601</v>
          </cell>
          <cell r="M82">
            <v>34.713518157395299</v>
          </cell>
          <cell r="N82">
            <v>3.3007902800675799E-3</v>
          </cell>
          <cell r="O82">
            <v>2.5306058813851398E-3</v>
          </cell>
          <cell r="P82">
            <v>13361.674971889999</v>
          </cell>
          <cell r="Q82">
            <v>26.0294124145653</v>
          </cell>
          <cell r="R82">
            <v>3.2341141078176001E-3</v>
          </cell>
          <cell r="S82">
            <v>2.4794874826601599E-3</v>
          </cell>
          <cell r="T82">
            <v>13091.768293070099</v>
          </cell>
          <cell r="U82">
            <v>25.503616638868898</v>
          </cell>
          <cell r="V82">
            <v>2.9111739333670399E-3</v>
          </cell>
          <cell r="W82">
            <v>2.2319000155814001E-3</v>
          </cell>
          <cell r="X82">
            <v>11784.4990392702</v>
          </cell>
          <cell r="Y82">
            <v>22.9569710562137</v>
          </cell>
          <cell r="Z82">
            <v>2.7153574049004802E-3</v>
          </cell>
          <cell r="AA82">
            <v>2.0817740104236999E-3</v>
          </cell>
          <cell r="AB82">
            <v>9892.6463054316991</v>
          </cell>
          <cell r="AC82">
            <v>19.271518810121499</v>
          </cell>
        </row>
        <row r="83">
          <cell r="B83">
            <v>66</v>
          </cell>
          <cell r="C83">
            <v>74</v>
          </cell>
          <cell r="E83" t="str">
            <v>Oral antibiotics for pneumonia</v>
          </cell>
          <cell r="F83">
            <v>1441800</v>
          </cell>
          <cell r="G83">
            <v>1</v>
          </cell>
          <cell r="H83">
            <v>0.9</v>
          </cell>
          <cell r="I83">
            <v>0.89</v>
          </cell>
          <cell r="J83">
            <v>3.3748834515956402E-3</v>
          </cell>
          <cell r="K83">
            <v>2.5874106462233301E-3</v>
          </cell>
          <cell r="L83">
            <v>23502.330619266198</v>
          </cell>
          <cell r="M83">
            <v>59.7183516040241</v>
          </cell>
          <cell r="N83">
            <v>3.3007902800675799E-3</v>
          </cell>
          <cell r="O83">
            <v>2.5306058813851398E-3</v>
          </cell>
          <cell r="P83">
            <v>22986.353626620901</v>
          </cell>
          <cell r="Q83">
            <v>44.778912801957098</v>
          </cell>
          <cell r="R83">
            <v>3.2341141078176001E-3</v>
          </cell>
          <cell r="S83">
            <v>2.4794874826601599E-3</v>
          </cell>
          <cell r="T83">
            <v>22522.027830746301</v>
          </cell>
          <cell r="U83">
            <v>43.874375933565403</v>
          </cell>
          <cell r="V83">
            <v>2.9111739333670399E-3</v>
          </cell>
          <cell r="W83">
            <v>2.2319000155814001E-3</v>
          </cell>
          <cell r="X83">
            <v>20273.106687531101</v>
          </cell>
          <cell r="Y83">
            <v>39.493331188222001</v>
          </cell>
          <cell r="Z83">
            <v>2.7153574049004802E-3</v>
          </cell>
          <cell r="AA83">
            <v>2.0817740104236999E-3</v>
          </cell>
          <cell r="AB83">
            <v>17018.5150258578</v>
          </cell>
          <cell r="AC83">
            <v>33.153174824523497</v>
          </cell>
        </row>
        <row r="84">
          <cell r="B84">
            <v>67</v>
          </cell>
          <cell r="C84">
            <v>75</v>
          </cell>
          <cell r="E84" t="str">
            <v>Vitamin A for treatment of measles</v>
          </cell>
          <cell r="F84">
            <v>0</v>
          </cell>
          <cell r="G84">
            <v>1</v>
          </cell>
          <cell r="H84">
            <v>0.9</v>
          </cell>
          <cell r="I84">
            <v>0.89</v>
          </cell>
          <cell r="J84">
            <v>3.3748834515956402E-3</v>
          </cell>
          <cell r="K84">
            <v>2.5874106462233301E-3</v>
          </cell>
          <cell r="L84">
            <v>0</v>
          </cell>
          <cell r="M84">
            <v>0</v>
          </cell>
          <cell r="N84">
            <v>3.3007902800675799E-3</v>
          </cell>
          <cell r="O84">
            <v>2.5306058813851398E-3</v>
          </cell>
          <cell r="P84">
            <v>0</v>
          </cell>
          <cell r="Q84">
            <v>0</v>
          </cell>
          <cell r="R84">
            <v>3.2341141078176001E-3</v>
          </cell>
          <cell r="S84">
            <v>2.4794874826601599E-3</v>
          </cell>
          <cell r="T84">
            <v>0</v>
          </cell>
          <cell r="U84">
            <v>0</v>
          </cell>
          <cell r="V84">
            <v>2.9111739333670399E-3</v>
          </cell>
          <cell r="W84">
            <v>2.2319000155814001E-3</v>
          </cell>
          <cell r="X84">
            <v>0</v>
          </cell>
          <cell r="Y84">
            <v>0</v>
          </cell>
          <cell r="Z84">
            <v>2.7153574049004802E-3</v>
          </cell>
          <cell r="AA84">
            <v>2.0817740104236999E-3</v>
          </cell>
          <cell r="AB84">
            <v>0</v>
          </cell>
          <cell r="AC84">
            <v>0</v>
          </cell>
        </row>
        <row r="85">
          <cell r="B85">
            <v>68</v>
          </cell>
          <cell r="C85">
            <v>76</v>
          </cell>
          <cell r="E85" t="str">
            <v>ACTs - Artemisinin compounds for treatment of malaria</v>
          </cell>
          <cell r="F85">
            <v>1084200</v>
          </cell>
          <cell r="G85">
            <v>2</v>
          </cell>
          <cell r="H85">
            <v>1.8</v>
          </cell>
          <cell r="I85">
            <v>0.89</v>
          </cell>
          <cell r="J85">
            <v>6.7383770648795603E-3</v>
          </cell>
          <cell r="K85">
            <v>5.16608908307433E-3</v>
          </cell>
          <cell r="L85">
            <v>35286.764838375901</v>
          </cell>
          <cell r="M85">
            <v>89.662062189662095</v>
          </cell>
          <cell r="N85">
            <v>6.5906853436622503E-3</v>
          </cell>
          <cell r="O85">
            <v>5.05285876347439E-3</v>
          </cell>
          <cell r="P85">
            <v>34513.349669561299</v>
          </cell>
          <cell r="Q85">
            <v>67.234251263188696</v>
          </cell>
          <cell r="R85">
            <v>6.4577687215731103E-3</v>
          </cell>
          <cell r="S85">
            <v>4.9509560198727201E-3</v>
          </cell>
          <cell r="T85">
            <v>33817.307055499798</v>
          </cell>
          <cell r="U85">
            <v>65.878314952985505</v>
          </cell>
          <cell r="V85">
            <v>5.8138729330638999E-3</v>
          </cell>
          <cell r="W85">
            <v>4.4573025820156603E-3</v>
          </cell>
          <cell r="X85">
            <v>30445.426994354701</v>
          </cell>
          <cell r="Y85">
            <v>59.309673154061301</v>
          </cell>
          <cell r="Z85">
            <v>5.4233416439648501E-3</v>
          </cell>
          <cell r="AA85">
            <v>4.1578952603730504E-3</v>
          </cell>
          <cell r="AB85">
            <v>25560.303534151</v>
          </cell>
          <cell r="AC85">
            <v>49.7931347328513</v>
          </cell>
        </row>
        <row r="86">
          <cell r="B86">
            <v>69</v>
          </cell>
          <cell r="C86">
            <v>77</v>
          </cell>
          <cell r="D86" t="str">
            <v>Malnutrition</v>
          </cell>
          <cell r="E86" t="str">
            <v>SAM - treatment for severe acute malnutrition</v>
          </cell>
          <cell r="F86">
            <v>0</v>
          </cell>
          <cell r="G86">
            <v>2</v>
          </cell>
          <cell r="H86">
            <v>1.8</v>
          </cell>
          <cell r="I86">
            <v>0</v>
          </cell>
          <cell r="J86">
            <v>6.7383770648795603E-3</v>
          </cell>
          <cell r="K86">
            <v>5.16608908307433E-3</v>
          </cell>
          <cell r="L86">
            <v>0</v>
          </cell>
          <cell r="M86">
            <v>0</v>
          </cell>
          <cell r="N86">
            <v>6.5906853436622503E-3</v>
          </cell>
          <cell r="O86">
            <v>5.05285876347439E-3</v>
          </cell>
          <cell r="P86">
            <v>0</v>
          </cell>
          <cell r="Q86">
            <v>0</v>
          </cell>
          <cell r="R86">
            <v>6.4577687215731103E-3</v>
          </cell>
          <cell r="S86">
            <v>4.9509560198727201E-3</v>
          </cell>
          <cell r="T86">
            <v>0</v>
          </cell>
          <cell r="U86">
            <v>0</v>
          </cell>
          <cell r="V86">
            <v>5.8138729330638999E-3</v>
          </cell>
          <cell r="W86">
            <v>4.4573025820156603E-3</v>
          </cell>
          <cell r="X86">
            <v>0</v>
          </cell>
          <cell r="Y86">
            <v>0</v>
          </cell>
          <cell r="Z86">
            <v>6.7383770648795603E-3</v>
          </cell>
          <cell r="AA86">
            <v>5.16608908307433E-3</v>
          </cell>
          <cell r="AB86">
            <v>0</v>
          </cell>
          <cell r="AC86">
            <v>0</v>
          </cell>
        </row>
        <row r="87">
          <cell r="B87">
            <v>70</v>
          </cell>
          <cell r="C87">
            <v>78</v>
          </cell>
          <cell r="E87" t="str">
            <v>MAM - treatment for moderate acute malnutrition</v>
          </cell>
          <cell r="F87">
            <v>0</v>
          </cell>
          <cell r="G87">
            <v>4</v>
          </cell>
          <cell r="H87">
            <v>4</v>
          </cell>
          <cell r="I87">
            <v>0</v>
          </cell>
          <cell r="J87">
            <v>1.34313484042908E-2</v>
          </cell>
          <cell r="K87">
            <v>1.0297367109956299E-2</v>
          </cell>
          <cell r="L87">
            <v>0</v>
          </cell>
          <cell r="M87">
            <v>0</v>
          </cell>
          <cell r="N87">
            <v>1.3137933554025399E-2</v>
          </cell>
          <cell r="O87">
            <v>1.0072415724752801E-2</v>
          </cell>
          <cell r="P87">
            <v>0</v>
          </cell>
          <cell r="Q87">
            <v>0</v>
          </cell>
          <cell r="R87">
            <v>1.2873834666284801E-2</v>
          </cell>
          <cell r="S87">
            <v>9.8699399108183299E-3</v>
          </cell>
          <cell r="T87">
            <v>0</v>
          </cell>
          <cell r="U87">
            <v>0</v>
          </cell>
          <cell r="V87">
            <v>1.2873834666284801E-2</v>
          </cell>
          <cell r="W87">
            <v>9.8699399108183299E-3</v>
          </cell>
          <cell r="X87">
            <v>0</v>
          </cell>
          <cell r="Y87">
            <v>0</v>
          </cell>
          <cell r="Z87">
            <v>1.34313484042908E-2</v>
          </cell>
          <cell r="AA87">
            <v>1.0297367109956299E-2</v>
          </cell>
          <cell r="AB87">
            <v>0</v>
          </cell>
          <cell r="AC87">
            <v>0</v>
          </cell>
        </row>
        <row r="88">
          <cell r="B88">
            <v>71</v>
          </cell>
          <cell r="C88">
            <v>54</v>
          </cell>
          <cell r="E88" t="str">
            <v>ITN</v>
          </cell>
          <cell r="F88">
            <v>0</v>
          </cell>
          <cell r="G88">
            <v>4</v>
          </cell>
          <cell r="H88">
            <v>4</v>
          </cell>
          <cell r="I88">
            <v>0</v>
          </cell>
          <cell r="J88">
            <v>6.7383770648795603E-3</v>
          </cell>
          <cell r="K88">
            <v>5.16608908307433E-3</v>
          </cell>
          <cell r="L88">
            <v>0</v>
          </cell>
          <cell r="M88">
            <v>0</v>
          </cell>
          <cell r="N88">
            <v>6.5906853436622503E-3</v>
          </cell>
          <cell r="O88">
            <v>5.05285876347439E-3</v>
          </cell>
          <cell r="P88">
            <v>0</v>
          </cell>
          <cell r="Q88">
            <v>0</v>
          </cell>
          <cell r="R88">
            <v>6.4577687215731103E-3</v>
          </cell>
          <cell r="S88">
            <v>4.9509560198727201E-3</v>
          </cell>
          <cell r="T88">
            <v>0</v>
          </cell>
          <cell r="U88">
            <v>0</v>
          </cell>
          <cell r="V88">
            <v>6.4577687215731103E-3</v>
          </cell>
          <cell r="W88">
            <v>4.9509560198727201E-3</v>
          </cell>
          <cell r="X88">
            <v>0</v>
          </cell>
          <cell r="Y88">
            <v>0</v>
          </cell>
          <cell r="Z88">
            <v>6.4577687215731103E-3</v>
          </cell>
          <cell r="AA88">
            <v>4.9509560198727201E-3</v>
          </cell>
          <cell r="AB88">
            <v>0</v>
          </cell>
          <cell r="AC88">
            <v>0</v>
          </cell>
        </row>
      </sheetData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S70"/>
  <sheetViews>
    <sheetView tabSelected="1" topLeftCell="D1" zoomScale="55" zoomScaleNormal="55" workbookViewId="0">
      <selection activeCell="Q20" sqref="Q20"/>
    </sheetView>
  </sheetViews>
  <sheetFormatPr defaultColWidth="9.81640625" defaultRowHeight="14.5"/>
  <cols>
    <col min="1" max="1" width="3.7265625" style="1" hidden="1" customWidth="1"/>
    <col min="2" max="3" width="4.7265625" style="1" hidden="1" customWidth="1"/>
    <col min="4" max="4" width="29.90625" style="1" customWidth="1"/>
    <col min="5" max="5" width="69.26953125" style="1" customWidth="1"/>
    <col min="6" max="7" width="13.90625" style="1" customWidth="1"/>
    <col min="8" max="8" width="16.6328125" style="1" customWidth="1"/>
    <col min="9" max="9" width="16.08984375" style="1" customWidth="1"/>
    <col min="10" max="10" width="10.90625" style="1" customWidth="1"/>
    <col min="11" max="12" width="9.90625" style="1" customWidth="1"/>
    <col min="13" max="16373" width="9.81640625" style="1"/>
  </cols>
  <sheetData>
    <row r="1" spans="1:10" s="1" customFormat="1" ht="20">
      <c r="A1" s="2"/>
      <c r="D1" s="23" t="s">
        <v>0</v>
      </c>
    </row>
    <row r="2" spans="1:10" s="1" customFormat="1">
      <c r="A2" s="3" t="s">
        <v>1</v>
      </c>
      <c r="B2" s="3"/>
      <c r="C2" s="3"/>
    </row>
    <row r="3" spans="1:10" s="1" customFormat="1" ht="50">
      <c r="A3" s="4" t="s">
        <v>2</v>
      </c>
      <c r="B3" s="4" t="s">
        <v>3</v>
      </c>
      <c r="C3" s="4" t="s">
        <v>4</v>
      </c>
      <c r="D3" s="22"/>
      <c r="E3" s="22"/>
      <c r="F3" s="22"/>
      <c r="G3" s="22"/>
      <c r="H3" s="24" t="s">
        <v>5</v>
      </c>
      <c r="I3" s="24" t="s">
        <v>6</v>
      </c>
      <c r="J3" s="24" t="s">
        <v>7</v>
      </c>
    </row>
    <row r="4" spans="1:10" s="1" customFormat="1">
      <c r="A4" s="5" t="s">
        <v>8</v>
      </c>
      <c r="B4" s="6">
        <v>0</v>
      </c>
      <c r="C4" s="6">
        <v>0</v>
      </c>
      <c r="D4" s="25" t="s">
        <v>9</v>
      </c>
      <c r="E4" s="26" t="s">
        <v>10</v>
      </c>
      <c r="F4" s="40"/>
      <c r="G4" s="41"/>
      <c r="H4" s="7">
        <f>VLOOKUP(B4,'[1]6. Lives Saved with Mitigation'!$B$15:$I$81,8,FALSE)</f>
        <v>7</v>
      </c>
      <c r="I4" s="7">
        <f>-VLOOKUP($B4,'[1]Detailed COVID Calculations - 2'!$B$5:$AC$88,28,FALSE)</f>
        <v>-6.3533805825731804</v>
      </c>
      <c r="J4" s="17">
        <f t="shared" ref="J4:J50" si="0">IFERROR(H4/-I4,"NA")</f>
        <v>1.10177564668492</v>
      </c>
    </row>
    <row r="5" spans="1:10" s="1" customFormat="1">
      <c r="A5" s="5" t="s">
        <v>8</v>
      </c>
      <c r="B5" s="8">
        <v>9</v>
      </c>
      <c r="C5" s="8">
        <v>14</v>
      </c>
      <c r="D5" s="27" t="s">
        <v>11</v>
      </c>
      <c r="E5" s="28" t="s">
        <v>12</v>
      </c>
      <c r="F5" s="42"/>
      <c r="G5" s="43"/>
      <c r="H5" s="7">
        <f>VLOOKUP(B5,'[1]6. Lives Saved with Mitigation'!$B$15:$I$81,8,FALSE)</f>
        <v>0</v>
      </c>
      <c r="I5" s="7">
        <f>-VLOOKUP($B5,'[1]Detailed COVID Calculations - 2'!$B$5:$AC$88,28,FALSE)</f>
        <v>-2.2800157013136002</v>
      </c>
      <c r="J5" s="17">
        <f t="shared" si="0"/>
        <v>0</v>
      </c>
    </row>
    <row r="6" spans="1:10" s="1" customFormat="1">
      <c r="A6" s="5" t="s">
        <v>8</v>
      </c>
      <c r="B6" s="8">
        <v>10</v>
      </c>
      <c r="C6" s="8">
        <v>15</v>
      </c>
      <c r="D6" s="27"/>
      <c r="E6" s="28" t="s">
        <v>13</v>
      </c>
      <c r="F6" s="42"/>
      <c r="G6" s="43"/>
      <c r="H6" s="7">
        <f>VLOOKUP(B6,'[1]6. Lives Saved with Mitigation'!$B$15:$I$81,8,FALSE)</f>
        <v>0</v>
      </c>
      <c r="I6" s="7">
        <f>-VLOOKUP($B6,'[1]Detailed COVID Calculations - 2'!$B$5:$AC$88,28,FALSE)</f>
        <v>-10.036240628467</v>
      </c>
      <c r="J6" s="17">
        <f t="shared" si="0"/>
        <v>0</v>
      </c>
    </row>
    <row r="7" spans="1:10" s="1" customFormat="1">
      <c r="A7" s="5" t="str">
        <f>IF(VLOOKUP(B7,'[1]1. Select Services'!$A$6:$E$77,5,FALSE)="x","x","")</f>
        <v>x</v>
      </c>
      <c r="B7" s="8">
        <v>11</v>
      </c>
      <c r="C7" s="8">
        <v>16</v>
      </c>
      <c r="D7" s="27"/>
      <c r="E7" s="28" t="s">
        <v>14</v>
      </c>
      <c r="F7" s="42"/>
      <c r="G7" s="43"/>
      <c r="H7" s="7">
        <f>VLOOKUP(B7,'[1]6. Lives Saved with Mitigation'!$B$15:$I$81,8,FALSE)</f>
        <v>81</v>
      </c>
      <c r="I7" s="7">
        <f>-VLOOKUP($B7,'[1]Detailed COVID Calculations - 2'!$B$5:$AC$88,28,FALSE)</f>
        <v>-3.7033548296157202</v>
      </c>
      <c r="J7" s="17">
        <f t="shared" si="0"/>
        <v>21.872060260670398</v>
      </c>
    </row>
    <row r="8" spans="1:10" s="1" customFormat="1">
      <c r="A8" s="5" t="str">
        <f>IF(VLOOKUP(B8,'[1]1. Select Services'!$A$6:$E$77,5,FALSE)="x","x","")</f>
        <v>x</v>
      </c>
      <c r="B8" s="8">
        <v>12</v>
      </c>
      <c r="C8" s="8">
        <v>17</v>
      </c>
      <c r="D8" s="27"/>
      <c r="E8" s="28" t="s">
        <v>15</v>
      </c>
      <c r="F8" s="42"/>
      <c r="G8" s="43"/>
      <c r="H8" s="7">
        <f>VLOOKUP(B8,'[1]6. Lives Saved with Mitigation'!$B$15:$I$81,8,FALSE)</f>
        <v>0</v>
      </c>
      <c r="I8" s="7">
        <f>-VLOOKUP($B8,'[1]Detailed COVID Calculations - 2'!$B$5:$AC$88,28,FALSE)</f>
        <v>0</v>
      </c>
      <c r="J8" s="17" t="str">
        <f t="shared" si="0"/>
        <v>NA</v>
      </c>
    </row>
    <row r="9" spans="1:10" s="1" customFormat="1">
      <c r="A9" s="5" t="str">
        <f>IF(VLOOKUP(B9,'[1]1. Select Services'!$A$6:$E$77,5,FALSE)="x","x","")</f>
        <v>x</v>
      </c>
      <c r="B9" s="8">
        <v>13</v>
      </c>
      <c r="C9" s="8">
        <v>18</v>
      </c>
      <c r="D9" s="27"/>
      <c r="E9" s="28" t="s">
        <v>16</v>
      </c>
      <c r="F9" s="42"/>
      <c r="G9" s="43"/>
      <c r="H9" s="7">
        <f>VLOOKUP(B9,'[1]6. Lives Saved with Mitigation'!$B$15:$I$81,8,FALSE)</f>
        <v>0</v>
      </c>
      <c r="I9" s="7">
        <f>-VLOOKUP($B9,'[1]Detailed COVID Calculations - 2'!$B$5:$AC$88,28,FALSE)</f>
        <v>-1.0719081594617299</v>
      </c>
      <c r="J9" s="17">
        <f t="shared" si="0"/>
        <v>0</v>
      </c>
    </row>
    <row r="10" spans="1:10" s="1" customFormat="1">
      <c r="A10" s="5" t="str">
        <f>IF(VLOOKUP(B10,'[1]1. Select Services'!$A$6:$E$77,5,FALSE)="x","x","")</f>
        <v/>
      </c>
      <c r="B10" s="8">
        <v>14</v>
      </c>
      <c r="C10" s="8">
        <v>19</v>
      </c>
      <c r="D10" s="27"/>
      <c r="E10" s="28" t="s">
        <v>17</v>
      </c>
      <c r="F10" s="42"/>
      <c r="G10" s="43"/>
      <c r="H10" s="7">
        <f>VLOOKUP(B10,'[1]6. Lives Saved with Mitigation'!$B$15:$I$81,8,FALSE)</f>
        <v>0</v>
      </c>
      <c r="I10" s="7">
        <f>-VLOOKUP($B10,'[1]Detailed COVID Calculations - 2'!$B$5:$AC$88,28,FALSE)</f>
        <v>0</v>
      </c>
      <c r="J10" s="17" t="str">
        <f t="shared" si="0"/>
        <v>NA</v>
      </c>
    </row>
    <row r="11" spans="1:10" s="1" customFormat="1">
      <c r="A11" s="5" t="str">
        <f>IF(VLOOKUP(B11,'[1]1. Select Services'!$A$6:$E$77,5,FALSE)="x","x","")</f>
        <v>x</v>
      </c>
      <c r="B11" s="8">
        <v>15</v>
      </c>
      <c r="C11" s="8">
        <v>20</v>
      </c>
      <c r="D11" s="27"/>
      <c r="E11" s="28" t="s">
        <v>18</v>
      </c>
      <c r="F11" s="42"/>
      <c r="G11" s="43"/>
      <c r="H11" s="7">
        <f>VLOOKUP(B11,'[1]6. Lives Saved with Mitigation'!$B$15:$I$81,8,FALSE)</f>
        <v>0</v>
      </c>
      <c r="I11" s="7">
        <f>-VLOOKUP($B11,'[1]Detailed COVID Calculations - 2'!$B$5:$AC$88,28,FALSE)</f>
        <v>0</v>
      </c>
      <c r="J11" s="17" t="str">
        <f t="shared" si="0"/>
        <v>NA</v>
      </c>
    </row>
    <row r="12" spans="1:10" s="1" customFormat="1">
      <c r="A12" s="5" t="str">
        <f>IF(VLOOKUP(B12,'[1]1. Select Services'!$A$6:$E$77,5,FALSE)="x","x","")</f>
        <v>x</v>
      </c>
      <c r="B12" s="8">
        <v>16</v>
      </c>
      <c r="C12" s="8">
        <v>21</v>
      </c>
      <c r="D12" s="27"/>
      <c r="E12" s="28" t="s">
        <v>19</v>
      </c>
      <c r="F12" s="42"/>
      <c r="G12" s="43"/>
      <c r="H12" s="7">
        <f>VLOOKUP(B12,'[1]6. Lives Saved with Mitigation'!$B$15:$I$81,8,FALSE)</f>
        <v>0</v>
      </c>
      <c r="I12" s="7">
        <f>-VLOOKUP($B12,'[1]Detailed COVID Calculations - 2'!$B$5:$AC$88,28,FALSE)</f>
        <v>0</v>
      </c>
      <c r="J12" s="17" t="str">
        <f t="shared" si="0"/>
        <v>NA</v>
      </c>
    </row>
    <row r="13" spans="1:10" s="1" customFormat="1">
      <c r="A13" s="5" t="str">
        <f>IF(VLOOKUP(B13,'[1]1. Select Services'!$A$6:$E$77,5,FALSE)="x","x","")</f>
        <v>x</v>
      </c>
      <c r="B13" s="8">
        <v>17</v>
      </c>
      <c r="C13" s="8">
        <v>22</v>
      </c>
      <c r="D13" s="27"/>
      <c r="E13" s="28" t="s">
        <v>20</v>
      </c>
      <c r="F13" s="42"/>
      <c r="G13" s="43"/>
      <c r="H13" s="7">
        <f>VLOOKUP(B13,'[1]6. Lives Saved with Mitigation'!$B$15:$I$81,8,FALSE)</f>
        <v>0</v>
      </c>
      <c r="I13" s="7">
        <f>-VLOOKUP($B13,'[1]Detailed COVID Calculations - 2'!$B$5:$AC$88,28,FALSE)</f>
        <v>0</v>
      </c>
      <c r="J13" s="17" t="str">
        <f t="shared" si="0"/>
        <v>NA</v>
      </c>
    </row>
    <row r="14" spans="1:10" s="1" customFormat="1">
      <c r="A14" s="5" t="str">
        <f>IF(VLOOKUP(B14,'[1]1. Select Services'!$A$6:$E$77,5,FALSE)="x","x","")</f>
        <v>x</v>
      </c>
      <c r="B14" s="8">
        <v>18</v>
      </c>
      <c r="C14" s="8">
        <v>23</v>
      </c>
      <c r="D14" s="27"/>
      <c r="E14" s="28" t="s">
        <v>21</v>
      </c>
      <c r="F14" s="42"/>
      <c r="G14" s="43"/>
      <c r="H14" s="7">
        <f>VLOOKUP(B14,'[1]6. Lives Saved with Mitigation'!$B$15:$I$81,8,FALSE)</f>
        <v>3</v>
      </c>
      <c r="I14" s="7">
        <f>-VLOOKUP($B14,'[1]Detailed COVID Calculations - 2'!$B$5:$AC$88,28,FALSE)</f>
        <v>-7.8972637546186594E-2</v>
      </c>
      <c r="J14" s="17">
        <f t="shared" si="0"/>
        <v>37.9878410195616</v>
      </c>
    </row>
    <row r="15" spans="1:10" s="1" customFormat="1">
      <c r="A15" s="5" t="str">
        <f>IF(VLOOKUP(B15,'[1]1. Select Services'!$A$6:$E$77,5,FALSE)="x","x","")</f>
        <v>x</v>
      </c>
      <c r="B15" s="8">
        <v>19</v>
      </c>
      <c r="C15" s="8">
        <v>24</v>
      </c>
      <c r="D15" s="27"/>
      <c r="E15" s="28" t="s">
        <v>22</v>
      </c>
      <c r="F15" s="42"/>
      <c r="G15" s="43"/>
      <c r="H15" s="7">
        <f>VLOOKUP(B15,'[1]6. Lives Saved with Mitigation'!$B$15:$I$81,8,FALSE)</f>
        <v>0</v>
      </c>
      <c r="I15" s="7">
        <f>-VLOOKUP($B15,'[1]Detailed COVID Calculations - 2'!$B$5:$AC$88,28,FALSE)</f>
        <v>-9.2353044038716206E-2</v>
      </c>
      <c r="J15" s="17">
        <f t="shared" si="0"/>
        <v>0</v>
      </c>
    </row>
    <row r="16" spans="1:10" s="1" customFormat="1">
      <c r="A16" s="5" t="str">
        <f>IF(VLOOKUP(B16,'[1]1. Select Services'!$A$6:$E$77,5,FALSE)="x","x","")</f>
        <v>x</v>
      </c>
      <c r="B16" s="8">
        <v>20</v>
      </c>
      <c r="C16" s="8">
        <v>25</v>
      </c>
      <c r="D16" s="27"/>
      <c r="E16" s="28" t="s">
        <v>23</v>
      </c>
      <c r="F16" s="42"/>
      <c r="G16" s="43"/>
      <c r="H16" s="7">
        <f>VLOOKUP(B16,'[1]6. Lives Saved with Mitigation'!$B$15:$I$81,8,FALSE)</f>
        <v>1</v>
      </c>
      <c r="I16" s="7">
        <f>-VLOOKUP($B16,'[1]Detailed COVID Calculations - 2'!$B$5:$AC$88,28,FALSE)</f>
        <v>-9.7103250947149694E-2</v>
      </c>
      <c r="J16" s="17">
        <f t="shared" si="0"/>
        <v>10.2983163822627</v>
      </c>
    </row>
    <row r="17" spans="1:10" s="1" customFormat="1">
      <c r="A17" s="5" t="str">
        <f>IF(VLOOKUP(B17,'[1]1. Select Services'!$A$6:$E$77,5,FALSE)="x","x","")</f>
        <v>x</v>
      </c>
      <c r="B17" s="8">
        <v>21</v>
      </c>
      <c r="C17" s="8">
        <v>26</v>
      </c>
      <c r="D17" s="27"/>
      <c r="E17" s="28" t="s">
        <v>24</v>
      </c>
      <c r="F17" s="42"/>
      <c r="G17" s="43"/>
      <c r="H17" s="7">
        <f>VLOOKUP(B17,'[1]6. Lives Saved with Mitigation'!$B$15:$I$81,8,FALSE)</f>
        <v>7</v>
      </c>
      <c r="I17" s="7">
        <f>-VLOOKUP($B17,'[1]Detailed COVID Calculations - 2'!$B$5:$AC$88,28,FALSE)</f>
        <v>-6.7242552724707198E-3</v>
      </c>
      <c r="J17" s="17">
        <f t="shared" si="0"/>
        <v>1041.0074746356199</v>
      </c>
    </row>
    <row r="18" spans="1:10" s="1" customFormat="1">
      <c r="A18" s="5" t="s">
        <v>8</v>
      </c>
      <c r="B18" s="9">
        <v>22</v>
      </c>
      <c r="C18" s="9">
        <v>27</v>
      </c>
      <c r="D18" s="29" t="s">
        <v>25</v>
      </c>
      <c r="E18" s="30" t="s">
        <v>26</v>
      </c>
      <c r="F18" s="44"/>
      <c r="G18" s="45"/>
      <c r="H18" s="7">
        <f>VLOOKUP(B18,'[1]6. Lives Saved with Mitigation'!$B$15:$I$81,8,FALSE)</f>
        <v>0</v>
      </c>
      <c r="I18" s="7">
        <f>-VLOOKUP($B18,'[1]Detailed COVID Calculations - 2'!$B$5:$AC$88,28,FALSE)</f>
        <v>-2.6203606491954199</v>
      </c>
      <c r="J18" s="17">
        <f t="shared" si="0"/>
        <v>0</v>
      </c>
    </row>
    <row r="19" spans="1:10" s="1" customFormat="1">
      <c r="A19" s="5" t="str">
        <f>IF(VLOOKUP(B19,'[1]1. Select Services'!$A$6:$E$77,5,FALSE)="x","x","")</f>
        <v>x</v>
      </c>
      <c r="B19" s="10">
        <v>23</v>
      </c>
      <c r="C19" s="10">
        <v>28</v>
      </c>
      <c r="D19" s="31"/>
      <c r="E19" s="32" t="s">
        <v>27</v>
      </c>
      <c r="F19" s="44"/>
      <c r="G19" s="45"/>
      <c r="H19" s="7">
        <f>VLOOKUP(B19,'[1]6. Lives Saved with Mitigation'!$B$15:$I$81,8,FALSE)</f>
        <v>39</v>
      </c>
      <c r="I19" s="7">
        <f>-VLOOKUP($B19,'[1]Detailed COVID Calculations - 2'!$B$5:$AC$88,28,FALSE)</f>
        <v>-9.9872727539147804E-2</v>
      </c>
      <c r="J19" s="17">
        <f t="shared" si="0"/>
        <v>390.49699513526298</v>
      </c>
    </row>
    <row r="20" spans="1:10" s="1" customFormat="1">
      <c r="A20" s="5" t="str">
        <f>IF(VLOOKUP(B20,'[1]1. Select Services'!$A$6:$E$77,5,FALSE)="x","x","")</f>
        <v>x</v>
      </c>
      <c r="B20" s="10">
        <v>24</v>
      </c>
      <c r="C20" s="10">
        <v>32</v>
      </c>
      <c r="D20" s="31"/>
      <c r="E20" s="32" t="s">
        <v>28</v>
      </c>
      <c r="F20" s="44"/>
      <c r="G20" s="45"/>
      <c r="H20" s="7">
        <f>VLOOKUP(B20,'[1]6. Lives Saved with Mitigation'!$B$15:$I$81,8,FALSE)</f>
        <v>2</v>
      </c>
      <c r="I20" s="7">
        <f>-VLOOKUP($B20,'[1]Detailed COVID Calculations - 2'!$B$5:$AC$88,28,FALSE)</f>
        <v>-1.86834983899851E-2</v>
      </c>
      <c r="J20" s="17">
        <f t="shared" si="0"/>
        <v>107.046333521352</v>
      </c>
    </row>
    <row r="21" spans="1:10" s="1" customFormat="1">
      <c r="A21" s="5" t="str">
        <f>IF(VLOOKUP(B21,'[1]1. Select Services'!$A$6:$E$77,5,FALSE)="x","x","")</f>
        <v>x</v>
      </c>
      <c r="B21" s="10">
        <v>25</v>
      </c>
      <c r="C21" s="10">
        <v>33</v>
      </c>
      <c r="D21" s="31"/>
      <c r="E21" s="32" t="s">
        <v>29</v>
      </c>
      <c r="F21" s="44"/>
      <c r="G21" s="45"/>
      <c r="H21" s="7">
        <f>VLOOKUP(B21,'[1]6. Lives Saved with Mitigation'!$B$15:$I$81,8,FALSE)</f>
        <v>0</v>
      </c>
      <c r="I21" s="7">
        <f>-VLOOKUP($B21,'[1]Detailed COVID Calculations - 2'!$B$5:$AC$88,28,FALSE)</f>
        <v>-1.1307621891528299E-2</v>
      </c>
      <c r="J21" s="17">
        <f t="shared" si="0"/>
        <v>0</v>
      </c>
    </row>
    <row r="22" spans="1:10" s="1" customFormat="1">
      <c r="A22" s="5" t="str">
        <f>IF(VLOOKUP(B22,'[1]1. Select Services'!$A$6:$E$77,5,FALSE)="x","x","")</f>
        <v>x</v>
      </c>
      <c r="B22" s="10">
        <v>26</v>
      </c>
      <c r="C22" s="10">
        <v>34</v>
      </c>
      <c r="D22" s="31"/>
      <c r="E22" s="32" t="s">
        <v>30</v>
      </c>
      <c r="F22" s="44"/>
      <c r="G22" s="45"/>
      <c r="H22" s="7">
        <f>VLOOKUP(B22,'[1]6. Lives Saved with Mitigation'!$B$15:$I$81,8,FALSE)</f>
        <v>22</v>
      </c>
      <c r="I22" s="7">
        <f>-VLOOKUP($B22,'[1]Detailed COVID Calculations - 2'!$B$5:$AC$88,28,FALSE)</f>
        <v>-0.18600193682528199</v>
      </c>
      <c r="J22" s="17">
        <f t="shared" si="0"/>
        <v>118.278338255506</v>
      </c>
    </row>
    <row r="23" spans="1:10" s="1" customFormat="1">
      <c r="A23" s="5" t="str">
        <f>IF(VLOOKUP(B23,'[1]1. Select Services'!$A$6:$E$77,5,FALSE)="x","x","")</f>
        <v>x</v>
      </c>
      <c r="B23" s="10">
        <v>27</v>
      </c>
      <c r="C23" s="10">
        <v>35</v>
      </c>
      <c r="D23" s="31"/>
      <c r="E23" s="32" t="s">
        <v>31</v>
      </c>
      <c r="F23" s="44"/>
      <c r="G23" s="45"/>
      <c r="H23" s="7">
        <f>VLOOKUP(B23,'[1]6. Lives Saved with Mitigation'!$B$15:$I$81,8,FALSE)</f>
        <v>24</v>
      </c>
      <c r="I23" s="7">
        <f>-VLOOKUP($B23,'[1]Detailed COVID Calculations - 2'!$B$5:$AC$88,28,FALSE)</f>
        <v>-0.47492011944418899</v>
      </c>
      <c r="J23" s="17">
        <f t="shared" si="0"/>
        <v>50.534814208519499</v>
      </c>
    </row>
    <row r="24" spans="1:10" s="1" customFormat="1">
      <c r="A24" s="5" t="str">
        <f>IF(VLOOKUP(B24,'[1]1. Select Services'!$A$6:$E$77,5,FALSE)="x","x","")</f>
        <v>x</v>
      </c>
      <c r="B24" s="10">
        <v>28</v>
      </c>
      <c r="C24" s="10">
        <v>36</v>
      </c>
      <c r="D24" s="31"/>
      <c r="E24" s="32" t="s">
        <v>32</v>
      </c>
      <c r="F24" s="44"/>
      <c r="G24" s="45"/>
      <c r="H24" s="7">
        <f>VLOOKUP(B24,'[1]6. Lives Saved with Mitigation'!$B$15:$I$81,8,FALSE)</f>
        <v>26</v>
      </c>
      <c r="I24" s="7">
        <f>-VLOOKUP($B24,'[1]Detailed COVID Calculations - 2'!$B$5:$AC$88,28,FALSE)</f>
        <v>-7.0063118962444298E-2</v>
      </c>
      <c r="J24" s="17">
        <f t="shared" si="0"/>
        <v>371.09395620735501</v>
      </c>
    </row>
    <row r="25" spans="1:10" s="1" customFormat="1">
      <c r="A25" s="5" t="s">
        <v>8</v>
      </c>
      <c r="B25" s="10">
        <v>29</v>
      </c>
      <c r="C25" s="10">
        <v>38</v>
      </c>
      <c r="D25" s="31"/>
      <c r="E25" s="32" t="s">
        <v>33</v>
      </c>
      <c r="F25" s="44"/>
      <c r="G25" s="45"/>
      <c r="H25" s="7">
        <f>VLOOKUP(B25,'[1]6. Lives Saved with Mitigation'!$B$15:$I$81,8,FALSE)</f>
        <v>27</v>
      </c>
      <c r="I25" s="7">
        <f>-VLOOKUP($B25,'[1]Detailed COVID Calculations - 2'!$B$5:$AC$88,28,FALSE)</f>
        <v>-1.22835940596864</v>
      </c>
      <c r="J25" s="17">
        <f t="shared" si="0"/>
        <v>21.980537511094902</v>
      </c>
    </row>
    <row r="26" spans="1:10" s="1" customFormat="1">
      <c r="A26" s="5" t="str">
        <f>IF(VLOOKUP(B26,'[1]1. Select Services'!$A$6:$E$77,5,FALSE)="x","x","")</f>
        <v>x</v>
      </c>
      <c r="B26" s="10">
        <v>30</v>
      </c>
      <c r="C26" s="10">
        <v>39</v>
      </c>
      <c r="D26" s="31"/>
      <c r="E26" s="32" t="s">
        <v>34</v>
      </c>
      <c r="F26" s="44"/>
      <c r="G26" s="45"/>
      <c r="H26" s="7">
        <f>VLOOKUP(B26,'[1]6. Lives Saved with Mitigation'!$B$15:$I$81,8,FALSE)</f>
        <v>2</v>
      </c>
      <c r="I26" s="7">
        <f>-VLOOKUP($B26,'[1]Detailed COVID Calculations - 2'!$B$5:$AC$88,28,FALSE)</f>
        <v>-9.3417491949925706E-3</v>
      </c>
      <c r="J26" s="17">
        <f t="shared" si="0"/>
        <v>214.09266704270499</v>
      </c>
    </row>
    <row r="27" spans="1:10" s="1" customFormat="1">
      <c r="A27" s="5" t="str">
        <f>IF(VLOOKUP(B27,'[1]1. Select Services'!$A$6:$E$77,5,FALSE)="x","x","")</f>
        <v>x</v>
      </c>
      <c r="B27" s="10">
        <v>31</v>
      </c>
      <c r="C27" s="10">
        <v>40</v>
      </c>
      <c r="D27" s="31"/>
      <c r="E27" s="32" t="s">
        <v>35</v>
      </c>
      <c r="F27" s="44"/>
      <c r="G27" s="45"/>
      <c r="H27" s="7">
        <f>VLOOKUP(B27,'[1]6. Lives Saved with Mitigation'!$B$15:$I$81,8,FALSE)</f>
        <v>0</v>
      </c>
      <c r="I27" s="7">
        <f>-VLOOKUP($B27,'[1]Detailed COVID Calculations - 2'!$B$5:$AC$88,28,FALSE)</f>
        <v>-1.33275794377618E-3</v>
      </c>
      <c r="J27" s="17">
        <f t="shared" si="0"/>
        <v>0</v>
      </c>
    </row>
    <row r="28" spans="1:10" s="1" customFormat="1">
      <c r="A28" s="5" t="str">
        <f>IF(VLOOKUP(B28,'[1]1. Select Services'!$A$6:$E$77,5,FALSE)="x","x","")</f>
        <v>x</v>
      </c>
      <c r="B28" s="10">
        <v>32</v>
      </c>
      <c r="C28" s="10">
        <v>41</v>
      </c>
      <c r="D28" s="31"/>
      <c r="E28" s="32" t="s">
        <v>36</v>
      </c>
      <c r="F28" s="44"/>
      <c r="G28" s="45"/>
      <c r="H28" s="7">
        <f>VLOOKUP(B28,'[1]6. Lives Saved with Mitigation'!$B$15:$I$81,8,FALSE)</f>
        <v>0</v>
      </c>
      <c r="I28" s="7">
        <f>-VLOOKUP($B28,'[1]Detailed COVID Calculations - 2'!$B$5:$AC$88,28,FALSE)</f>
        <v>0</v>
      </c>
      <c r="J28" s="17" t="str">
        <f t="shared" si="0"/>
        <v>NA</v>
      </c>
    </row>
    <row r="29" spans="1:10" s="1" customFormat="1">
      <c r="A29" s="5" t="str">
        <f>IF(VLOOKUP(B29,'[1]1. Select Services'!$A$6:$E$77,5,FALSE)="x","x","")</f>
        <v>x</v>
      </c>
      <c r="B29" s="10">
        <v>33</v>
      </c>
      <c r="C29" s="10">
        <v>65</v>
      </c>
      <c r="D29" s="31"/>
      <c r="E29" s="32" t="s">
        <v>37</v>
      </c>
      <c r="F29" s="44"/>
      <c r="G29" s="45"/>
      <c r="H29" s="7">
        <f>VLOOKUP(B29,'[1]6. Lives Saved with Mitigation'!$B$15:$I$81,8,FALSE)</f>
        <v>0</v>
      </c>
      <c r="I29" s="7">
        <f>-VLOOKUP($B29,'[1]Detailed COVID Calculations - 2'!$B$5:$AC$88,28,FALSE)</f>
        <v>0</v>
      </c>
      <c r="J29" s="17" t="str">
        <f t="shared" si="0"/>
        <v>NA</v>
      </c>
    </row>
    <row r="30" spans="1:10" s="1" customFormat="1">
      <c r="A30" s="5"/>
      <c r="B30" s="10">
        <v>34</v>
      </c>
      <c r="C30" s="10">
        <v>10</v>
      </c>
      <c r="D30" s="31"/>
      <c r="E30" s="32" t="s">
        <v>38</v>
      </c>
      <c r="F30" s="44"/>
      <c r="G30" s="45"/>
      <c r="H30" s="7">
        <f>VLOOKUP(B30,'[1]6. Lives Saved with Mitigation'!$B$15:$I$81,8,FALSE)</f>
        <v>1</v>
      </c>
      <c r="I30" s="7">
        <f>-VLOOKUP($B30,'[1]Detailed COVID Calculations - 2'!$B$5:$AC$88,28,FALSE)</f>
        <v>0</v>
      </c>
      <c r="J30" s="17" t="str">
        <f t="shared" si="0"/>
        <v>NA</v>
      </c>
    </row>
    <row r="31" spans="1:10" s="1" customFormat="1">
      <c r="A31" s="5"/>
      <c r="B31" s="10">
        <v>35</v>
      </c>
      <c r="C31" s="10">
        <v>11</v>
      </c>
      <c r="D31" s="31"/>
      <c r="E31" s="32" t="s">
        <v>39</v>
      </c>
      <c r="F31" s="44"/>
      <c r="G31" s="45"/>
      <c r="H31" s="7">
        <f>VLOOKUP(B31,'[1]6. Lives Saved with Mitigation'!$B$15:$I$81,8,FALSE)</f>
        <v>0</v>
      </c>
      <c r="I31" s="7">
        <f>-VLOOKUP($B31,'[1]Detailed COVID Calculations - 2'!$B$5:$AC$88,28,FALSE)</f>
        <v>0</v>
      </c>
      <c r="J31" s="17" t="str">
        <f t="shared" si="0"/>
        <v>NA</v>
      </c>
    </row>
    <row r="32" spans="1:10" s="1" customFormat="1">
      <c r="A32" s="5" t="str">
        <f>IF(VLOOKUP(B32,'[1]1. Select Services'!$A$6:$E$77,5,FALSE)="x","x","")</f>
        <v>x</v>
      </c>
      <c r="B32" s="10">
        <v>36</v>
      </c>
      <c r="C32" s="10">
        <v>42</v>
      </c>
      <c r="D32" s="31"/>
      <c r="E32" s="32" t="s">
        <v>40</v>
      </c>
      <c r="F32" s="44"/>
      <c r="G32" s="45"/>
      <c r="H32" s="7">
        <f>VLOOKUP(B32,'[1]6. Lives Saved with Mitigation'!$B$15:$I$81,8,FALSE)</f>
        <v>49</v>
      </c>
      <c r="I32" s="7">
        <f>-VLOOKUP($B32,'[1]Detailed COVID Calculations - 2'!$B$5:$AC$88,28,FALSE)</f>
        <v>-0.490128430753967</v>
      </c>
      <c r="J32" s="17">
        <f t="shared" si="0"/>
        <v>99.973796510075999</v>
      </c>
    </row>
    <row r="33" spans="1:10" s="1" customFormat="1">
      <c r="A33" s="5" t="str">
        <f>IF(VLOOKUP(B33,'[1]1. Select Services'!$A$6:$E$77,5,FALSE)="x","x","")</f>
        <v>x</v>
      </c>
      <c r="B33" s="10">
        <v>37</v>
      </c>
      <c r="C33" s="10">
        <v>43</v>
      </c>
      <c r="D33" s="31"/>
      <c r="E33" s="32" t="s">
        <v>41</v>
      </c>
      <c r="F33" s="44"/>
      <c r="G33" s="45"/>
      <c r="H33" s="7">
        <f>VLOOKUP(B33,'[1]6. Lives Saved with Mitigation'!$B$15:$I$81,8,FALSE)</f>
        <v>0</v>
      </c>
      <c r="I33" s="7">
        <f>-VLOOKUP($B33,'[1]Detailed COVID Calculations - 2'!$B$5:$AC$88,28,FALSE)</f>
        <v>0</v>
      </c>
      <c r="J33" s="17" t="str">
        <f t="shared" si="0"/>
        <v>NA</v>
      </c>
    </row>
    <row r="34" spans="1:10" s="1" customFormat="1">
      <c r="A34" s="5"/>
      <c r="B34" s="10">
        <v>38</v>
      </c>
      <c r="C34" s="10">
        <v>12</v>
      </c>
      <c r="D34" s="31"/>
      <c r="E34" s="32" t="s">
        <v>42</v>
      </c>
      <c r="F34" s="44"/>
      <c r="G34" s="45"/>
      <c r="H34" s="7">
        <f>VLOOKUP(B34,'[1]6. Lives Saved with Mitigation'!$B$15:$I$81,8,FALSE)</f>
        <v>0</v>
      </c>
      <c r="I34" s="7">
        <f>-VLOOKUP($B34,'[1]Detailed COVID Calculations - 2'!$B$5:$AC$88,28,FALSE)</f>
        <v>0</v>
      </c>
      <c r="J34" s="17" t="str">
        <f t="shared" si="0"/>
        <v>NA</v>
      </c>
    </row>
    <row r="35" spans="1:10" s="1" customFormat="1">
      <c r="A35" s="5" t="str">
        <f>IF(VLOOKUP(B35,'[1]1. Select Services'!$A$6:$E$77,5,FALSE)="x","x","")</f>
        <v>x</v>
      </c>
      <c r="B35" s="11">
        <v>39</v>
      </c>
      <c r="C35" s="12">
        <v>29</v>
      </c>
      <c r="D35" s="27" t="s">
        <v>43</v>
      </c>
      <c r="E35" s="33" t="s">
        <v>44</v>
      </c>
      <c r="F35" s="46"/>
      <c r="G35" s="47"/>
      <c r="H35" s="7">
        <f>VLOOKUP(B35,'[1]6. Lives Saved with Mitigation'!$B$15:$I$81,8,FALSE)</f>
        <v>209</v>
      </c>
      <c r="I35" s="7">
        <f>-VLOOKUP($B35,'[1]Detailed COVID Calculations - 2'!$B$5:$AC$88,28,FALSE)</f>
        <v>-4.41257430615443</v>
      </c>
      <c r="J35" s="17">
        <f t="shared" si="0"/>
        <v>47.364641476631398</v>
      </c>
    </row>
    <row r="36" spans="1:10" s="1" customFormat="1">
      <c r="A36" s="5" t="str">
        <f>IF(VLOOKUP(B36,'[1]1. Select Services'!$A$6:$E$77,5,FALSE)="x","x","")</f>
        <v>x</v>
      </c>
      <c r="B36" s="11">
        <v>40</v>
      </c>
      <c r="C36" s="12">
        <v>30</v>
      </c>
      <c r="D36" s="27"/>
      <c r="E36" s="33" t="s">
        <v>45</v>
      </c>
      <c r="F36" s="46"/>
      <c r="G36" s="47"/>
      <c r="H36" s="7">
        <f>VLOOKUP(B36,'[1]6. Lives Saved with Mitigation'!$B$15:$I$81,8,FALSE)</f>
        <v>350</v>
      </c>
      <c r="I36" s="7">
        <f>-VLOOKUP($B36,'[1]Detailed COVID Calculations - 2'!$B$5:$AC$88,28,FALSE)</f>
        <v>-0.31180931927857902</v>
      </c>
      <c r="J36" s="17">
        <f t="shared" si="0"/>
        <v>1122.4808828991399</v>
      </c>
    </row>
    <row r="37" spans="1:10" s="1" customFormat="1">
      <c r="A37" s="5" t="str">
        <f>IF(VLOOKUP(B37,'[1]1. Select Services'!$A$6:$E$77,5,FALSE)="x","x","")</f>
        <v>x</v>
      </c>
      <c r="B37" s="11">
        <v>41</v>
      </c>
      <c r="C37" s="12">
        <v>31</v>
      </c>
      <c r="D37" s="27"/>
      <c r="E37" s="33" t="s">
        <v>46</v>
      </c>
      <c r="F37" s="46"/>
      <c r="G37" s="47"/>
      <c r="H37" s="7">
        <f>VLOOKUP(B37,'[1]6. Lives Saved with Mitigation'!$B$15:$I$81,8,FALSE)</f>
        <v>290</v>
      </c>
      <c r="I37" s="7">
        <f>-VLOOKUP($B37,'[1]Detailed COVID Calculations - 2'!$B$5:$AC$88,28,FALSE)</f>
        <v>-2.3000177128299701</v>
      </c>
      <c r="J37" s="17">
        <f t="shared" si="0"/>
        <v>126.085985504512</v>
      </c>
    </row>
    <row r="38" spans="1:10" s="1" customFormat="1">
      <c r="A38" s="5" t="str">
        <f>IF(VLOOKUP(B38,'[1]1. Select Services'!$A$6:$E$77,5,FALSE)="x","x","")</f>
        <v>x</v>
      </c>
      <c r="B38" s="11">
        <v>42</v>
      </c>
      <c r="C38" s="12">
        <v>37</v>
      </c>
      <c r="D38" s="27"/>
      <c r="E38" s="33" t="s">
        <v>47</v>
      </c>
      <c r="F38" s="46"/>
      <c r="G38" s="47"/>
      <c r="H38" s="7">
        <f>VLOOKUP(B38,'[1]6. Lives Saved with Mitigation'!$B$15:$I$81,8,FALSE)</f>
        <v>237</v>
      </c>
      <c r="I38" s="7">
        <f>-VLOOKUP($B38,'[1]Detailed COVID Calculations - 2'!$B$5:$AC$88,28,FALSE)</f>
        <v>0</v>
      </c>
      <c r="J38" s="17" t="str">
        <f t="shared" si="0"/>
        <v>NA</v>
      </c>
    </row>
    <row r="39" spans="1:10" s="1" customFormat="1">
      <c r="A39" s="5"/>
      <c r="B39" s="11" t="s">
        <v>48</v>
      </c>
      <c r="C39" s="11" t="s">
        <v>49</v>
      </c>
      <c r="D39" s="27"/>
      <c r="E39" s="34" t="s">
        <v>50</v>
      </c>
      <c r="F39" s="48"/>
      <c r="G39" s="49"/>
      <c r="H39" s="7">
        <f>VLOOKUP(B39,'[1]6. Lives Saved with Mitigation'!$B$15:$I$81,8,FALSE)</f>
        <v>0</v>
      </c>
      <c r="I39" s="7">
        <f>SUM(I40:I41)</f>
        <v>0</v>
      </c>
      <c r="J39" s="17" t="str">
        <f t="shared" si="0"/>
        <v>NA</v>
      </c>
    </row>
    <row r="40" spans="1:10" s="1" customFormat="1">
      <c r="A40" s="5" t="str">
        <f>IF(VLOOKUP(B40,'[1]1. Select Services'!$A$6:$E$77,5,FALSE)="x","x","")</f>
        <v>x</v>
      </c>
      <c r="B40" s="11">
        <v>43</v>
      </c>
      <c r="C40" s="11">
        <v>66</v>
      </c>
      <c r="D40" s="27"/>
      <c r="E40" s="35" t="s">
        <v>51</v>
      </c>
      <c r="F40" s="50"/>
      <c r="G40" s="51"/>
      <c r="H40" s="7">
        <v>0</v>
      </c>
      <c r="I40" s="7">
        <v>0</v>
      </c>
      <c r="J40" s="17" t="str">
        <f t="shared" si="0"/>
        <v>NA</v>
      </c>
    </row>
    <row r="41" spans="1:10" s="1" customFormat="1">
      <c r="A41" s="5" t="str">
        <f>IF(VLOOKUP(B41,'[1]1. Select Services'!$A$6:$E$77,5,FALSE)="x","x","")</f>
        <v/>
      </c>
      <c r="B41" s="11">
        <v>44</v>
      </c>
      <c r="C41" s="11">
        <v>67</v>
      </c>
      <c r="D41" s="27"/>
      <c r="E41" s="35" t="s">
        <v>52</v>
      </c>
      <c r="F41" s="50"/>
      <c r="G41" s="51"/>
      <c r="H41" s="7">
        <v>0</v>
      </c>
      <c r="I41" s="7">
        <v>0</v>
      </c>
      <c r="J41" s="17" t="str">
        <f t="shared" si="0"/>
        <v>NA</v>
      </c>
    </row>
    <row r="42" spans="1:10" s="1" customFormat="1">
      <c r="A42" s="5"/>
      <c r="B42" s="11" t="s">
        <v>53</v>
      </c>
      <c r="C42" s="11" t="s">
        <v>54</v>
      </c>
      <c r="D42" s="27"/>
      <c r="E42" s="34" t="s">
        <v>55</v>
      </c>
      <c r="F42" s="48"/>
      <c r="G42" s="49"/>
      <c r="H42" s="7">
        <f>VLOOKUP(B42,'[1]6. Lives Saved with Mitigation'!$B$15:$I$81,8,FALSE)</f>
        <v>1220</v>
      </c>
      <c r="I42" s="7">
        <f>SUM(I43:I45)</f>
        <v>-0.38057847046826798</v>
      </c>
      <c r="J42" s="17">
        <f t="shared" si="0"/>
        <v>3205.64639008323</v>
      </c>
    </row>
    <row r="43" spans="1:10" s="1" customFormat="1">
      <c r="A43" s="5" t="str">
        <f>IF(VLOOKUP(B43,'[1]1. Select Services'!$A$6:$E$77,5,FALSE)="x","x","")</f>
        <v>x</v>
      </c>
      <c r="B43" s="11">
        <v>45</v>
      </c>
      <c r="C43" s="11">
        <v>68</v>
      </c>
      <c r="D43" s="27"/>
      <c r="E43" s="35" t="s">
        <v>56</v>
      </c>
      <c r="F43" s="50"/>
      <c r="G43" s="51"/>
      <c r="H43" s="7">
        <f>VLOOKUP(B43,'[1]6. Lives Saved with Mitigation'!$B$15:$I$81,8,FALSE)</f>
        <v>0</v>
      </c>
      <c r="I43" s="7">
        <f>-VLOOKUP($B43,'[1]Detailed COVID Calculations - 2'!$B$5:$AC$88,28,FALSE)</f>
        <v>0</v>
      </c>
      <c r="J43" s="17" t="str">
        <f t="shared" si="0"/>
        <v>NA</v>
      </c>
    </row>
    <row r="44" spans="1:10" s="1" customFormat="1">
      <c r="A44" s="5" t="str">
        <f>IF(VLOOKUP(B44,'[1]1. Select Services'!$A$6:$E$77,5,FALSE)="x","x","")</f>
        <v>x</v>
      </c>
      <c r="B44" s="11">
        <v>46</v>
      </c>
      <c r="C44" s="11">
        <v>69</v>
      </c>
      <c r="D44" s="27"/>
      <c r="E44" s="35" t="s">
        <v>57</v>
      </c>
      <c r="F44" s="50"/>
      <c r="G44" s="51"/>
      <c r="H44" s="7">
        <f>VLOOKUP(B44,'[1]6. Lives Saved with Mitigation'!$B$15:$I$81,8,FALSE)</f>
        <v>0</v>
      </c>
      <c r="I44" s="7">
        <f>-VLOOKUP($B44,'[1]Detailed COVID Calculations - 2'!$B$5:$AC$88,28,FALSE)</f>
        <v>-0.38057847046826798</v>
      </c>
      <c r="J44" s="17">
        <f t="shared" si="0"/>
        <v>0</v>
      </c>
    </row>
    <row r="45" spans="1:10" s="1" customFormat="1">
      <c r="A45" s="5" t="str">
        <f>IF(VLOOKUP(B45,'[1]1. Select Services'!$A$6:$E$77,5,FALSE)="x","x","")</f>
        <v/>
      </c>
      <c r="B45" s="11">
        <v>47</v>
      </c>
      <c r="C45" s="11">
        <v>70</v>
      </c>
      <c r="D45" s="27"/>
      <c r="E45" s="35" t="s">
        <v>58</v>
      </c>
      <c r="F45" s="50"/>
      <c r="G45" s="51"/>
      <c r="H45" s="7">
        <f>VLOOKUP(B45,'[1]6. Lives Saved with Mitigation'!$B$15:$I$81,8,FALSE)</f>
        <v>0</v>
      </c>
      <c r="I45" s="7">
        <f>-VLOOKUP($B45,'[1]Detailed COVID Calculations - 2'!$B$5:$AC$88,28,FALSE)</f>
        <v>0</v>
      </c>
      <c r="J45" s="17" t="str">
        <f t="shared" si="0"/>
        <v>NA</v>
      </c>
    </row>
    <row r="46" spans="1:10" s="1" customFormat="1">
      <c r="A46" s="5"/>
      <c r="B46" s="13">
        <v>48</v>
      </c>
      <c r="C46" s="13">
        <v>44</v>
      </c>
      <c r="D46" s="36" t="s">
        <v>59</v>
      </c>
      <c r="E46" s="28" t="s">
        <v>59</v>
      </c>
      <c r="F46" s="42"/>
      <c r="G46" s="43"/>
      <c r="H46" s="7">
        <f>VLOOKUP(B46,'[1]6. Lives Saved with Mitigation'!$B$15:$I$81,8,FALSE)</f>
        <v>419</v>
      </c>
      <c r="I46" s="7">
        <f>-VLOOKUP($B46,'[1]Detailed COVID Calculations - 2'!$B$5:$AC$88,28,FALSE)</f>
        <v>-0.39997291461564</v>
      </c>
      <c r="J46" s="17">
        <f t="shared" si="0"/>
        <v>1047.57093465352</v>
      </c>
    </row>
    <row r="47" spans="1:10" s="1" customFormat="1">
      <c r="A47" s="5" t="str">
        <f>IF(VLOOKUP(B47,'[1]1. Select Services'!$A$6:$E$77,5,FALSE)="x","x","")</f>
        <v>x</v>
      </c>
      <c r="B47" s="14">
        <v>49</v>
      </c>
      <c r="C47" s="14">
        <v>45</v>
      </c>
      <c r="D47" s="36"/>
      <c r="E47" s="30" t="s">
        <v>60</v>
      </c>
      <c r="F47" s="44"/>
      <c r="G47" s="45"/>
      <c r="H47" s="7">
        <f>VLOOKUP(B47,'[1]6. Lives Saved with Mitigation'!$B$15:$I$81,8,FALSE)</f>
        <v>6</v>
      </c>
      <c r="I47" s="7">
        <f>-VLOOKUP($B47,'[1]Detailed COVID Calculations - 2'!$B$5:$AC$88,28,FALSE)</f>
        <v>-1.4822663568214001</v>
      </c>
      <c r="J47" s="17">
        <f t="shared" si="0"/>
        <v>4.0478554831849101</v>
      </c>
    </row>
    <row r="48" spans="1:10" s="1" customFormat="1">
      <c r="A48" s="5" t="str">
        <f>IF(VLOOKUP(B48,'[1]1. Select Services'!$A$6:$E$77,5,FALSE)="x","x","")</f>
        <v>x</v>
      </c>
      <c r="B48" s="14">
        <v>50</v>
      </c>
      <c r="C48" s="14">
        <v>46</v>
      </c>
      <c r="D48" s="36"/>
      <c r="E48" s="30" t="s">
        <v>61</v>
      </c>
      <c r="F48" s="44"/>
      <c r="G48" s="45"/>
      <c r="H48" s="7">
        <f>VLOOKUP(B48,'[1]6. Lives Saved with Mitigation'!$B$15:$I$81,8,FALSE)</f>
        <v>0</v>
      </c>
      <c r="I48" s="7">
        <f>-VLOOKUP($B48,'[1]Detailed COVID Calculations - 2'!$B$5:$AC$88,28,FALSE)</f>
        <v>-3.2692977589705499</v>
      </c>
      <c r="J48" s="17">
        <f t="shared" si="0"/>
        <v>0</v>
      </c>
    </row>
    <row r="49" spans="1:10" s="1" customFormat="1">
      <c r="A49" s="5"/>
      <c r="B49" s="15">
        <v>51</v>
      </c>
      <c r="C49" s="15">
        <v>55</v>
      </c>
      <c r="D49" s="36" t="s">
        <v>62</v>
      </c>
      <c r="E49" s="30" t="s">
        <v>63</v>
      </c>
      <c r="F49" s="44"/>
      <c r="G49" s="45"/>
      <c r="H49" s="7">
        <f>VLOOKUP(B49,'[1]6. Lives Saved with Mitigation'!$B$15:$I$81,8,FALSE)</f>
        <v>0</v>
      </c>
      <c r="I49" s="7">
        <f>-VLOOKUP($B49,'[1]Detailed COVID Calculations - 2'!$B$5:$AC$88,28,FALSE)</f>
        <v>-6.3695108656999402</v>
      </c>
      <c r="J49" s="17">
        <f t="shared" si="0"/>
        <v>0</v>
      </c>
    </row>
    <row r="50" spans="1:10" s="1" customFormat="1">
      <c r="A50" s="5" t="str">
        <f>IF(VLOOKUP(B50,'[1]1. Select Services'!$A$6:$E$77,5,FALSE)="x","x","")</f>
        <v>x</v>
      </c>
      <c r="B50" s="15">
        <v>52</v>
      </c>
      <c r="C50" s="15">
        <v>56</v>
      </c>
      <c r="D50" s="36"/>
      <c r="E50" s="30" t="s">
        <v>64</v>
      </c>
      <c r="F50" s="44"/>
      <c r="G50" s="45"/>
      <c r="H50" s="7">
        <f>VLOOKUP(B50,'[1]6. Lives Saved with Mitigation'!$B$15:$I$81,8,FALSE)</f>
        <v>0</v>
      </c>
      <c r="I50" s="7">
        <f>-VLOOKUP($B50,'[1]Detailed COVID Calculations - 2'!$B$5:$AC$88,28,FALSE)</f>
        <v>-16.5316953493735</v>
      </c>
      <c r="J50" s="17">
        <f t="shared" si="0"/>
        <v>0</v>
      </c>
    </row>
    <row r="51" spans="1:10" s="1" customFormat="1">
      <c r="A51" s="5"/>
      <c r="B51" s="15"/>
      <c r="C51" s="15"/>
      <c r="D51" s="36"/>
      <c r="E51" s="37" t="s">
        <v>65</v>
      </c>
      <c r="F51" s="52"/>
      <c r="G51" s="53"/>
      <c r="H51" s="7"/>
      <c r="I51" s="7"/>
      <c r="J51" s="17"/>
    </row>
    <row r="52" spans="1:10" s="1" customFormat="1">
      <c r="A52" s="5" t="str">
        <f>IF(VLOOKUP(B52,'[1]1. Select Services'!$A$6:$E$77,5,FALSE)="x","x","")</f>
        <v>x</v>
      </c>
      <c r="B52" s="15">
        <v>53</v>
      </c>
      <c r="C52" s="15">
        <v>57</v>
      </c>
      <c r="D52" s="36"/>
      <c r="E52" s="35" t="s">
        <v>66</v>
      </c>
      <c r="F52" s="50"/>
      <c r="G52" s="51"/>
      <c r="H52" s="7">
        <f>VLOOKUP(B52,'[1]6. Lives Saved with Mitigation'!$B$15:$I$81,8,FALSE)</f>
        <v>60</v>
      </c>
      <c r="I52" s="7">
        <f>-VLOOKUP($B52,'[1]Detailed COVID Calculations - 2'!$B$5:$AC$88,28,FALSE)</f>
        <v>-16.338018583774101</v>
      </c>
      <c r="J52" s="17">
        <f t="shared" ref="J52:J70" si="1">IFERROR(H52/-I52,"NA")</f>
        <v>3.6724159476466798</v>
      </c>
    </row>
    <row r="53" spans="1:10" s="1" customFormat="1">
      <c r="A53" s="5" t="str">
        <f>IF(VLOOKUP(B53,'[1]1. Select Services'!$A$6:$E$77,5,FALSE)="x","x","")</f>
        <v>x</v>
      </c>
      <c r="B53" s="15">
        <v>54</v>
      </c>
      <c r="C53" s="15">
        <v>58</v>
      </c>
      <c r="D53" s="36"/>
      <c r="E53" s="35" t="s">
        <v>67</v>
      </c>
      <c r="F53" s="50"/>
      <c r="G53" s="51"/>
      <c r="H53" s="7">
        <f>VLOOKUP(B53,'[1]6. Lives Saved with Mitigation'!$B$15:$I$81,8,FALSE)</f>
        <v>63</v>
      </c>
      <c r="I53" s="7">
        <f>-VLOOKUP($B53,'[1]Detailed COVID Calculations - 2'!$B$5:$AC$88,28,FALSE)</f>
        <v>-16.338018583774101</v>
      </c>
      <c r="J53" s="17">
        <f t="shared" si="1"/>
        <v>3.8560367450290101</v>
      </c>
    </row>
    <row r="54" spans="1:10" s="1" customFormat="1">
      <c r="A54" s="5" t="str">
        <f>IF(VLOOKUP(B54,'[1]1. Select Services'!$A$6:$E$77,5,FALSE)="x","x","")</f>
        <v>x</v>
      </c>
      <c r="B54" s="15">
        <v>55</v>
      </c>
      <c r="C54" s="15">
        <v>59</v>
      </c>
      <c r="D54" s="36"/>
      <c r="E54" s="35" t="s">
        <v>68</v>
      </c>
      <c r="F54" s="50"/>
      <c r="G54" s="51"/>
      <c r="H54" s="7">
        <f>VLOOKUP(B54,'[1]6. Lives Saved with Mitigation'!$B$15:$I$81,8,FALSE)</f>
        <v>0</v>
      </c>
      <c r="I54" s="7">
        <f>-VLOOKUP($B54,'[1]Detailed COVID Calculations - 2'!$B$5:$AC$88,28,FALSE)</f>
        <v>-16.338018583774101</v>
      </c>
      <c r="J54" s="17">
        <f t="shared" si="1"/>
        <v>0</v>
      </c>
    </row>
    <row r="55" spans="1:10" s="1" customFormat="1">
      <c r="A55" s="5" t="str">
        <f>IF(VLOOKUP(B55,'[1]1. Select Services'!$A$6:$E$77,5,FALSE)="x","x","")</f>
        <v>x</v>
      </c>
      <c r="B55" s="15">
        <v>56</v>
      </c>
      <c r="C55" s="15">
        <v>60</v>
      </c>
      <c r="D55" s="36"/>
      <c r="E55" s="30" t="s">
        <v>69</v>
      </c>
      <c r="F55" s="44"/>
      <c r="G55" s="45"/>
      <c r="H55" s="7">
        <f>VLOOKUP(B55,'[1]6. Lives Saved with Mitigation'!$B$15:$I$81,8,FALSE)</f>
        <v>66</v>
      </c>
      <c r="I55" s="7">
        <f>-VLOOKUP($B55,'[1]Detailed COVID Calculations - 2'!$B$5:$AC$88,28,FALSE)</f>
        <v>-7.2006254638903</v>
      </c>
      <c r="J55" s="17">
        <f t="shared" si="1"/>
        <v>9.16587042764227</v>
      </c>
    </row>
    <row r="56" spans="1:10" s="1" customFormat="1">
      <c r="A56" s="5" t="str">
        <f>IF(VLOOKUP(B56,'[1]1. Select Services'!$A$6:$E$77,5,FALSE)="x","x","")</f>
        <v>x</v>
      </c>
      <c r="B56" s="15">
        <v>57</v>
      </c>
      <c r="C56" s="15">
        <v>61</v>
      </c>
      <c r="D56" s="36"/>
      <c r="E56" s="30" t="s">
        <v>70</v>
      </c>
      <c r="F56" s="44"/>
      <c r="G56" s="45"/>
      <c r="H56" s="7">
        <f>VLOOKUP(B56,'[1]6. Lives Saved with Mitigation'!$B$15:$I$81,8,FALSE)</f>
        <v>9</v>
      </c>
      <c r="I56" s="7">
        <f>-VLOOKUP($B56,'[1]Detailed COVID Calculations - 2'!$B$5:$AC$88,28,FALSE)</f>
        <v>-0.65108896047294895</v>
      </c>
      <c r="J56" s="17">
        <f t="shared" si="1"/>
        <v>13.822995852152699</v>
      </c>
    </row>
    <row r="57" spans="1:10" s="1" customFormat="1">
      <c r="A57" s="5" t="str">
        <f>IF(VLOOKUP(B57,'[1]1. Select Services'!$A$6:$E$77,5,FALSE)="x","x","")</f>
        <v>x</v>
      </c>
      <c r="B57" s="15">
        <v>58</v>
      </c>
      <c r="C57" s="15">
        <v>62</v>
      </c>
      <c r="D57" s="36"/>
      <c r="E57" s="30" t="s">
        <v>71</v>
      </c>
      <c r="F57" s="44"/>
      <c r="G57" s="45"/>
      <c r="H57" s="7">
        <f>VLOOKUP(B57,'[1]6. Lives Saved with Mitigation'!$B$15:$I$81,8,FALSE)</f>
        <v>0</v>
      </c>
      <c r="I57" s="7">
        <f>-VLOOKUP($B57,'[1]Detailed COVID Calculations - 2'!$B$5:$AC$88,28,FALSE)</f>
        <v>0</v>
      </c>
      <c r="J57" s="17" t="str">
        <f t="shared" si="1"/>
        <v>NA</v>
      </c>
    </row>
    <row r="58" spans="1:10" s="1" customFormat="1">
      <c r="A58" s="5"/>
      <c r="B58" s="15">
        <v>59</v>
      </c>
      <c r="C58" s="15">
        <v>63</v>
      </c>
      <c r="D58" s="36"/>
      <c r="E58" s="30" t="s">
        <v>72</v>
      </c>
      <c r="F58" s="44"/>
      <c r="G58" s="45"/>
      <c r="H58" s="7">
        <f>VLOOKUP(B58,'[1]6. Lives Saved with Mitigation'!$B$15:$I$81,8,FALSE)</f>
        <v>0</v>
      </c>
      <c r="I58" s="7">
        <f>-VLOOKUP($B58,'[1]Detailed COVID Calculations - 2'!$B$5:$AC$88,28,FALSE)</f>
        <v>0</v>
      </c>
      <c r="J58" s="17" t="str">
        <f t="shared" si="1"/>
        <v>NA</v>
      </c>
    </row>
    <row r="59" spans="1:10" s="1" customFormat="1">
      <c r="A59" s="5" t="str">
        <f>IF(VLOOKUP(B59,'[1]1. Select Services'!$A$6:$E$77,5,FALSE)="x","x","")</f>
        <v>x</v>
      </c>
      <c r="B59" s="15">
        <v>60</v>
      </c>
      <c r="C59" s="15">
        <v>64</v>
      </c>
      <c r="D59" s="36"/>
      <c r="E59" s="30" t="s">
        <v>73</v>
      </c>
      <c r="F59" s="44"/>
      <c r="G59" s="45"/>
      <c r="H59" s="7">
        <f>VLOOKUP(B59,'[1]6. Lives Saved with Mitigation'!$B$15:$I$81,8,FALSE)</f>
        <v>16</v>
      </c>
      <c r="I59" s="7">
        <f>-VLOOKUP($B59,'[1]Detailed COVID Calculations - 2'!$B$5:$AC$88,28,FALSE)</f>
        <v>-5.32911889126619</v>
      </c>
      <c r="J59" s="17">
        <f t="shared" si="1"/>
        <v>3.00237249842974</v>
      </c>
    </row>
    <row r="60" spans="1:10" s="1" customFormat="1">
      <c r="A60" s="5" t="str">
        <f>IF(VLOOKUP(B60,'[1]1. Select Services'!$A$6:$E$77,5,FALSE)="x","x","")</f>
        <v>x</v>
      </c>
      <c r="B60" s="16">
        <v>61</v>
      </c>
      <c r="C60" s="16">
        <v>47</v>
      </c>
      <c r="D60" s="36" t="s">
        <v>74</v>
      </c>
      <c r="E60" s="33" t="s">
        <v>75</v>
      </c>
      <c r="F60" s="46"/>
      <c r="G60" s="47"/>
      <c r="H60" s="7">
        <f>VLOOKUP(B60,'[1]6. Lives Saved with Mitigation'!$B$15:$I$81,8,FALSE)</f>
        <v>0</v>
      </c>
      <c r="I60" s="7">
        <f>-VLOOKUP($B60,'[1]Detailed COVID Calculations - 2'!$B$5:$AC$88,28,FALSE)</f>
        <v>0</v>
      </c>
      <c r="J60" s="17" t="str">
        <f t="shared" si="1"/>
        <v>NA</v>
      </c>
    </row>
    <row r="61" spans="1:10" s="1" customFormat="1">
      <c r="A61" s="5" t="str">
        <f>IF(VLOOKUP(B61,'[1]1. Select Services'!$A$6:$E$77,5,FALSE)="x","x","")</f>
        <v>x</v>
      </c>
      <c r="B61" s="16">
        <v>62</v>
      </c>
      <c r="C61" s="16">
        <v>48</v>
      </c>
      <c r="D61" s="36"/>
      <c r="E61" s="33" t="s">
        <v>76</v>
      </c>
      <c r="F61" s="46"/>
      <c r="G61" s="47"/>
      <c r="H61" s="7">
        <f>VLOOKUP(B61,'[1]6. Lives Saved with Mitigation'!$B$15:$I$81,8,FALSE)</f>
        <v>0</v>
      </c>
      <c r="I61" s="7">
        <f>-VLOOKUP($B61,'[1]Detailed COVID Calculations - 2'!$B$5:$AC$88,28,FALSE)</f>
        <v>0</v>
      </c>
      <c r="J61" s="17" t="str">
        <f t="shared" si="1"/>
        <v>NA</v>
      </c>
    </row>
    <row r="62" spans="1:10" s="1" customFormat="1">
      <c r="A62" s="5" t="str">
        <f>IF(VLOOKUP(B62,'[1]1. Select Services'!$A$6:$E$77,5,FALSE)="x","x","")</f>
        <v>x</v>
      </c>
      <c r="B62" s="16">
        <v>63</v>
      </c>
      <c r="C62" s="16">
        <v>71</v>
      </c>
      <c r="D62" s="36"/>
      <c r="E62" s="33" t="s">
        <v>77</v>
      </c>
      <c r="F62" s="46"/>
      <c r="G62" s="47"/>
      <c r="H62" s="7">
        <f>VLOOKUP(B62,'[1]6. Lives Saved with Mitigation'!$B$15:$I$81,8,FALSE)</f>
        <v>9</v>
      </c>
      <c r="I62" s="7">
        <f>-VLOOKUP($B62,'[1]Detailed COVID Calculations - 2'!$B$5:$AC$88,28,FALSE)</f>
        <v>-66.143090153101497</v>
      </c>
      <c r="J62" s="17">
        <f t="shared" si="1"/>
        <v>0.136068635123755</v>
      </c>
    </row>
    <row r="63" spans="1:10" s="1" customFormat="1">
      <c r="A63" s="5" t="str">
        <f>IF(VLOOKUP(B63,'[1]1. Select Services'!$A$6:$E$77,5,FALSE)="x","x","")</f>
        <v>x</v>
      </c>
      <c r="B63" s="16">
        <v>64</v>
      </c>
      <c r="C63" s="16">
        <v>72</v>
      </c>
      <c r="D63" s="36"/>
      <c r="E63" s="33" t="s">
        <v>78</v>
      </c>
      <c r="F63" s="46"/>
      <c r="G63" s="47"/>
      <c r="H63" s="7">
        <f>VLOOKUP(B63,'[1]6. Lives Saved with Mitigation'!$B$15:$I$81,8,FALSE)</f>
        <v>0</v>
      </c>
      <c r="I63" s="7">
        <f>-VLOOKUP($B63,'[1]Detailed COVID Calculations - 2'!$B$5:$AC$88,28,FALSE)</f>
        <v>0</v>
      </c>
      <c r="J63" s="17" t="str">
        <f t="shared" si="1"/>
        <v>NA</v>
      </c>
    </row>
    <row r="64" spans="1:10" s="1" customFormat="1">
      <c r="A64" s="5" t="str">
        <f>IF(VLOOKUP(B64,'[1]1. Select Services'!$A$6:$E$77,5,FALSE)="x","x","")</f>
        <v>x</v>
      </c>
      <c r="B64" s="16">
        <v>65</v>
      </c>
      <c r="C64" s="16">
        <v>73</v>
      </c>
      <c r="D64" s="36"/>
      <c r="E64" s="33" t="s">
        <v>79</v>
      </c>
      <c r="F64" s="46"/>
      <c r="G64" s="47"/>
      <c r="H64" s="7">
        <f>VLOOKUP(B64,'[1]6. Lives Saved with Mitigation'!$B$15:$I$81,8,FALSE)</f>
        <v>0</v>
      </c>
      <c r="I64" s="7">
        <f>-VLOOKUP($B64,'[1]Detailed COVID Calculations - 2'!$B$5:$AC$88,28,FALSE)</f>
        <v>-19.271518810121499</v>
      </c>
      <c r="J64" s="17">
        <f t="shared" si="1"/>
        <v>0</v>
      </c>
    </row>
    <row r="65" spans="1:10" s="1" customFormat="1">
      <c r="A65" s="5" t="str">
        <f>IF(VLOOKUP(B65,'[1]1. Select Services'!$A$6:$E$77,5,FALSE)="x","x","")</f>
        <v>x</v>
      </c>
      <c r="B65" s="16">
        <v>66</v>
      </c>
      <c r="C65" s="16">
        <v>74</v>
      </c>
      <c r="D65" s="36"/>
      <c r="E65" s="33" t="s">
        <v>80</v>
      </c>
      <c r="F65" s="46"/>
      <c r="G65" s="47"/>
      <c r="H65" s="7">
        <f>VLOOKUP(B65,'[1]6. Lives Saved with Mitigation'!$B$15:$I$81,8,FALSE)</f>
        <v>25</v>
      </c>
      <c r="I65" s="7">
        <f>-VLOOKUP($B65,'[1]Detailed COVID Calculations - 2'!$B$5:$AC$88,28,FALSE)</f>
        <v>-33.153174824523497</v>
      </c>
      <c r="J65" s="17">
        <f t="shared" si="1"/>
        <v>0.754075594036546</v>
      </c>
    </row>
    <row r="66" spans="1:10" s="1" customFormat="1">
      <c r="A66" s="5" t="str">
        <f>IF(VLOOKUP(B66,'[1]1. Select Services'!$A$6:$E$77,5,FALSE)="x","x","")</f>
        <v>x</v>
      </c>
      <c r="B66" s="16">
        <v>67</v>
      </c>
      <c r="C66" s="16">
        <v>75</v>
      </c>
      <c r="D66" s="36"/>
      <c r="E66" s="33" t="s">
        <v>81</v>
      </c>
      <c r="F66" s="46"/>
      <c r="G66" s="47"/>
      <c r="H66" s="7">
        <f>VLOOKUP(B66,'[1]6. Lives Saved with Mitigation'!$B$15:$I$81,8,FALSE)</f>
        <v>0</v>
      </c>
      <c r="I66" s="7">
        <f>-VLOOKUP($B66,'[1]Detailed COVID Calculations - 2'!$B$5:$AC$88,28,FALSE)</f>
        <v>0</v>
      </c>
      <c r="J66" s="17" t="str">
        <f t="shared" si="1"/>
        <v>NA</v>
      </c>
    </row>
    <row r="67" spans="1:10" s="1" customFormat="1">
      <c r="A67" s="5" t="str">
        <f>IF(VLOOKUP(B67,'[1]1. Select Services'!$A$6:$E$77,5,FALSE)="x","x","")</f>
        <v>x</v>
      </c>
      <c r="B67" s="16">
        <v>68</v>
      </c>
      <c r="C67" s="16">
        <v>76</v>
      </c>
      <c r="D67" s="36"/>
      <c r="E67" s="33" t="s">
        <v>82</v>
      </c>
      <c r="F67" s="46"/>
      <c r="G67" s="47"/>
      <c r="H67" s="7">
        <f>VLOOKUP(B67,'[1]6. Lives Saved with Mitigation'!$B$15:$I$81,8,FALSE)</f>
        <v>0</v>
      </c>
      <c r="I67" s="7">
        <f>-VLOOKUP($B67,'[1]Detailed COVID Calculations - 2'!$B$5:$AC$88,28,FALSE)</f>
        <v>-49.7931347328513</v>
      </c>
      <c r="J67" s="17">
        <f t="shared" si="1"/>
        <v>0</v>
      </c>
    </row>
    <row r="68" spans="1:10" s="1" customFormat="1">
      <c r="A68" s="5" t="str">
        <f>IF(VLOOKUP(B68,'[1]1. Select Services'!$A$6:$E$77,5,FALSE)="x","x","")</f>
        <v/>
      </c>
      <c r="B68" s="18">
        <v>69</v>
      </c>
      <c r="C68" s="18">
        <v>77</v>
      </c>
      <c r="D68" s="38" t="s">
        <v>83</v>
      </c>
      <c r="E68" s="39" t="s">
        <v>84</v>
      </c>
      <c r="F68" s="54"/>
      <c r="G68" s="55"/>
      <c r="H68" s="7">
        <f>VLOOKUP(B68,'[1]6. Lives Saved with Mitigation'!$B$15:$I$81,8,FALSE)</f>
        <v>0</v>
      </c>
      <c r="I68" s="7">
        <f>-VLOOKUP($B68,'[1]Detailed COVID Calculations - 2'!$B$5:$AC$88,28,FALSE)</f>
        <v>0</v>
      </c>
      <c r="J68" s="17" t="str">
        <f t="shared" si="1"/>
        <v>NA</v>
      </c>
    </row>
    <row r="69" spans="1:10" s="1" customFormat="1">
      <c r="A69" s="5" t="str">
        <f>IF(VLOOKUP(B69,'[1]1. Select Services'!$A$6:$E$77,5,FALSE)="x","x","")</f>
        <v/>
      </c>
      <c r="B69" s="18">
        <v>70</v>
      </c>
      <c r="C69" s="18">
        <v>78</v>
      </c>
      <c r="D69" s="38"/>
      <c r="E69" s="39" t="s">
        <v>85</v>
      </c>
      <c r="F69" s="54"/>
      <c r="G69" s="55"/>
      <c r="H69" s="7">
        <f>VLOOKUP(B69,'[1]6. Lives Saved with Mitigation'!$B$15:$I$81,8,FALSE)</f>
        <v>0</v>
      </c>
      <c r="I69" s="7">
        <f>-VLOOKUP($B69,'[1]Detailed COVID Calculations - 2'!$B$5:$AC$88,28,FALSE)</f>
        <v>0</v>
      </c>
      <c r="J69" s="17" t="str">
        <f t="shared" si="1"/>
        <v>NA</v>
      </c>
    </row>
    <row r="70" spans="1:10" s="1" customFormat="1">
      <c r="A70" s="5" t="str">
        <f>IF(VLOOKUP(B70,'[1]1. Select Services'!$A$6:$E$77,5,FALSE)="x","x","")</f>
        <v/>
      </c>
      <c r="B70" s="19">
        <v>71</v>
      </c>
      <c r="C70" s="20">
        <v>54</v>
      </c>
      <c r="D70" s="21"/>
      <c r="E70" s="30" t="s">
        <v>86</v>
      </c>
      <c r="F70" s="44"/>
      <c r="G70" s="45"/>
      <c r="H70" s="7">
        <f>VLOOKUP(B70,'[1]6. Lives Saved with Mitigation'!$B$15:$I$81,8,FALSE)</f>
        <v>0</v>
      </c>
      <c r="I70" s="7">
        <f>-VLOOKUP($B70,'[1]Detailed COVID Calculations - 2'!$B$5:$AC$88,28,FALSE)</f>
        <v>0</v>
      </c>
      <c r="J70" s="17" t="str">
        <f t="shared" si="1"/>
        <v>NA</v>
      </c>
    </row>
  </sheetData>
  <mergeCells count="7">
    <mergeCell ref="D60:D67"/>
    <mergeCell ref="D68:D69"/>
    <mergeCell ref="D5:D17"/>
    <mergeCell ref="D18:D34"/>
    <mergeCell ref="D35:D45"/>
    <mergeCell ref="D46:D48"/>
    <mergeCell ref="D49:D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2024-11-19T04:30:00Z</dcterms:created>
  <dcterms:modified xsi:type="dcterms:W3CDTF">2025-12-01T02:03:22Z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95224D26321E461FBC5FDF903F81A2F0_11</vt:lpwstr>
  </property>
  <property fmtid="{D5CDD505-2E9C-101B-9397-08002B2CF9AE}" pid="3" name="KSOProductBuildVer">
    <vt:lpwstr>2052-12.1.0.19302</vt:lpwstr>
  </property>
</Properties>
</file>