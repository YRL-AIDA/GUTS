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B15" i="1"/>
  <c r="C14" i="1"/>
  <c r="B14" i="1"/>
  <c r="C13" i="1"/>
  <c r="B13" i="1"/>
  <c r="C8" i="1"/>
  <c r="C7" i="1"/>
  <c r="C6" i="1"/>
  <c r="B6" i="1"/>
  <c r="C5" i="1"/>
  <c r="B5" i="1"/>
  <c r="B3" i="1"/>
  <c r="B18" i="1" l="1"/>
  <c r="C10" i="1"/>
  <c r="C20" i="1"/>
  <c r="B20" i="1"/>
  <c r="C9" i="1"/>
  <c r="B9" i="1"/>
  <c r="B10" i="1"/>
  <c r="B17" i="1"/>
  <c r="C17" i="1"/>
  <c r="C18" i="1"/>
</calcChain>
</file>

<file path=xl/sharedStrings.xml><?xml version="1.0" encoding="utf-8"?>
<sst xmlns="http://schemas.openxmlformats.org/spreadsheetml/2006/main" count="19" uniqueCount="19">
  <si>
    <t>Package Details</t>
  </si>
  <si>
    <t>Monthly</t>
  </si>
  <si>
    <t>Annual</t>
  </si>
  <si>
    <t xml:space="preserve">CTC </t>
  </si>
  <si>
    <t>Earnings:</t>
  </si>
  <si>
    <t>BASIC SALARY</t>
  </si>
  <si>
    <t>HRA</t>
  </si>
  <si>
    <t>TRANSPORT ALLOWANCE</t>
  </si>
  <si>
    <t>MEDICAL REIMBURSEMENT</t>
  </si>
  <si>
    <t>SPECIAL ALLOWANCE</t>
  </si>
  <si>
    <t>TOTAL EARNINGS (Gross)</t>
  </si>
  <si>
    <t>Employer's Contribution:</t>
  </si>
  <si>
    <t>Gratuity</t>
  </si>
  <si>
    <t>Employer's Provident Fund Contribution</t>
  </si>
  <si>
    <t>Employer's ESI Contribution</t>
  </si>
  <si>
    <t>Medical Insuramce</t>
  </si>
  <si>
    <t>Peformance Incentive</t>
  </si>
  <si>
    <t>Total of employer's contribution</t>
  </si>
  <si>
    <t>TOTAL CTC (Cross Verification)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</si>
</sst>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_ * #,##0.00_ ;_ * \-#,##0.00_ ;_ * &quot;-&quot;??_ ;_ @_ "/>
    <numFmt numFmtId="168" formatCode="_(* #,##0_);_(* \(#,##0\);_(* \-??_);_(@_)"/>
    <numFmt numFmtId="169" formatCode="_-* #,##0_-;\-* #,##0_-;_-* \-??_-;_-@_-"/>
  </numFmts>
  <fonts count="8">
    <font>
      <sz val="11"/>
      <color theme="1"/>
      <name val="Calibri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hair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hair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6" fontId="7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3" xfId="0" applyFont="1" applyFill="1" applyBorder="1" applyAlignment="1"/>
    <xf numFmtId="168" fontId="2" fillId="0" borderId="2" xfId="1" applyNumberFormat="1" applyFont="1" applyFill="1" applyBorder="1" applyAlignment="1" applyProtection="1"/>
    <xf numFmtId="168" fontId="2" fillId="0" borderId="7" xfId="1" applyNumberFormat="1" applyFont="1" applyFill="1" applyBorder="1" applyAlignment="1" applyProtection="1"/>
    <xf numFmtId="168" fontId="2" fillId="0" borderId="8" xfId="1" applyNumberFormat="1" applyFont="1" applyFill="1" applyBorder="1" applyAlignment="1" applyProtection="1"/>
    <xf numFmtId="169" fontId="2" fillId="0" borderId="8" xfId="1" applyNumberFormat="1" applyFont="1" applyFill="1" applyBorder="1" applyAlignment="1" applyProtection="1"/>
    <xf numFmtId="168" fontId="2" fillId="0" borderId="9" xfId="1" applyNumberFormat="1" applyFont="1" applyFill="1" applyBorder="1" applyAlignment="1" applyProtection="1"/>
    <xf numFmtId="168" fontId="1" fillId="0" borderId="7" xfId="1" applyNumberFormat="1" applyFont="1" applyFill="1" applyBorder="1" applyAlignment="1" applyProtection="1"/>
    <xf numFmtId="168" fontId="1" fillId="0" borderId="11" xfId="1" applyNumberFormat="1" applyFont="1" applyFill="1" applyBorder="1" applyAlignment="1" applyProtection="1"/>
    <xf numFmtId="0" fontId="2" fillId="0" borderId="6" xfId="0" applyFont="1" applyFill="1" applyBorder="1" applyAlignment="1"/>
    <xf numFmtId="168" fontId="2" fillId="0" borderId="12" xfId="1" applyNumberFormat="1" applyFont="1" applyFill="1" applyBorder="1" applyAlignment="1" applyProtection="1"/>
    <xf numFmtId="168" fontId="2" fillId="0" borderId="13" xfId="1" applyNumberFormat="1" applyFont="1" applyFill="1" applyBorder="1" applyAlignment="1" applyProtection="1"/>
    <xf numFmtId="168" fontId="2" fillId="0" borderId="14" xfId="1" applyNumberFormat="1" applyFont="1" applyFill="1" applyBorder="1" applyAlignment="1" applyProtection="1"/>
    <xf numFmtId="168" fontId="2" fillId="0" borderId="15" xfId="1" applyNumberFormat="1" applyFont="1" applyFill="1" applyBorder="1" applyAlignment="1" applyProtection="1"/>
    <xf numFmtId="0" fontId="2" fillId="0" borderId="6" xfId="0" applyFont="1" applyFill="1" applyBorder="1" applyAlignment="1">
      <alignment vertical="top"/>
    </xf>
    <xf numFmtId="168" fontId="1" fillId="0" borderId="16" xfId="1" applyNumberFormat="1" applyFont="1" applyFill="1" applyBorder="1" applyAlignment="1" applyProtection="1">
      <alignment horizontal="right" vertical="top"/>
    </xf>
    <xf numFmtId="168" fontId="2" fillId="0" borderId="10" xfId="1" applyNumberFormat="1" applyFont="1" applyFill="1" applyBorder="1" applyAlignment="1" applyProtection="1">
      <alignment horizontal="right" vertical="top"/>
    </xf>
    <xf numFmtId="168" fontId="1" fillId="0" borderId="2" xfId="1" applyNumberFormat="1" applyFont="1" applyFill="1" applyBorder="1" applyAlignment="1" applyProtection="1">
      <alignment horizontal="center" wrapText="1"/>
    </xf>
    <xf numFmtId="0" fontId="0" fillId="0" borderId="0" xfId="0" applyFill="1">
      <alignment vertical="center"/>
    </xf>
    <xf numFmtId="168" fontId="2" fillId="0" borderId="5" xfId="1" applyNumberFormat="1" applyFont="1" applyFill="1" applyBorder="1" applyAlignment="1" applyProtection="1"/>
    <xf numFmtId="168" fontId="2" fillId="0" borderId="10" xfId="1" applyNumberFormat="1" applyFont="1" applyFill="1" applyBorder="1" applyAlignment="1" applyProtection="1"/>
    <xf numFmtId="168" fontId="1" fillId="0" borderId="5" xfId="1" applyNumberFormat="1" applyFont="1" applyFill="1" applyBorder="1" applyAlignment="1" applyProtection="1">
      <alignment vertical="top"/>
    </xf>
    <xf numFmtId="168" fontId="2" fillId="2" borderId="2" xfId="1" applyNumberFormat="1" applyFont="1" applyFill="1" applyBorder="1" applyAlignment="1" applyProtection="1"/>
    <xf numFmtId="0" fontId="2" fillId="3" borderId="4" xfId="0" applyFont="1" applyFill="1" applyBorder="1" applyAlignment="1"/>
    <xf numFmtId="0" fontId="4" fillId="3" borderId="6" xfId="0" applyFont="1" applyFill="1" applyBorder="1" applyAlignment="1">
      <alignment vertical="top"/>
    </xf>
    <xf numFmtId="0" fontId="5" fillId="3" borderId="3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F15" sqref="F15"/>
    </sheetView>
  </sheetViews>
  <sheetFormatPr defaultColWidth="9.26953125" defaultRowHeight="14.5"/>
  <cols>
    <col min="1" max="1" width="35.54296875" style="18" customWidth="1"/>
    <col min="2" max="2" width="14.26953125" style="18" customWidth="1"/>
    <col min="3" max="3" width="15.08984375" style="18" customWidth="1"/>
    <col min="4" max="16384" width="9.26953125" style="18"/>
  </cols>
  <sheetData>
    <row r="1" spans="1:3" ht="15">
      <c r="A1" s="26" t="s">
        <v>0</v>
      </c>
      <c r="B1" s="17"/>
      <c r="C1" s="17"/>
    </row>
    <row r="2" spans="1:3" ht="15.5">
      <c r="A2" s="1"/>
      <c r="B2" s="22" t="s">
        <v>1</v>
      </c>
      <c r="C2" s="22" t="s">
        <v>2</v>
      </c>
    </row>
    <row r="3" spans="1:3" ht="15.5">
      <c r="A3" s="23" t="s">
        <v>3</v>
      </c>
      <c r="B3" s="2">
        <f>ROUND(C3/12,0)</f>
        <v>50000</v>
      </c>
      <c r="C3" s="19">
        <v>600000</v>
      </c>
    </row>
    <row r="4" spans="1:3" ht="15.5">
      <c r="A4" s="27" t="s">
        <v>4</v>
      </c>
      <c r="B4" s="3"/>
      <c r="C4" s="4"/>
    </row>
    <row r="5" spans="1:3" ht="15.5">
      <c r="A5" s="24" t="s">
        <v>5</v>
      </c>
      <c r="B5" s="5">
        <f>ROUND(B3*40%,0)</f>
        <v>20000</v>
      </c>
      <c r="C5" s="6">
        <f t="shared" ref="C5:C9" si="0">B5*12</f>
        <v>240000</v>
      </c>
    </row>
    <row r="6" spans="1:3" ht="15.5">
      <c r="A6" s="24" t="s">
        <v>6</v>
      </c>
      <c r="B6" s="4">
        <f>ROUND(B5*40%,0)</f>
        <v>8000</v>
      </c>
      <c r="C6" s="6">
        <f t="shared" si="0"/>
        <v>96000</v>
      </c>
    </row>
    <row r="7" spans="1:3" ht="15.5">
      <c r="A7" s="24" t="s">
        <v>7</v>
      </c>
      <c r="B7" s="4">
        <v>800</v>
      </c>
      <c r="C7" s="6">
        <f t="shared" si="0"/>
        <v>9600</v>
      </c>
    </row>
    <row r="8" spans="1:3" ht="15.5">
      <c r="A8" s="24" t="s">
        <v>8</v>
      </c>
      <c r="B8" s="4">
        <v>1250</v>
      </c>
      <c r="C8" s="6">
        <f t="shared" si="0"/>
        <v>15000</v>
      </c>
    </row>
    <row r="9" spans="1:3" ht="15.5">
      <c r="A9" s="24" t="s">
        <v>9</v>
      </c>
      <c r="B9" s="20">
        <f ca="1">ROUND((B3-(B13+B14+B15+B16+B17))-SUM(B5:B8),0)</f>
        <v>11894</v>
      </c>
      <c r="C9" s="6">
        <f t="shared" ca="1" si="0"/>
        <v>142728</v>
      </c>
    </row>
    <row r="10" spans="1:3" ht="15">
      <c r="A10" s="25" t="s">
        <v>10</v>
      </c>
      <c r="B10" s="7">
        <f ca="1">SUM(B5:B9)</f>
        <v>41944</v>
      </c>
      <c r="C10" s="8">
        <f ca="1">SUM(C5:C9)</f>
        <v>503328</v>
      </c>
    </row>
    <row r="11" spans="1:3" ht="15.5">
      <c r="A11" s="9"/>
      <c r="B11" s="10"/>
      <c r="C11" s="11"/>
    </row>
    <row r="12" spans="1:3" ht="15.5">
      <c r="A12" s="28" t="s">
        <v>11</v>
      </c>
      <c r="B12" s="12"/>
      <c r="C12" s="13"/>
    </row>
    <row r="13" spans="1:3" ht="15.5">
      <c r="A13" s="29" t="s">
        <v>12</v>
      </c>
      <c r="B13" s="12">
        <f>ROUND(B5*4.81/100,0)</f>
        <v>962</v>
      </c>
      <c r="C13" s="13">
        <f t="shared" ref="C13:C17" si="1">B13*12</f>
        <v>11544</v>
      </c>
    </row>
    <row r="14" spans="1:3" ht="15.5">
      <c r="A14" s="29" t="s">
        <v>13</v>
      </c>
      <c r="B14" s="12">
        <f>ROUND(B5*12%,0)</f>
        <v>2400</v>
      </c>
      <c r="C14" s="13">
        <f t="shared" si="1"/>
        <v>28800</v>
      </c>
    </row>
    <row r="15" spans="1:3" ht="15.5">
      <c r="A15" s="29" t="s">
        <v>14</v>
      </c>
      <c r="B15" s="12">
        <f>ROUND(IF(B23&lt;=15000,B23*4.75%,0),0)</f>
        <v>0</v>
      </c>
      <c r="C15" s="13">
        <f t="shared" si="1"/>
        <v>0</v>
      </c>
    </row>
    <row r="16" spans="1:3" ht="15.5">
      <c r="A16" s="29" t="s">
        <v>15</v>
      </c>
      <c r="B16" s="12">
        <v>500</v>
      </c>
      <c r="C16" s="13">
        <f t="shared" si="1"/>
        <v>6000</v>
      </c>
    </row>
    <row r="17" spans="1:3" ht="15.5">
      <c r="A17" s="29" t="s">
        <v>16</v>
      </c>
      <c r="B17" s="12">
        <f ca="1">B10*10/100</f>
        <v>4194.3999999999996</v>
      </c>
      <c r="C17" s="13">
        <f t="shared" ca="1" si="1"/>
        <v>50332.800000000003</v>
      </c>
    </row>
    <row r="18" spans="1:3" ht="15">
      <c r="A18" s="30" t="s">
        <v>17</v>
      </c>
      <c r="B18" s="15">
        <f ca="1">SUM(B13:B17)</f>
        <v>8056.4</v>
      </c>
      <c r="C18" s="15">
        <f ca="1">SUM(C13:C17)</f>
        <v>96676.800000000003</v>
      </c>
    </row>
    <row r="19" spans="1:3" ht="15.5">
      <c r="A19" s="14"/>
      <c r="B19" s="16"/>
      <c r="C19" s="4"/>
    </row>
    <row r="20" spans="1:3" ht="15">
      <c r="A20" s="31" t="s">
        <v>18</v>
      </c>
      <c r="B20" s="21">
        <f ca="1">B10+B18</f>
        <v>50000.4</v>
      </c>
      <c r="C20" s="21">
        <f ca="1">C10+C18</f>
        <v>600004.80000000005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2024-12-10T19:53:20Z</dcterms:created>
  <dcterms:modified xsi:type="dcterms:W3CDTF">2025-11-21T02:50:46Z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43E179CEADB6716EB02B5867CF20520D_41</vt:lpwstr>
  </property>
  <property fmtid="{D5CDD505-2E9C-101B-9397-08002B2CF9AE}" pid="3" name="KSOProductBuildVer">
    <vt:lpwstr>2052-6.8.2.8850</vt:lpwstr>
  </property>
</Properties>
</file>