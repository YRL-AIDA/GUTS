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L8" i="1"/>
  <c r="I8" i="1"/>
  <c r="H8" i="1"/>
  <c r="C8" i="1"/>
  <c r="M7" i="1"/>
  <c r="L7" i="1"/>
  <c r="I7" i="1"/>
  <c r="H7" i="1"/>
  <c r="C7" i="1"/>
  <c r="M6" i="1"/>
  <c r="L6" i="1"/>
  <c r="I6" i="1"/>
  <c r="H6" i="1"/>
  <c r="C6" i="1"/>
  <c r="M5" i="1"/>
  <c r="L5" i="1"/>
  <c r="I5" i="1"/>
  <c r="H5" i="1"/>
  <c r="C5" i="1"/>
  <c r="M4" i="1"/>
  <c r="L4" i="1"/>
  <c r="I4" i="1"/>
  <c r="H4" i="1"/>
  <c r="C4" i="1"/>
</calcChain>
</file>

<file path=xl/sharedStrings.xml><?xml version="1.0" encoding="utf-8"?>
<sst xmlns="http://schemas.openxmlformats.org/spreadsheetml/2006/main" count="30" uniqueCount="24">
  <si>
    <t>MATERIAL</t>
  </si>
  <si>
    <t>LABOR</t>
  </si>
  <si>
    <t>Direct Cost</t>
  </si>
  <si>
    <t>Mark Up</t>
  </si>
  <si>
    <t>Product Information</t>
  </si>
  <si>
    <t>Cost / Linear Foot</t>
  </si>
  <si>
    <t>Length</t>
  </si>
  <si>
    <r>
      <rPr>
        <b/>
        <sz val="11"/>
        <rFont val="Lucida Sans Typewriter"/>
        <charset val="134"/>
      </rPr>
      <t>Cost</t>
    </r>
    <r>
      <rPr>
        <b/>
        <vertAlign val="subscript"/>
        <sz val="11"/>
        <rFont val="Lucida Sans Typewriter"/>
        <charset val="134"/>
      </rPr>
      <t>Material</t>
    </r>
  </si>
  <si>
    <t># of Steps</t>
  </si>
  <si>
    <r>
      <rPr>
        <b/>
        <sz val="11"/>
        <rFont val="Lucida Sans Typewriter"/>
        <charset val="134"/>
      </rPr>
      <t>Cost</t>
    </r>
    <r>
      <rPr>
        <b/>
        <vertAlign val="subscript"/>
        <sz val="11"/>
        <rFont val="Lucida Sans Typewriter"/>
        <charset val="134"/>
      </rPr>
      <t>Labor</t>
    </r>
  </si>
  <si>
    <r>
      <rPr>
        <b/>
        <sz val="11"/>
        <rFont val="Lucida Sans Typewriter"/>
        <charset val="134"/>
      </rPr>
      <t>Cost</t>
    </r>
    <r>
      <rPr>
        <b/>
        <vertAlign val="subscript"/>
        <sz val="11"/>
        <rFont val="Lucida Sans Typewriter"/>
        <charset val="134"/>
      </rPr>
      <t>Material</t>
    </r>
    <r>
      <rPr>
        <b/>
        <sz val="11"/>
        <rFont val="Lucida Sans Typewriter"/>
        <charset val="134"/>
      </rPr>
      <t xml:space="preserve"> + Cost</t>
    </r>
    <r>
      <rPr>
        <b/>
        <vertAlign val="subscript"/>
        <sz val="11"/>
        <rFont val="Lucida Sans Typewriter"/>
        <charset val="134"/>
      </rPr>
      <t>Labor</t>
    </r>
  </si>
  <si>
    <t>Price</t>
  </si>
  <si>
    <t>Product Name</t>
  </si>
  <si>
    <t>Blank Size (in)</t>
  </si>
  <si>
    <t>Width Ratio</t>
  </si>
  <si>
    <t>Galvalume</t>
  </si>
  <si>
    <t>Painted</t>
  </si>
  <si>
    <t>Feet</t>
  </si>
  <si>
    <t>Inches</t>
  </si>
  <si>
    <t>W - Valley</t>
  </si>
  <si>
    <t>Deluxe Ridge Cap</t>
  </si>
  <si>
    <t>17.25 Cap</t>
  </si>
  <si>
    <t>Ridge Cap</t>
  </si>
  <si>
    <t>10.5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</si>
</sst>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&quot;$&quot;#,##0.00"/>
  </numFmts>
  <fonts count="7">
    <font>
      <sz val="11"/>
      <color theme="1"/>
      <name val="Calibri"/>
      <charset val="134"/>
      <scheme val="minor"/>
    </font>
    <font>
      <sz val="11"/>
      <name val="Lucida Sans Typewriter"/>
      <charset val="134"/>
    </font>
    <font>
      <b/>
      <sz val="12"/>
      <name val="Lucida Sans Typewriter"/>
      <charset val="134"/>
    </font>
    <font>
      <b/>
      <sz val="11"/>
      <name val="Lucida Sans Typewriter"/>
      <charset val="134"/>
    </font>
    <font>
      <sz val="10"/>
      <name val="Lucida Sans Typewriter"/>
      <charset val="134"/>
    </font>
    <font>
      <sz val="9"/>
      <name val="Lucida Sans Typewriter"/>
      <charset val="134"/>
    </font>
    <font>
      <b/>
      <vertAlign val="subscript"/>
      <sz val="11"/>
      <name val="Lucida Sans Typewriter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4" fillId="0" borderId="6" xfId="0" applyNumberFormat="1" applyFont="1" applyFill="1" applyBorder="1" applyAlignment="1" applyProtection="1">
      <alignment horizontal="center" vertical="center"/>
    </xf>
    <xf numFmtId="164" fontId="4" fillId="0" borderId="6" xfId="0" applyNumberFormat="1" applyFont="1" applyFill="1" applyBorder="1" applyAlignment="1" applyProtection="1">
      <alignment horizontal="center" vertical="center"/>
    </xf>
    <xf numFmtId="164" fontId="4" fillId="0" borderId="6" xfId="0" applyNumberFormat="1" applyFont="1" applyFill="1" applyBorder="1" applyAlignment="1" applyProtection="1">
      <alignment horizontal="center" vertical="center" wrapText="1"/>
    </xf>
    <xf numFmtId="165" fontId="4" fillId="0" borderId="6" xfId="0" applyNumberFormat="1" applyFont="1" applyFill="1" applyBorder="1" applyAlignment="1" applyProtection="1">
      <alignment horizontal="center" vertical="center" wrapText="1"/>
    </xf>
    <xf numFmtId="165" fontId="4" fillId="0" borderId="6" xfId="0" applyNumberFormat="1" applyFont="1" applyFill="1" applyBorder="1" applyAlignment="1" applyProtection="1">
      <alignment horizontal="center" vertical="center"/>
    </xf>
    <xf numFmtId="3" fontId="4" fillId="0" borderId="6" xfId="0" applyNumberFormat="1" applyFont="1" applyFill="1" applyBorder="1" applyAlignment="1" applyProtection="1">
      <alignment horizontal="center" vertical="center"/>
      <protection locked="0"/>
    </xf>
    <xf numFmtId="165" fontId="4" fillId="0" borderId="6" xfId="0" applyNumberFormat="1" applyFont="1" applyFill="1" applyBorder="1" applyAlignment="1" applyProtection="1">
      <alignment horizontal="center"/>
    </xf>
    <xf numFmtId="165" fontId="4" fillId="0" borderId="6" xfId="0" applyNumberFormat="1" applyFont="1" applyFill="1" applyBorder="1" applyAlignment="1" applyProtection="1"/>
    <xf numFmtId="0" fontId="4" fillId="0" borderId="6" xfId="0" applyNumberFormat="1" applyFont="1" applyFill="1" applyBorder="1" applyAlignment="1" applyProtection="1">
      <alignment horizontal="center" vertical="center"/>
      <protection locked="0"/>
    </xf>
    <xf numFmtId="0" fontId="4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5" xfId="0" applyNumberFormat="1" applyFont="1" applyFill="1" applyBorder="1" applyAlignment="1" applyProtection="1">
      <alignment horizontal="center" vertical="center" wrapText="1"/>
    </xf>
    <xf numFmtId="0" fontId="5" fillId="2" borderId="5" xfId="0" applyNumberFormat="1" applyFont="1" applyFill="1" applyBorder="1" applyAlignment="1" applyProtection="1">
      <alignment horizontal="center" vertical="center" wrapText="1"/>
    </xf>
    <xf numFmtId="0" fontId="4" fillId="2" borderId="5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/>
    </xf>
    <xf numFmtId="0" fontId="1" fillId="2" borderId="1" xfId="0" applyNumberFormat="1" applyFont="1" applyFill="1" applyBorder="1" applyAlignment="1" applyProtection="1">
      <alignment horizontal="center"/>
    </xf>
    <xf numFmtId="0" fontId="2" fillId="2" borderId="2" xfId="0" applyNumberFormat="1" applyFont="1" applyFill="1" applyBorder="1" applyAlignment="1" applyProtection="1">
      <alignment horizontal="center" vertical="center"/>
    </xf>
    <xf numFmtId="0" fontId="2" fillId="2" borderId="3" xfId="0" applyNumberFormat="1" applyFont="1" applyFill="1" applyBorder="1" applyAlignment="1" applyProtection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vertical="center"/>
    </xf>
    <xf numFmtId="0" fontId="3" fillId="2" borderId="2" xfId="0" applyNumberFormat="1" applyFont="1" applyFill="1" applyBorder="1" applyAlignment="1" applyProtection="1">
      <alignment horizontal="center" vertical="center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4" fillId="2" borderId="5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left" vertical="center" indent="1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4" fillId="3" borderId="6" xfId="0" applyNumberFormat="1" applyFont="1" applyFill="1" applyBorder="1" applyAlignment="1" applyProtection="1">
      <alignment horizontal="left" vertical="center" inden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workbookViewId="0">
      <selection activeCell="A4" sqref="A4:A8"/>
    </sheetView>
  </sheetViews>
  <sheetFormatPr defaultColWidth="9" defaultRowHeight="14.5"/>
  <cols>
    <col min="5" max="5" width="11.90625" customWidth="1"/>
    <col min="10" max="10" width="13.36328125" customWidth="1"/>
    <col min="11" max="11" width="14.453125" customWidth="1"/>
    <col min="12" max="12" width="14.08984375" customWidth="1"/>
    <col min="13" max="13" width="14.1796875" customWidth="1"/>
  </cols>
  <sheetData>
    <row r="1" spans="1:15">
      <c r="A1" s="1"/>
      <c r="B1" s="1"/>
      <c r="C1" s="1"/>
      <c r="D1" s="15" t="s">
        <v>0</v>
      </c>
      <c r="E1" s="15"/>
      <c r="F1" s="15"/>
      <c r="G1" s="15"/>
      <c r="H1" s="15"/>
      <c r="I1" s="15"/>
      <c r="J1" s="16" t="s">
        <v>1</v>
      </c>
      <c r="K1" s="16"/>
      <c r="L1" s="17" t="s">
        <v>2</v>
      </c>
      <c r="M1" s="17"/>
      <c r="N1" s="17" t="s">
        <v>3</v>
      </c>
      <c r="O1" s="17"/>
    </row>
    <row r="2" spans="1:15" ht="32.5" customHeight="1">
      <c r="A2" s="18" t="s">
        <v>4</v>
      </c>
      <c r="B2" s="19"/>
      <c r="C2" s="20"/>
      <c r="D2" s="21" t="s">
        <v>5</v>
      </c>
      <c r="E2" s="22"/>
      <c r="F2" s="21" t="s">
        <v>6</v>
      </c>
      <c r="G2" s="22"/>
      <c r="H2" s="21" t="s">
        <v>7</v>
      </c>
      <c r="I2" s="22"/>
      <c r="J2" s="23" t="s">
        <v>8</v>
      </c>
      <c r="K2" s="25" t="s">
        <v>9</v>
      </c>
      <c r="L2" s="21" t="s">
        <v>10</v>
      </c>
      <c r="M2" s="22"/>
      <c r="N2" s="21" t="s">
        <v>11</v>
      </c>
      <c r="O2" s="22"/>
    </row>
    <row r="3" spans="1:15" ht="37.5">
      <c r="A3" s="12" t="s">
        <v>12</v>
      </c>
      <c r="B3" s="12" t="s">
        <v>13</v>
      </c>
      <c r="C3" s="13" t="s">
        <v>14</v>
      </c>
      <c r="D3" s="14" t="s">
        <v>15</v>
      </c>
      <c r="E3" s="14" t="s">
        <v>16</v>
      </c>
      <c r="F3" s="14" t="s">
        <v>17</v>
      </c>
      <c r="G3" s="14" t="s">
        <v>18</v>
      </c>
      <c r="H3" s="14" t="s">
        <v>15</v>
      </c>
      <c r="I3" s="14" t="s">
        <v>16</v>
      </c>
      <c r="J3" s="24"/>
      <c r="K3" s="24"/>
      <c r="L3" s="14" t="s">
        <v>15</v>
      </c>
      <c r="M3" s="14" t="s">
        <v>16</v>
      </c>
      <c r="N3" s="14" t="s">
        <v>15</v>
      </c>
      <c r="O3" s="14" t="s">
        <v>16</v>
      </c>
    </row>
    <row r="4" spans="1:15">
      <c r="A4" s="26" t="s">
        <v>19</v>
      </c>
      <c r="B4" s="2">
        <v>21</v>
      </c>
      <c r="C4" s="2">
        <f>(B4/12)/(41/12)</f>
        <v>0.51219512195121997</v>
      </c>
      <c r="D4" s="3">
        <v>1.4341463414634099</v>
      </c>
      <c r="E4" s="4">
        <v>1.71585365853659</v>
      </c>
      <c r="F4" s="10">
        <v>1</v>
      </c>
      <c r="G4" s="11">
        <v>0</v>
      </c>
      <c r="H4" s="5">
        <f>(F4+(G4/12))*D4</f>
        <v>1.4341463414634099</v>
      </c>
      <c r="I4" s="6">
        <f>(F4+(G4/12))*E4</f>
        <v>1.71585365853659</v>
      </c>
      <c r="J4" s="7">
        <v>13</v>
      </c>
      <c r="K4" s="8">
        <v>2.6</v>
      </c>
      <c r="L4" s="9">
        <f>H4+K4</f>
        <v>4.0341463414634102</v>
      </c>
      <c r="M4" s="9">
        <f>I4+K4</f>
        <v>4.3158536585365903</v>
      </c>
      <c r="N4" s="9">
        <v>7.0597560975609799</v>
      </c>
      <c r="O4" s="9">
        <v>7.5527439024390297</v>
      </c>
    </row>
    <row r="5" spans="1:15">
      <c r="A5" s="26" t="s">
        <v>20</v>
      </c>
      <c r="B5" s="2">
        <v>20.440000000000001</v>
      </c>
      <c r="C5" s="2">
        <f>(B5/12)/(41/12)</f>
        <v>0.49853658536585399</v>
      </c>
      <c r="D5" s="3">
        <v>1.3959024390243899</v>
      </c>
      <c r="E5" s="4">
        <v>1.6700975609756099</v>
      </c>
      <c r="F5" s="10">
        <v>12</v>
      </c>
      <c r="G5" s="11">
        <v>0</v>
      </c>
      <c r="H5" s="5">
        <f>(F5+(G5/12))*D5</f>
        <v>16.750829268292701</v>
      </c>
      <c r="I5" s="6">
        <f>(F5+(G5/12))*E5</f>
        <v>20.0411707317073</v>
      </c>
      <c r="J5" s="7">
        <v>13</v>
      </c>
      <c r="K5" s="8">
        <v>2.6</v>
      </c>
      <c r="L5" s="9">
        <f>H5+K5</f>
        <v>19.350829268292699</v>
      </c>
      <c r="M5" s="9">
        <f>I5+K5</f>
        <v>22.641170731707302</v>
      </c>
      <c r="N5" s="9">
        <v>33.863951219512202</v>
      </c>
      <c r="O5" s="9">
        <v>39.622048780487802</v>
      </c>
    </row>
    <row r="6" spans="1:15">
      <c r="A6" s="26" t="s">
        <v>21</v>
      </c>
      <c r="B6" s="2">
        <v>17.25</v>
      </c>
      <c r="C6" s="2">
        <f>(B6/12)/(41/12)</f>
        <v>0.42073170731707299</v>
      </c>
      <c r="D6" s="3">
        <v>1.1780487804877999</v>
      </c>
      <c r="E6" s="4">
        <v>1.4094512195122</v>
      </c>
      <c r="F6" s="10">
        <v>10</v>
      </c>
      <c r="G6" s="11">
        <v>0</v>
      </c>
      <c r="H6" s="5">
        <f>(F6+(G6/12))*D6</f>
        <v>11.780487804878</v>
      </c>
      <c r="I6" s="6">
        <f>(F6+(G6/12))*E6</f>
        <v>14.094512195122</v>
      </c>
      <c r="J6" s="7">
        <v>20</v>
      </c>
      <c r="K6" s="8">
        <v>4</v>
      </c>
      <c r="L6" s="9">
        <f>H6+K6</f>
        <v>15.780487804878</v>
      </c>
      <c r="M6" s="9">
        <f>I6+K6</f>
        <v>18.094512195122</v>
      </c>
      <c r="N6" s="9">
        <v>27.615853658536601</v>
      </c>
      <c r="O6" s="9">
        <v>31.665396341463399</v>
      </c>
    </row>
    <row r="7" spans="1:15">
      <c r="A7" s="26" t="s">
        <v>22</v>
      </c>
      <c r="B7" s="2">
        <v>16.5</v>
      </c>
      <c r="C7" s="2">
        <f>(B7/12)/(41/12)</f>
        <v>0.40243902439024398</v>
      </c>
      <c r="D7" s="3">
        <v>1.1268292682926799</v>
      </c>
      <c r="E7" s="4">
        <v>1.3481707317073199</v>
      </c>
      <c r="F7" s="10">
        <v>20</v>
      </c>
      <c r="G7" s="11">
        <v>6</v>
      </c>
      <c r="H7" s="5">
        <f>(F7+(G7/12))*D7</f>
        <v>23.099999999999898</v>
      </c>
      <c r="I7" s="6">
        <f>(F7+(G7/12))*E7</f>
        <v>27.637500000000099</v>
      </c>
      <c r="J7" s="7">
        <v>20</v>
      </c>
      <c r="K7" s="8">
        <v>4</v>
      </c>
      <c r="L7" s="9">
        <f>H7+K7</f>
        <v>27.099999999999898</v>
      </c>
      <c r="M7" s="9">
        <f>I7+K7</f>
        <v>31.637500000000099</v>
      </c>
      <c r="N7" s="9">
        <v>47.424999999999997</v>
      </c>
      <c r="O7" s="9">
        <v>55.365625000000001</v>
      </c>
    </row>
    <row r="8" spans="1:15">
      <c r="A8" s="26" t="s">
        <v>23</v>
      </c>
      <c r="B8" s="2">
        <v>15.5</v>
      </c>
      <c r="C8" s="2">
        <f>(B8/12)/(41/12)</f>
        <v>0.37804878048780499</v>
      </c>
      <c r="D8" s="3">
        <v>1.0585365853658499</v>
      </c>
      <c r="E8" s="4">
        <v>1.26646341463415</v>
      </c>
      <c r="F8" s="10">
        <v>10</v>
      </c>
      <c r="G8" s="11">
        <v>6</v>
      </c>
      <c r="H8" s="5">
        <f>(F8+(G8/12))*D8</f>
        <v>11.1146341463414</v>
      </c>
      <c r="I8" s="6">
        <f>(F8+(G8/12))*E8</f>
        <v>13.2978658536586</v>
      </c>
      <c r="J8" s="7">
        <v>5</v>
      </c>
      <c r="K8" s="8">
        <v>1</v>
      </c>
      <c r="L8" s="9">
        <f>H8+K8</f>
        <v>12.1146341463414</v>
      </c>
      <c r="M8" s="9">
        <f>I8+K8</f>
        <v>14.2978658536586</v>
      </c>
      <c r="N8" s="9">
        <v>21.200609756097599</v>
      </c>
      <c r="O8" s="9">
        <v>25.021265243902398</v>
      </c>
    </row>
  </sheetData>
  <mergeCells count="12">
    <mergeCell ref="D1:I1"/>
    <mergeCell ref="J1:K1"/>
    <mergeCell ref="L1:M1"/>
    <mergeCell ref="N1:O1"/>
    <mergeCell ref="A2:C2"/>
    <mergeCell ref="D2:E2"/>
    <mergeCell ref="F2:G2"/>
    <mergeCell ref="H2:I2"/>
    <mergeCell ref="L2:M2"/>
    <mergeCell ref="N2:O2"/>
    <mergeCell ref="J2:J3"/>
    <mergeCell ref="K2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2024-11-23T20:50:00Z</dcterms:created>
  <dcterms:modified xsi:type="dcterms:W3CDTF">2025-12-01T11:59:29Z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4CF27A923E864CEB7ECF6F6759D71227_42</vt:lpwstr>
  </property>
  <property fmtid="{D5CDD505-2E9C-101B-9397-08002B2CF9AE}" pid="3" name="KSOProductBuildVer">
    <vt:lpwstr>2052-6.8.2.8850</vt:lpwstr>
  </property>
</Properties>
</file>