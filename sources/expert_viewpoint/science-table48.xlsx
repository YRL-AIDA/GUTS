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<sst xmlns="http://schemas.openxmlformats.org/spreadsheetml/2006/main" count="9" uniqueCount="6">
  <si>
    <t>black</t>
  </si>
  <si>
    <t>purple</t>
  </si>
  <si>
    <t>clone size</t>
  </si>
  <si>
    <t>cumulative probability</t>
  </si>
  <si>
    <t>dashed line</t>
  </si>
  <si>
    <t>1.70879757421078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</si>
</sst>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wrapText="1"/>
    </xf>
    <xf numFmtId="0" fontId="1" fillId="0" borderId="0" xfId="1" quotePrefix="1"/>
    <xf numFmtId="0" fontId="1" fillId="2" borderId="0" xfId="1" applyFill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K4" sqref="K4"/>
    </sheetView>
  </sheetViews>
  <sheetFormatPr defaultColWidth="12.54296875" defaultRowHeight="15.5"/>
  <cols>
    <col min="1" max="1" width="14" style="1"/>
    <col min="2" max="3" width="14.36328125" style="1"/>
    <col min="4" max="4" width="14" style="1"/>
    <col min="5" max="6" width="14.36328125" style="1"/>
    <col min="7" max="7" width="12.54296875" style="1"/>
    <col min="8" max="8" width="14" style="1"/>
    <col min="9" max="9" width="19.7265625" style="1" customWidth="1"/>
    <col min="10" max="16384" width="12.54296875" style="1"/>
  </cols>
  <sheetData>
    <row r="1" spans="1:9">
      <c r="A1" s="4" t="s">
        <v>0</v>
      </c>
      <c r="B1" s="4"/>
      <c r="C1" s="4"/>
      <c r="D1" s="4" t="s">
        <v>1</v>
      </c>
      <c r="E1" s="4"/>
      <c r="F1" s="4"/>
    </row>
    <row r="2" spans="1:9" ht="31">
      <c r="A2" s="5" t="s">
        <v>2</v>
      </c>
      <c r="B2" s="6" t="s">
        <v>3</v>
      </c>
      <c r="C2" s="6" t="s">
        <v>4</v>
      </c>
      <c r="D2" s="5" t="s">
        <v>2</v>
      </c>
      <c r="E2" s="6" t="s">
        <v>3</v>
      </c>
      <c r="F2" s="6" t="s">
        <v>4</v>
      </c>
      <c r="G2" s="2"/>
      <c r="H2" s="2"/>
      <c r="I2" s="2"/>
    </row>
    <row r="3" spans="1:9">
      <c r="A3" s="1">
        <v>1</v>
      </c>
      <c r="B3" s="1">
        <v>0.92391304347826098</v>
      </c>
      <c r="C3" s="1">
        <f t="shared" ref="C3:C54" si="0">ERFC(0.2*(LN(A3)-5.8)/SQRT(2))/2</f>
        <v>0.87697559694865701</v>
      </c>
      <c r="D3" s="1">
        <v>1</v>
      </c>
      <c r="E3" s="1">
        <v>0.96721311475409799</v>
      </c>
      <c r="F3" s="1">
        <f t="shared" ref="F3:F54" si="1">ERFC(0.45*(LN(D3)-5.3)/SQRT(2))/2</f>
        <v>0.99146043932331795</v>
      </c>
    </row>
    <row r="4" spans="1:9">
      <c r="A4" s="1">
        <v>1.19553842655693</v>
      </c>
      <c r="B4" s="1">
        <v>0.92391304347826098</v>
      </c>
      <c r="C4" s="1">
        <f t="shared" si="0"/>
        <v>0.86955301196102497</v>
      </c>
      <c r="D4" s="1">
        <v>1.14876556510599</v>
      </c>
      <c r="E4" s="1">
        <v>0.96721311475409799</v>
      </c>
      <c r="F4" s="1">
        <f t="shared" si="1"/>
        <v>0.98989941720959795</v>
      </c>
    </row>
    <row r="5" spans="1:9">
      <c r="A5" s="1">
        <v>1.4293121293742199</v>
      </c>
      <c r="B5" s="1">
        <v>0.92391304347826098</v>
      </c>
      <c r="C5" s="1">
        <f t="shared" si="0"/>
        <v>0.86182631352870598</v>
      </c>
      <c r="D5" s="1">
        <v>1.3196623235732901</v>
      </c>
      <c r="E5" s="1">
        <v>0.96721311475409799</v>
      </c>
      <c r="F5" s="1">
        <f t="shared" si="1"/>
        <v>0.98809498556648701</v>
      </c>
    </row>
    <row r="6" spans="1:9">
      <c r="A6" s="3" t="s">
        <v>5</v>
      </c>
      <c r="B6" s="1">
        <v>0.92391304347826098</v>
      </c>
      <c r="C6" s="1">
        <f t="shared" si="0"/>
        <v>0.85379329624864997</v>
      </c>
      <c r="D6" s="1">
        <v>1.51598263488876</v>
      </c>
      <c r="E6" s="1">
        <v>0.96721311475409799</v>
      </c>
      <c r="F6" s="1">
        <f t="shared" si="1"/>
        <v>0.98601729530397497</v>
      </c>
    </row>
    <row r="7" spans="1:9">
      <c r="A7" s="1">
        <v>2.04293316317625</v>
      </c>
      <c r="B7" s="1">
        <v>0.88043478260869601</v>
      </c>
      <c r="C7" s="1">
        <f t="shared" si="0"/>
        <v>0.84545246383366002</v>
      </c>
      <c r="D7" s="1">
        <v>1.74150864825887</v>
      </c>
      <c r="E7" s="1">
        <v>0.96721311475409799</v>
      </c>
      <c r="F7" s="1">
        <f t="shared" si="1"/>
        <v>0.98363426170671098</v>
      </c>
    </row>
    <row r="8" spans="1:9">
      <c r="A8" s="1">
        <v>2.4424050994647102</v>
      </c>
      <c r="B8" s="1">
        <v>0.88043478260869601</v>
      </c>
      <c r="C8" s="1">
        <f t="shared" si="0"/>
        <v>0.83680306257876402</v>
      </c>
      <c r="D8" s="1">
        <v>2.0005851664540701</v>
      </c>
      <c r="E8" s="1">
        <v>0.95081967213114704</v>
      </c>
      <c r="F8" s="1">
        <f t="shared" si="1"/>
        <v>0.98091163238614998</v>
      </c>
    </row>
    <row r="9" spans="1:9">
      <c r="A9" s="1">
        <v>2.9199891496286501</v>
      </c>
      <c r="B9" s="1">
        <v>0.88043478260869601</v>
      </c>
      <c r="C9" s="1">
        <f t="shared" si="0"/>
        <v>0.82784511225164403</v>
      </c>
      <c r="D9" s="1">
        <v>2.2982033492842802</v>
      </c>
      <c r="E9" s="1">
        <v>0.95081967213114704</v>
      </c>
      <c r="F9" s="1">
        <f t="shared" si="1"/>
        <v>0.97781310128172505</v>
      </c>
    </row>
    <row r="10" spans="1:9">
      <c r="A10" s="1">
        <v>3.4909592335103401</v>
      </c>
      <c r="B10" s="1">
        <v>0.85869565217391297</v>
      </c>
      <c r="C10" s="1">
        <f t="shared" si="0"/>
        <v>0.81857943410968603</v>
      </c>
      <c r="D10" s="1">
        <v>2.6400968692690499</v>
      </c>
      <c r="E10" s="1">
        <v>0.95081967213114704</v>
      </c>
      <c r="F10" s="1">
        <f t="shared" si="1"/>
        <v>0.97430047299656397</v>
      </c>
    </row>
    <row r="11" spans="1:9">
      <c r="A11" s="1">
        <v>4.1735759092053399</v>
      </c>
      <c r="B11" s="1">
        <v>0.83695652173913004</v>
      </c>
      <c r="C11" s="1">
        <f t="shared" si="0"/>
        <v>0.80900767575757504</v>
      </c>
      <c r="D11" s="1">
        <v>3.0328523719604199</v>
      </c>
      <c r="E11" s="1">
        <v>0.95081967213114704</v>
      </c>
      <c r="F11" s="1">
        <f t="shared" si="1"/>
        <v>0.97033388111033103</v>
      </c>
    </row>
    <row r="12" spans="1:9">
      <c r="A12" s="1">
        <v>4.9896703756072496</v>
      </c>
      <c r="B12" s="1">
        <v>0.83695652173913004</v>
      </c>
      <c r="C12" s="1">
        <f t="shared" si="0"/>
        <v>0.79913233257375604</v>
      </c>
      <c r="D12" s="1">
        <v>3.4840363689581699</v>
      </c>
      <c r="E12" s="1">
        <v>0.95081967213114704</v>
      </c>
      <c r="F12" s="1">
        <f t="shared" si="1"/>
        <v>0.96587206327324504</v>
      </c>
    </row>
    <row r="13" spans="1:9">
      <c r="A13" s="1">
        <v>5.9653426698912098</v>
      </c>
      <c r="B13" s="1">
        <v>0.82608695652173902</v>
      </c>
      <c r="C13" s="1">
        <f t="shared" si="0"/>
        <v>0.78895676545141302</v>
      </c>
      <c r="D13" s="1">
        <v>4.00234100823607</v>
      </c>
      <c r="E13" s="1">
        <v>0.91803278688524603</v>
      </c>
      <c r="F13" s="1">
        <f t="shared" si="1"/>
        <v>0.960872694852141</v>
      </c>
    </row>
    <row r="14" spans="1:9">
      <c r="A14" s="1">
        <v>7.1317963894346397</v>
      </c>
      <c r="B14" s="1">
        <v>0.78260869565217395</v>
      </c>
      <c r="C14" s="1">
        <f t="shared" si="0"/>
        <v>0.77848521461986198</v>
      </c>
      <c r="D14" s="1">
        <v>4.5977515300732001</v>
      </c>
      <c r="E14" s="1">
        <v>0.91803278688524603</v>
      </c>
      <c r="F14" s="1">
        <f t="shared" si="1"/>
        <v>0.955292781679565</v>
      </c>
    </row>
    <row r="15" spans="1:9">
      <c r="A15" s="1">
        <v>8.5263366339490698</v>
      </c>
      <c r="B15" s="1">
        <v>0.77173913043478304</v>
      </c>
      <c r="C15" s="1">
        <f t="shared" si="0"/>
        <v>0.76772280933527404</v>
      </c>
      <c r="D15" s="1">
        <v>5.2817386346614903</v>
      </c>
      <c r="E15" s="1">
        <v>0.91803278688524603</v>
      </c>
      <c r="F15" s="1">
        <f t="shared" si="1"/>
        <v>0.94908911106663196</v>
      </c>
    </row>
    <row r="16" spans="1:9">
      <c r="A16" s="1">
        <v>10.1935630836462</v>
      </c>
      <c r="B16" s="1">
        <v>0.76086956521739102</v>
      </c>
      <c r="C16" s="1">
        <f t="shared" si="0"/>
        <v>0.75667557325526302</v>
      </c>
      <c r="D16" s="1">
        <v>6.0674794673890604</v>
      </c>
      <c r="E16" s="1">
        <v>0.91803278688524603</v>
      </c>
      <c r="F16" s="1">
        <f t="shared" si="1"/>
        <v>0.94221875870405702</v>
      </c>
    </row>
    <row r="17" spans="1:6">
      <c r="A17" s="1">
        <v>12.1867963700311</v>
      </c>
      <c r="B17" s="1">
        <v>0.76086956521739102</v>
      </c>
      <c r="C17" s="1">
        <f t="shared" si="0"/>
        <v>0.74535042533998097</v>
      </c>
      <c r="D17" s="1">
        <v>6.9701114791242196</v>
      </c>
      <c r="E17" s="1">
        <v>0.91803278688524603</v>
      </c>
      <c r="F17" s="1">
        <f t="shared" si="1"/>
        <v>0.93463964742636696</v>
      </c>
    </row>
    <row r="18" spans="1:6">
      <c r="A18" s="1">
        <v>14.5697833569967</v>
      </c>
      <c r="B18" s="1">
        <v>0.72826086956521696</v>
      </c>
      <c r="C18" s="1">
        <f t="shared" si="0"/>
        <v>0.73375517615262398</v>
      </c>
      <c r="D18" s="1">
        <v>8.0070240521679104</v>
      </c>
      <c r="E18" s="1">
        <v>0.90163934426229497</v>
      </c>
      <c r="F18" s="1">
        <f t="shared" si="1"/>
        <v>0.92631115209259396</v>
      </c>
    </row>
    <row r="19" spans="1:6">
      <c r="A19" s="1">
        <v>17.418735869899098</v>
      </c>
      <c r="B19" s="1">
        <v>0.71739130434782605</v>
      </c>
      <c r="C19" s="1">
        <f t="shared" si="0"/>
        <v>0.72189851946455896</v>
      </c>
      <c r="D19" s="1">
        <v>9.1981935101059502</v>
      </c>
      <c r="E19" s="1">
        <v>0.90163934426229497</v>
      </c>
      <c r="F19" s="1">
        <f t="shared" si="1"/>
        <v>0.91719474309106597</v>
      </c>
    </row>
    <row r="20" spans="1:6">
      <c r="A20" s="1">
        <v>20.824768074509901</v>
      </c>
      <c r="B20" s="1">
        <v>0.71739130434782605</v>
      </c>
      <c r="C20" s="1">
        <f t="shared" si="0"/>
        <v>0.70979001910421302</v>
      </c>
      <c r="D20" s="1">
        <v>10.566567965591201</v>
      </c>
      <c r="E20" s="1">
        <v>0.88524590163934402</v>
      </c>
      <c r="F20" s="1">
        <f t="shared" si="1"/>
        <v>0.90725465926049897</v>
      </c>
    </row>
    <row r="21" spans="1:6">
      <c r="A21" s="1">
        <v>24.896810457212599</v>
      </c>
      <c r="B21" s="1">
        <v>0.70652173913043503</v>
      </c>
      <c r="C21" s="1">
        <f t="shared" si="0"/>
        <v>0.69744009102420601</v>
      </c>
      <c r="D21" s="1">
        <v>12.138509420223199</v>
      </c>
      <c r="E21" s="1">
        <v>0.88524590163934402</v>
      </c>
      <c r="F21" s="1">
        <f t="shared" si="1"/>
        <v>0.89645859939346595</v>
      </c>
    </row>
    <row r="22" spans="1:6">
      <c r="A22" s="1">
        <v>29.765093600301999</v>
      </c>
      <c r="B22" s="1">
        <v>0.69565217391304301</v>
      </c>
      <c r="C22" s="1">
        <f t="shared" si="0"/>
        <v>0.68485998059761399</v>
      </c>
      <c r="D22" s="1">
        <v>13.9443016336672</v>
      </c>
      <c r="E22" s="1">
        <v>0.88524590163934402</v>
      </c>
      <c r="F22" s="1">
        <f t="shared" si="1"/>
        <v>0.88477842001305695</v>
      </c>
    </row>
    <row r="23" spans="1:6">
      <c r="A23" s="1">
        <v>35.585313169224698</v>
      </c>
      <c r="B23" s="1">
        <v>0.69565217391304301</v>
      </c>
      <c r="C23" s="1">
        <f t="shared" si="0"/>
        <v>0.67206173519129697</v>
      </c>
      <c r="D23" s="1">
        <v>16.0187335462081</v>
      </c>
      <c r="E23" s="1">
        <v>0.88524590163934402</v>
      </c>
      <c r="F23" s="1">
        <f t="shared" si="1"/>
        <v>0.87219082585123997</v>
      </c>
    </row>
    <row r="24" spans="1:6">
      <c r="A24" s="1">
        <v>42.543609314870501</v>
      </c>
      <c r="B24" s="1">
        <v>0.66304347826086896</v>
      </c>
      <c r="C24" s="1">
        <f t="shared" si="0"/>
        <v>0.65905817210168804</v>
      </c>
      <c r="D24" s="1">
        <v>18.4017694944921</v>
      </c>
      <c r="E24" s="1">
        <v>0.86885245901639296</v>
      </c>
      <c r="F24" s="1">
        <f t="shared" si="1"/>
        <v>0.85867803846809299</v>
      </c>
    </row>
    <row r="25" spans="1:6">
      <c r="A25" s="1">
        <v>50.862519740352901</v>
      </c>
      <c r="B25" s="1">
        <v>0.64130434782608703</v>
      </c>
      <c r="C25" s="1">
        <f t="shared" si="0"/>
        <v>0.64586284197576604</v>
      </c>
      <c r="D25" s="1">
        <v>21.139319132290399</v>
      </c>
      <c r="E25" s="1">
        <v>0.83606557377049195</v>
      </c>
      <c r="F25" s="1">
        <f t="shared" si="1"/>
        <v>0.84422842779009599</v>
      </c>
    </row>
    <row r="26" spans="1:6">
      <c r="A26" s="1">
        <v>60.808096821102197</v>
      </c>
      <c r="B26" s="1">
        <v>0.63043478260869501</v>
      </c>
      <c r="C26" s="1">
        <f t="shared" si="0"/>
        <v>0.63248998787689403</v>
      </c>
      <c r="D26" s="1">
        <v>24.2841218889616</v>
      </c>
      <c r="E26" s="1">
        <v>0.83606557377049195</v>
      </c>
      <c r="F26" s="1">
        <f t="shared" si="1"/>
        <v>0.82883709106118297</v>
      </c>
    </row>
    <row r="27" spans="1:6">
      <c r="A27" s="1">
        <v>72.698416395421901</v>
      </c>
      <c r="B27" s="1">
        <v>0.60869565217391297</v>
      </c>
      <c r="C27" s="1">
        <f t="shared" si="0"/>
        <v>0.61895450019131604</v>
      </c>
      <c r="D27" s="1">
        <v>27.896763004875801</v>
      </c>
      <c r="E27" s="1">
        <v>0.81967213114754101</v>
      </c>
      <c r="F27" s="1">
        <f t="shared" si="1"/>
        <v>0.81250636383053698</v>
      </c>
    </row>
    <row r="28" spans="1:6">
      <c r="A28" s="1">
        <v>86.913750350563106</v>
      </c>
      <c r="B28" s="1">
        <v>0.59782608695652095</v>
      </c>
      <c r="C28" s="1">
        <f t="shared" si="0"/>
        <v>0.60527186760601404</v>
      </c>
      <c r="D28" s="1">
        <v>32.046840717924098</v>
      </c>
      <c r="E28" s="1">
        <v>0.80327868852458995</v>
      </c>
      <c r="F28" s="1">
        <f t="shared" si="1"/>
        <v>0.79524624817246903</v>
      </c>
    </row>
    <row r="29" spans="1:6">
      <c r="A29" s="1">
        <v>103.908728340274</v>
      </c>
      <c r="B29" s="1">
        <v>0.58695652173913004</v>
      </c>
      <c r="C29" s="1">
        <f t="shared" si="0"/>
        <v>0.59145812442196</v>
      </c>
      <c r="D29" s="1">
        <v>36.814307087187899</v>
      </c>
      <c r="E29" s="1">
        <v>0.786885245901639</v>
      </c>
      <c r="F29" s="1">
        <f t="shared" si="1"/>
        <v>0.77707474435821799</v>
      </c>
    </row>
    <row r="30" spans="1:6">
      <c r="A30" s="1">
        <v>124.22687758546201</v>
      </c>
      <c r="B30" s="1">
        <v>0.57608695652173902</v>
      </c>
      <c r="C30" s="1">
        <f t="shared" si="0"/>
        <v>0.57752979449820097</v>
      </c>
      <c r="D30" s="1">
        <v>42.291008284999002</v>
      </c>
      <c r="E30" s="1">
        <v>0.75409836065573699</v>
      </c>
      <c r="F30" s="1">
        <f t="shared" si="1"/>
        <v>0.75801807367400198</v>
      </c>
    </row>
    <row r="31" spans="1:6">
      <c r="A31" s="1">
        <v>148.518005764604</v>
      </c>
      <c r="B31" s="1">
        <v>0.57608695652173902</v>
      </c>
      <c r="C31" s="1">
        <f t="shared" si="0"/>
        <v>0.56350383215129096</v>
      </c>
      <c r="D31" s="1">
        <v>48.582454031419203</v>
      </c>
      <c r="E31" s="1">
        <v>0.73770491803278704</v>
      </c>
      <c r="F31" s="1">
        <f t="shared" si="1"/>
        <v>0.73811078198431102</v>
      </c>
    </row>
    <row r="32" spans="1:6">
      <c r="A32" s="1">
        <v>177.558982927187</v>
      </c>
      <c r="B32" s="1">
        <v>0.52173913043478204</v>
      </c>
      <c r="C32" s="1">
        <f t="shared" si="0"/>
        <v>0.54939756036111598</v>
      </c>
      <c r="D32" s="1">
        <v>55.809850259639198</v>
      </c>
      <c r="E32" s="1">
        <v>0.70491803278688503</v>
      </c>
      <c r="F32" s="1">
        <f t="shared" si="1"/>
        <v>0.71739571593816398</v>
      </c>
    </row>
    <row r="33" spans="1:6">
      <c r="A33" s="1">
        <v>212.278587069818</v>
      </c>
      <c r="B33" s="1">
        <v>0.47826086956521702</v>
      </c>
      <c r="C33" s="1">
        <f t="shared" si="0"/>
        <v>0.53522860665768501</v>
      </c>
      <c r="D33" s="1">
        <v>64.112434171995304</v>
      </c>
      <c r="E33" s="1">
        <v>0.65573770491803196</v>
      </c>
      <c r="F33" s="1">
        <f t="shared" si="1"/>
        <v>0.69592386635639802</v>
      </c>
    </row>
    <row r="34" spans="1:6">
      <c r="A34" s="1">
        <v>253.78720797717801</v>
      </c>
      <c r="B34" s="1">
        <v>0.45652173913043398</v>
      </c>
      <c r="C34" s="1">
        <f t="shared" si="0"/>
        <v>0.52101483708394802</v>
      </c>
      <c r="D34" s="1">
        <v>73.650156671913095</v>
      </c>
      <c r="E34" s="1">
        <v>0.62295081967213095</v>
      </c>
      <c r="F34" s="1">
        <f t="shared" si="1"/>
        <v>0.673754076252984</v>
      </c>
    </row>
    <row r="35" spans="1:6">
      <c r="A35" s="1">
        <v>303.41235930531099</v>
      </c>
      <c r="B35" s="1">
        <v>0.44565217391304301</v>
      </c>
      <c r="C35" s="1">
        <f t="shared" si="0"/>
        <v>0.50677428864662999</v>
      </c>
      <c r="D35" s="1">
        <v>84.606763849355303</v>
      </c>
      <c r="E35" s="1">
        <v>0.60655737704918</v>
      </c>
      <c r="F35" s="1">
        <f t="shared" si="1"/>
        <v>0.650952614052701</v>
      </c>
    </row>
    <row r="36" spans="1:6">
      <c r="A36" s="1">
        <v>362.74113464179698</v>
      </c>
      <c r="B36" s="1">
        <v>0.41304347826086901</v>
      </c>
      <c r="C36" s="1">
        <f t="shared" si="0"/>
        <v>0.492525100680551</v>
      </c>
      <c r="D36" s="1">
        <v>97.193336885194</v>
      </c>
      <c r="E36" s="1">
        <v>0.55737704918032704</v>
      </c>
      <c r="F36" s="1">
        <f t="shared" si="1"/>
        <v>0.627592615780871</v>
      </c>
    </row>
    <row r="37" spans="1:6">
      <c r="A37" s="1">
        <v>433.67096535712898</v>
      </c>
      <c r="B37" s="1">
        <v>0.36956521739130399</v>
      </c>
      <c r="C37" s="1">
        <f t="shared" si="0"/>
        <v>0.47828544556151797</v>
      </c>
      <c r="D37" s="1">
        <v>111.652358571457</v>
      </c>
      <c r="E37" s="1">
        <v>0.50819672131147497</v>
      </c>
      <c r="F37" s="1">
        <f t="shared" si="1"/>
        <v>0.60375340322077597</v>
      </c>
    </row>
    <row r="38" spans="1:6">
      <c r="A38" s="1">
        <v>518.47030356648497</v>
      </c>
      <c r="B38" s="1">
        <v>0.34782608695652101</v>
      </c>
      <c r="C38" s="1">
        <f t="shared" si="0"/>
        <v>0.46407345920870902</v>
      </c>
      <c r="D38" s="1">
        <v>128.26238478975699</v>
      </c>
      <c r="E38" s="1">
        <v>0.42622950819672101</v>
      </c>
      <c r="F38" s="1">
        <f t="shared" si="1"/>
        <v>0.57951968815959998</v>
      </c>
    </row>
    <row r="39" spans="1:6">
      <c r="A39" s="1">
        <v>619.85117094236898</v>
      </c>
      <c r="B39" s="1">
        <v>0.29347826086956502</v>
      </c>
      <c r="C39" s="1">
        <f t="shared" si="0"/>
        <v>0.44990717181932299</v>
      </c>
      <c r="D39" s="1">
        <v>147.34341094484799</v>
      </c>
      <c r="E39" s="1">
        <v>0.393442622950819</v>
      </c>
      <c r="F39" s="1">
        <f t="shared" si="1"/>
        <v>0.55498067577346999</v>
      </c>
    </row>
    <row r="40" spans="1:6">
      <c r="A40" s="1">
        <v>741.05589360790896</v>
      </c>
      <c r="B40" s="1">
        <v>0.27173913043478198</v>
      </c>
      <c r="C40" s="1">
        <f t="shared" si="0"/>
        <v>0.43580443927621698</v>
      </c>
      <c r="D40" s="1">
        <v>169.26303673870299</v>
      </c>
      <c r="E40" s="1">
        <v>0.34426229508196698</v>
      </c>
      <c r="F40" s="1">
        <f t="shared" si="1"/>
        <v>0.53022908283970704</v>
      </c>
    </row>
    <row r="41" spans="1:6">
      <c r="A41" s="1">
        <v>885.96079703473902</v>
      </c>
      <c r="B41" s="1">
        <v>0.22826086956521699</v>
      </c>
      <c r="C41" s="1">
        <f t="shared" si="0"/>
        <v>0.42178287566324701</v>
      </c>
      <c r="D41" s="1">
        <v>194.44354805069199</v>
      </c>
      <c r="E41" s="1">
        <v>0.26229508196721302</v>
      </c>
      <c r="F41" s="1">
        <f t="shared" si="1"/>
        <v>0.505360088721306</v>
      </c>
    </row>
    <row r="42" spans="1:6">
      <c r="A42" s="1">
        <v>1059.20017727803</v>
      </c>
      <c r="B42" s="1">
        <v>0.16304347826086901</v>
      </c>
      <c r="C42" s="1">
        <f t="shared" si="0"/>
        <v>0.40785978731317302</v>
      </c>
      <c r="D42" s="1">
        <v>223.37005235766799</v>
      </c>
      <c r="E42" s="1">
        <v>0.21311475409836</v>
      </c>
      <c r="F42" s="1">
        <f t="shared" si="1"/>
        <v>0.48047023886804102</v>
      </c>
    </row>
    <row r="43" spans="1:6">
      <c r="A43" s="1">
        <v>1266.3145133518001</v>
      </c>
      <c r="B43" s="1">
        <v>0.141304347826087</v>
      </c>
      <c r="C43" s="1">
        <f t="shared" si="0"/>
        <v>0.39405210879942199</v>
      </c>
      <c r="D43" s="1">
        <v>256.59982442441202</v>
      </c>
      <c r="E43" s="1">
        <v>0.16393442622950799</v>
      </c>
      <c r="F43" s="1">
        <f t="shared" si="1"/>
        <v>0.45565632185876698</v>
      </c>
    </row>
    <row r="44" spans="1:6">
      <c r="A44" s="1">
        <v>1513.92766081881</v>
      </c>
      <c r="B44" s="1">
        <v>0.141304347826087</v>
      </c>
      <c r="C44" s="1">
        <f t="shared" si="0"/>
        <v>0.38037634126577602</v>
      </c>
      <c r="D44" s="1">
        <v>294.77304231100902</v>
      </c>
      <c r="E44" s="1">
        <v>0.13114754098360601</v>
      </c>
      <c r="F44" s="1">
        <f t="shared" si="1"/>
        <v>0.43101424172597802</v>
      </c>
    </row>
    <row r="45" spans="1:6">
      <c r="A45" s="1">
        <v>1809.95869353633</v>
      </c>
      <c r="B45" s="1">
        <v>8.6956521739130099E-2</v>
      </c>
      <c r="C45" s="1">
        <f t="shared" si="0"/>
        <v>0.36684849346752801</v>
      </c>
      <c r="D45" s="1">
        <v>338.62512052841902</v>
      </c>
      <c r="E45" s="1">
        <v>6.5573770491802796E-2</v>
      </c>
      <c r="F45" s="1">
        <f t="shared" si="1"/>
        <v>0.40663790743169298</v>
      </c>
    </row>
    <row r="46" spans="1:6">
      <c r="A46" s="1">
        <v>2163.8751686034602</v>
      </c>
      <c r="B46" s="1">
        <v>6.5217391304347505E-2</v>
      </c>
      <c r="C46" s="1">
        <f t="shared" si="0"/>
        <v>0.35348402587388</v>
      </c>
      <c r="D46" s="1">
        <v>389.000877942915</v>
      </c>
      <c r="E46" s="1">
        <v>6.5573770491802796E-2</v>
      </c>
      <c r="F46" s="1">
        <f t="shared" si="1"/>
        <v>0.38261816089873701</v>
      </c>
    </row>
    <row r="47" spans="1:6">
      <c r="A47" s="1">
        <v>2586.9959143377901</v>
      </c>
      <c r="B47" s="1">
        <v>4.3478260869564897E-2</v>
      </c>
      <c r="C47" s="1">
        <f t="shared" si="0"/>
        <v>0.34029779815473998</v>
      </c>
      <c r="D47" s="1">
        <v>446.87081337682099</v>
      </c>
      <c r="E47" s="1">
        <v>6.5573770491802796E-2</v>
      </c>
      <c r="F47" s="1">
        <f t="shared" si="1"/>
        <v>0.35904176395973197</v>
      </c>
    </row>
    <row r="48" spans="1:6">
      <c r="A48" s="1">
        <v>3092.8530249365999</v>
      </c>
      <c r="B48" s="1">
        <v>2.1739130434782299E-2</v>
      </c>
      <c r="C48" s="1">
        <f t="shared" si="0"/>
        <v>0.32730402034585498</v>
      </c>
      <c r="D48" s="1">
        <v>513.34980245819895</v>
      </c>
      <c r="E48" s="1">
        <v>4.9180327868852E-2</v>
      </c>
      <c r="F48" s="1">
        <f t="shared" si="1"/>
        <v>0.33599046300364899</v>
      </c>
    </row>
    <row r="49" spans="1:6">
      <c r="A49" s="1">
        <v>3697.6246390045399</v>
      </c>
      <c r="B49" s="1">
        <v>2.1739130434782299E-2</v>
      </c>
      <c r="C49" s="1">
        <f t="shared" si="0"/>
        <v>0.31451620795472701</v>
      </c>
      <c r="D49" s="1">
        <v>589.71857591794196</v>
      </c>
      <c r="E49" s="1">
        <v>3.27868852459011E-2</v>
      </c>
      <c r="F49" s="1">
        <f t="shared" si="1"/>
        <v>0.313540148031274</v>
      </c>
    </row>
    <row r="50" spans="1:6">
      <c r="A50" s="1">
        <v>4420.6523429136196</v>
      </c>
      <c r="B50" s="1">
        <v>2.1739130434782299E-2</v>
      </c>
      <c r="C50" s="1">
        <f t="shared" si="0"/>
        <v>0.30194714123632199</v>
      </c>
      <c r="D50" s="1">
        <v>677.448393117877</v>
      </c>
      <c r="E50" s="1">
        <v>3.27868852459011E-2</v>
      </c>
      <c r="F50" s="1">
        <f t="shared" si="1"/>
        <v>0.29176012034705501</v>
      </c>
    </row>
    <row r="51" spans="1:6">
      <c r="A51" s="1">
        <v>5285.0597464021503</v>
      </c>
      <c r="B51" s="1">
        <v>2.1739130434782299E-2</v>
      </c>
      <c r="C51" s="1">
        <f t="shared" si="0"/>
        <v>0.28960882883262101</v>
      </c>
      <c r="D51" s="1">
        <v>778.22938615020598</v>
      </c>
      <c r="E51" s="1">
        <v>3.27868852459011E-2</v>
      </c>
      <c r="F51" s="1">
        <f t="shared" si="1"/>
        <v>0.27071248029942002</v>
      </c>
    </row>
    <row r="52" spans="1:6">
      <c r="A52" s="1">
        <v>6318.49201347298</v>
      </c>
      <c r="B52" s="1">
        <v>1.0869565217391E-2</v>
      </c>
      <c r="C52" s="1">
        <f t="shared" si="0"/>
        <v>0.27751247593388501</v>
      </c>
      <c r="D52" s="1">
        <v>894.00312056293296</v>
      </c>
      <c r="E52" s="1">
        <v>1.63934426229503E-2</v>
      </c>
      <c r="F52" s="1">
        <f t="shared" si="1"/>
        <v>0.250451643428384</v>
      </c>
    </row>
    <row r="53" spans="1:6">
      <c r="A53" s="1">
        <v>7554</v>
      </c>
      <c r="B53" s="1">
        <v>0</v>
      </c>
      <c r="C53" s="1">
        <f t="shared" si="0"/>
        <v>0.265668457082542</v>
      </c>
      <c r="D53" s="1">
        <v>1027</v>
      </c>
      <c r="E53" s="1">
        <v>1.63934426229503E-2</v>
      </c>
      <c r="F53" s="1">
        <f t="shared" si="1"/>
        <v>0.23102399018766701</v>
      </c>
    </row>
    <row r="54" spans="1:6">
      <c r="A54" s="1">
        <v>9031.0972742110298</v>
      </c>
      <c r="B54" s="1">
        <v>0</v>
      </c>
      <c r="C54" s="1">
        <f t="shared" si="0"/>
        <v>0.25408629370323099</v>
      </c>
      <c r="D54" s="1">
        <v>1179.7822353638601</v>
      </c>
      <c r="E54" s="1">
        <v>0</v>
      </c>
      <c r="F54" s="1">
        <f t="shared" si="1"/>
        <v>0.21246765118008501</v>
      </c>
    </row>
  </sheetData>
  <mergeCells count="2">
    <mergeCell ref="A1:C1"/>
    <mergeCell ref="D1:F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2024-11-30T08:52:00Z</dcterms:created>
  <dcterms:modified xsi:type="dcterms:W3CDTF">2025-11-29T12:39:40Z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E183A1800AD44A1A800545A956F5E32A_11</vt:lpwstr>
  </property>
  <property fmtid="{D5CDD505-2E9C-101B-9397-08002B2CF9AE}" pid="3" name="KSOProductBuildVer">
    <vt:lpwstr>2052-12.1.0.19302</vt:lpwstr>
  </property>
</Properties>
</file>