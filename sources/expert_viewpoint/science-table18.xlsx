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7" i="1" l="1"/>
  <c r="J87" i="1"/>
  <c r="I87" i="1"/>
  <c r="H87" i="1"/>
  <c r="E87" i="1"/>
  <c r="D87" i="1"/>
  <c r="C87" i="1"/>
  <c r="B87" i="1"/>
  <c r="K80" i="1"/>
  <c r="J80" i="1"/>
  <c r="I80" i="1"/>
  <c r="H80" i="1"/>
  <c r="E80" i="1"/>
  <c r="D80" i="1"/>
  <c r="C80" i="1"/>
  <c r="B80" i="1"/>
  <c r="K73" i="1"/>
  <c r="J73" i="1"/>
  <c r="I73" i="1"/>
  <c r="H73" i="1"/>
  <c r="E73" i="1"/>
  <c r="D73" i="1"/>
  <c r="C73" i="1"/>
  <c r="B73" i="1"/>
  <c r="K65" i="1"/>
  <c r="J65" i="1"/>
  <c r="I65" i="1"/>
  <c r="H65" i="1"/>
  <c r="E65" i="1"/>
  <c r="D65" i="1"/>
  <c r="C65" i="1"/>
  <c r="B65" i="1"/>
  <c r="K58" i="1"/>
  <c r="J58" i="1"/>
  <c r="I58" i="1"/>
  <c r="H58" i="1"/>
  <c r="E58" i="1"/>
  <c r="D58" i="1"/>
  <c r="C58" i="1"/>
  <c r="B58" i="1"/>
  <c r="K51" i="1"/>
  <c r="J51" i="1"/>
  <c r="I51" i="1"/>
  <c r="H51" i="1"/>
  <c r="E51" i="1"/>
  <c r="D51" i="1"/>
  <c r="C51" i="1"/>
  <c r="B51" i="1"/>
  <c r="K43" i="1"/>
  <c r="J43" i="1"/>
  <c r="I43" i="1"/>
  <c r="H43" i="1"/>
  <c r="E43" i="1"/>
  <c r="D43" i="1"/>
  <c r="C43" i="1"/>
  <c r="B43" i="1"/>
  <c r="K36" i="1"/>
  <c r="J36" i="1"/>
  <c r="I36" i="1"/>
  <c r="H36" i="1"/>
  <c r="E36" i="1"/>
  <c r="D36" i="1"/>
  <c r="C36" i="1"/>
  <c r="B36" i="1"/>
  <c r="K29" i="1"/>
  <c r="J29" i="1"/>
  <c r="I29" i="1"/>
  <c r="H29" i="1"/>
  <c r="E29" i="1"/>
  <c r="D29" i="1"/>
  <c r="C29" i="1"/>
  <c r="B29" i="1"/>
  <c r="K21" i="1"/>
  <c r="J21" i="1"/>
  <c r="I21" i="1"/>
  <c r="H21" i="1"/>
  <c r="E21" i="1"/>
  <c r="D21" i="1"/>
  <c r="C21" i="1"/>
  <c r="B21" i="1"/>
  <c r="K14" i="1"/>
  <c r="J14" i="1"/>
  <c r="I14" i="1"/>
  <c r="H14" i="1"/>
  <c r="E14" i="1"/>
  <c r="D14" i="1"/>
  <c r="C14" i="1"/>
  <c r="B14" i="1"/>
  <c r="K7" i="1"/>
  <c r="J7" i="1"/>
  <c r="I7" i="1"/>
  <c r="H7" i="1"/>
  <c r="E7" i="1"/>
  <c r="D7" i="1"/>
  <c r="C7" i="1"/>
  <c r="B7" i="1"/>
</calcChain>
</file>

<file path=xl/sharedStrings.xml><?xml version="1.0" encoding="utf-8"?>
<sst xmlns="http://schemas.openxmlformats.org/spreadsheetml/2006/main" count="220" uniqueCount="18">
  <si>
    <t>Time = 15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</si>
  <si>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</si>
  <si>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</si>
  <si>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</si>
  <si>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</si>
  <si>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</si>
  <si>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</si>
  <si>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</si>
  <si>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</si>
  <si>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</si>
  <si>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% Phagocytosis</t>
  </si>
  <si>
    <t>ROI 3</t>
  </si>
  <si>
    <t>ROI 4</t>
  </si>
  <si>
    <t>ROI 5</t>
  </si>
  <si>
    <t>ROI 6</t>
  </si>
  <si>
    <t>Time = 30 min</t>
  </si>
  <si>
    <t>Time = 75 min</t>
  </si>
  <si>
    <t>Time = 90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</si>
</sst>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rgb="FF44546A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>
      <alignment vertical="center"/>
    </xf>
    <xf numFmtId="0" fontId="2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2" fontId="4" fillId="0" borderId="13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6" fillId="4" borderId="11" xfId="2" applyFont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tabSelected="1" topLeftCell="A82" zoomScale="70" zoomScaleNormal="70" workbookViewId="0">
      <selection activeCell="G18" sqref="G18:G21"/>
    </sheetView>
  </sheetViews>
  <sheetFormatPr defaultColWidth="13" defaultRowHeight="15.5"/>
  <cols>
    <col min="1" max="1" width="40.81640625" style="1" customWidth="1"/>
    <col min="2" max="2" width="7" style="1" customWidth="1"/>
    <col min="3" max="3" width="8.08984375" style="1" customWidth="1"/>
    <col min="4" max="4" width="9.1796875" style="1" customWidth="1"/>
    <col min="5" max="5" width="7" style="1" customWidth="1"/>
    <col min="6" max="6" width="12.81640625" style="1"/>
    <col min="7" max="7" width="40.81640625" style="1" customWidth="1"/>
    <col min="8" max="8" width="9.1796875" style="1" customWidth="1"/>
    <col min="9" max="9" width="8.08984375" style="1" customWidth="1"/>
    <col min="10" max="11" width="7" style="1" customWidth="1"/>
    <col min="12" max="16336" width="12.81640625" style="1"/>
    <col min="16337" max="16384" width="13" style="1"/>
  </cols>
  <sheetData>
    <row r="1" spans="1:11" ht="19.5">
      <c r="A1" s="17" t="s">
        <v>0</v>
      </c>
      <c r="B1" s="2"/>
      <c r="C1" s="2"/>
      <c r="D1" s="2"/>
      <c r="E1" s="2"/>
      <c r="F1" s="2"/>
      <c r="G1" s="2"/>
      <c r="H1" s="2"/>
      <c r="I1" s="2"/>
      <c r="J1" s="2"/>
      <c r="K1" s="11"/>
    </row>
    <row r="2" spans="1:11" ht="19.5">
      <c r="A2" s="18" t="s">
        <v>1</v>
      </c>
      <c r="B2" s="19"/>
      <c r="C2" s="19"/>
      <c r="D2" s="19"/>
      <c r="E2" s="19"/>
      <c r="F2" s="3"/>
      <c r="G2" s="19" t="s">
        <v>2</v>
      </c>
      <c r="H2" s="19"/>
      <c r="I2" s="19"/>
      <c r="J2" s="19"/>
      <c r="K2" s="21"/>
    </row>
    <row r="3" spans="1:11" ht="17">
      <c r="A3" s="4"/>
      <c r="B3" s="26" t="s">
        <v>3</v>
      </c>
      <c r="C3" s="26" t="s">
        <v>4</v>
      </c>
      <c r="D3" s="26" t="s">
        <v>5</v>
      </c>
      <c r="E3" s="26" t="s">
        <v>6</v>
      </c>
      <c r="F3" s="3"/>
      <c r="G3" s="3"/>
      <c r="H3" s="26" t="s">
        <v>3</v>
      </c>
      <c r="I3" s="26" t="s">
        <v>4</v>
      </c>
      <c r="J3" s="28" t="s">
        <v>5</v>
      </c>
      <c r="K3" s="27" t="s">
        <v>6</v>
      </c>
    </row>
    <row r="4" spans="1:11" ht="17">
      <c r="A4" s="22" t="s">
        <v>7</v>
      </c>
      <c r="B4" s="3">
        <v>7</v>
      </c>
      <c r="C4" s="3">
        <v>4</v>
      </c>
      <c r="D4" s="3">
        <v>0</v>
      </c>
      <c r="E4" s="3">
        <v>24</v>
      </c>
      <c r="F4" s="3"/>
      <c r="G4" s="23" t="s">
        <v>7</v>
      </c>
      <c r="H4" s="3">
        <v>1</v>
      </c>
      <c r="I4" s="3">
        <v>24</v>
      </c>
      <c r="J4" s="3">
        <v>15</v>
      </c>
      <c r="K4" s="12">
        <v>10</v>
      </c>
    </row>
    <row r="5" spans="1:11" ht="17">
      <c r="A5" s="22" t="s">
        <v>8</v>
      </c>
      <c r="B5" s="3">
        <v>3</v>
      </c>
      <c r="C5" s="3">
        <v>0</v>
      </c>
      <c r="D5" s="3">
        <v>0</v>
      </c>
      <c r="E5" s="3">
        <v>0</v>
      </c>
      <c r="F5" s="3"/>
      <c r="G5" s="23" t="s">
        <v>8</v>
      </c>
      <c r="H5" s="3">
        <v>0</v>
      </c>
      <c r="I5" s="3">
        <v>1</v>
      </c>
      <c r="J5" s="3">
        <v>4</v>
      </c>
      <c r="K5" s="12">
        <v>0</v>
      </c>
    </row>
    <row r="6" spans="1:11" ht="17">
      <c r="A6" s="22" t="s">
        <v>9</v>
      </c>
      <c r="B6" s="3">
        <v>5</v>
      </c>
      <c r="C6" s="3">
        <v>0</v>
      </c>
      <c r="D6" s="3">
        <v>0</v>
      </c>
      <c r="E6" s="3">
        <v>0</v>
      </c>
      <c r="F6" s="3"/>
      <c r="G6" s="23" t="s">
        <v>9</v>
      </c>
      <c r="H6" s="3">
        <v>0</v>
      </c>
      <c r="I6" s="3">
        <v>1</v>
      </c>
      <c r="J6" s="3">
        <v>22</v>
      </c>
      <c r="K6" s="12">
        <v>0</v>
      </c>
    </row>
    <row r="7" spans="1:11" ht="17">
      <c r="A7" s="22" t="s">
        <v>10</v>
      </c>
      <c r="B7" s="6">
        <f t="shared" ref="B7:E7" si="0">(B5/B4)*100</f>
        <v>42.857142857142897</v>
      </c>
      <c r="C7" s="6">
        <f t="shared" si="0"/>
        <v>0</v>
      </c>
      <c r="D7" s="6" t="e">
        <f t="shared" si="0"/>
        <v>#DIV/0!</v>
      </c>
      <c r="E7" s="6">
        <f t="shared" si="0"/>
        <v>0</v>
      </c>
      <c r="F7" s="3"/>
      <c r="G7" s="23" t="s">
        <v>10</v>
      </c>
      <c r="H7" s="6">
        <f t="shared" ref="H7:K7" si="1">(H5/H4)*100</f>
        <v>0</v>
      </c>
      <c r="I7" s="6">
        <f t="shared" si="1"/>
        <v>4.1666666666666696</v>
      </c>
      <c r="J7" s="6">
        <f t="shared" si="1"/>
        <v>26.6666666666667</v>
      </c>
      <c r="K7" s="13">
        <f t="shared" si="1"/>
        <v>0</v>
      </c>
    </row>
    <row r="8" spans="1:11">
      <c r="A8" s="4"/>
      <c r="B8" s="3"/>
      <c r="C8" s="3"/>
      <c r="D8" s="3"/>
      <c r="E8" s="3"/>
      <c r="F8" s="3"/>
      <c r="G8" s="3"/>
      <c r="H8" s="3"/>
      <c r="I8" s="3"/>
      <c r="J8" s="3"/>
      <c r="K8" s="12"/>
    </row>
    <row r="9" spans="1:11" ht="19.5">
      <c r="A9" s="18" t="s">
        <v>11</v>
      </c>
      <c r="B9" s="19"/>
      <c r="C9" s="19"/>
      <c r="D9" s="19"/>
      <c r="E9" s="19"/>
      <c r="F9" s="3"/>
      <c r="G9" s="19" t="s">
        <v>12</v>
      </c>
      <c r="H9" s="19"/>
      <c r="I9" s="19"/>
      <c r="J9" s="19"/>
      <c r="K9" s="21"/>
    </row>
    <row r="10" spans="1:11" ht="17">
      <c r="A10" s="4"/>
      <c r="B10" s="26" t="s">
        <v>3</v>
      </c>
      <c r="C10" s="26" t="s">
        <v>4</v>
      </c>
      <c r="D10" s="26" t="s">
        <v>5</v>
      </c>
      <c r="E10" s="26" t="s">
        <v>6</v>
      </c>
      <c r="F10" s="3"/>
      <c r="G10" s="3"/>
      <c r="H10" s="26" t="s">
        <v>3</v>
      </c>
      <c r="I10" s="26" t="s">
        <v>4</v>
      </c>
      <c r="J10" s="28" t="s">
        <v>5</v>
      </c>
      <c r="K10" s="27" t="s">
        <v>6</v>
      </c>
    </row>
    <row r="11" spans="1:11" ht="17">
      <c r="A11" s="22" t="s">
        <v>7</v>
      </c>
      <c r="B11" s="3">
        <v>1</v>
      </c>
      <c r="C11" s="3">
        <v>23</v>
      </c>
      <c r="D11" s="7">
        <v>19</v>
      </c>
      <c r="E11" s="3">
        <v>11</v>
      </c>
      <c r="F11" s="3"/>
      <c r="G11" s="23" t="s">
        <v>7</v>
      </c>
      <c r="H11" s="7">
        <v>8</v>
      </c>
      <c r="I11" s="3">
        <v>120</v>
      </c>
      <c r="J11" s="3">
        <v>42</v>
      </c>
      <c r="K11" s="12">
        <v>9</v>
      </c>
    </row>
    <row r="12" spans="1:11" ht="17">
      <c r="A12" s="22" t="s">
        <v>8</v>
      </c>
      <c r="B12" s="3">
        <v>0</v>
      </c>
      <c r="C12" s="3">
        <v>17</v>
      </c>
      <c r="D12" s="7">
        <v>2</v>
      </c>
      <c r="E12" s="3">
        <v>0</v>
      </c>
      <c r="F12" s="3"/>
      <c r="G12" s="23" t="s">
        <v>8</v>
      </c>
      <c r="H12" s="7">
        <v>5</v>
      </c>
      <c r="I12" s="3">
        <v>60</v>
      </c>
      <c r="J12" s="3">
        <v>5</v>
      </c>
      <c r="K12" s="12">
        <v>4</v>
      </c>
    </row>
    <row r="13" spans="1:11" ht="17">
      <c r="A13" s="22" t="s">
        <v>9</v>
      </c>
      <c r="B13" s="3">
        <v>0</v>
      </c>
      <c r="C13" s="3">
        <v>68</v>
      </c>
      <c r="D13" s="7">
        <v>4</v>
      </c>
      <c r="E13" s="3">
        <v>0</v>
      </c>
      <c r="F13" s="3"/>
      <c r="G13" s="23" t="s">
        <v>9</v>
      </c>
      <c r="H13" s="7">
        <v>43</v>
      </c>
      <c r="I13" s="3">
        <v>220</v>
      </c>
      <c r="J13" s="3">
        <v>28</v>
      </c>
      <c r="K13" s="12">
        <v>8</v>
      </c>
    </row>
    <row r="14" spans="1:11" ht="17">
      <c r="A14" s="22" t="s">
        <v>10</v>
      </c>
      <c r="B14" s="6">
        <f t="shared" ref="B14:E14" si="2">(B12/B11)*100</f>
        <v>0</v>
      </c>
      <c r="C14" s="6">
        <f t="shared" si="2"/>
        <v>73.913043478260903</v>
      </c>
      <c r="D14" s="6">
        <f t="shared" si="2"/>
        <v>10.526315789473699</v>
      </c>
      <c r="E14" s="6">
        <f t="shared" si="2"/>
        <v>0</v>
      </c>
      <c r="F14" s="3"/>
      <c r="G14" s="23" t="s">
        <v>10</v>
      </c>
      <c r="H14" s="6">
        <f t="shared" ref="H14:K14" si="3">(H12/H11)*100</f>
        <v>62.5</v>
      </c>
      <c r="I14" s="6">
        <f t="shared" si="3"/>
        <v>50</v>
      </c>
      <c r="J14" s="6">
        <f t="shared" si="3"/>
        <v>11.9047619047619</v>
      </c>
      <c r="K14" s="13">
        <f t="shared" si="3"/>
        <v>44.4444444444444</v>
      </c>
    </row>
    <row r="15" spans="1:11">
      <c r="A15" s="4"/>
      <c r="B15" s="3"/>
      <c r="C15" s="3"/>
      <c r="D15" s="3"/>
      <c r="E15" s="3"/>
      <c r="F15" s="3"/>
      <c r="G15" s="3"/>
      <c r="H15" s="3"/>
      <c r="I15" s="3"/>
      <c r="J15" s="3"/>
      <c r="K15" s="12"/>
    </row>
    <row r="16" spans="1:11" ht="19.5">
      <c r="A16" s="18" t="s">
        <v>13</v>
      </c>
      <c r="B16" s="19"/>
      <c r="C16" s="19"/>
      <c r="D16" s="19"/>
      <c r="E16" s="19"/>
      <c r="F16" s="3"/>
      <c r="G16" s="19" t="s">
        <v>14</v>
      </c>
      <c r="H16" s="19"/>
      <c r="I16" s="19"/>
      <c r="J16" s="19"/>
      <c r="K16" s="21"/>
    </row>
    <row r="17" spans="1:11" ht="17">
      <c r="A17" s="4"/>
      <c r="B17" s="26" t="s">
        <v>3</v>
      </c>
      <c r="C17" s="26" t="s">
        <v>4</v>
      </c>
      <c r="D17" s="26" t="s">
        <v>5</v>
      </c>
      <c r="E17" s="26" t="s">
        <v>6</v>
      </c>
      <c r="F17" s="3"/>
      <c r="G17" s="3"/>
      <c r="H17" s="26" t="s">
        <v>3</v>
      </c>
      <c r="I17" s="26" t="s">
        <v>4</v>
      </c>
      <c r="J17" s="28" t="s">
        <v>5</v>
      </c>
      <c r="K17" s="27" t="s">
        <v>6</v>
      </c>
    </row>
    <row r="18" spans="1:11" ht="17">
      <c r="A18" s="22" t="s">
        <v>7</v>
      </c>
      <c r="B18" s="3">
        <v>7</v>
      </c>
      <c r="C18" s="3">
        <v>37</v>
      </c>
      <c r="D18" s="3">
        <v>34</v>
      </c>
      <c r="E18" s="3">
        <v>4</v>
      </c>
      <c r="F18" s="3"/>
      <c r="G18" s="23" t="s">
        <v>7</v>
      </c>
      <c r="H18" s="3">
        <v>0</v>
      </c>
      <c r="I18" s="3">
        <v>27</v>
      </c>
      <c r="J18" s="3">
        <v>45</v>
      </c>
      <c r="K18" s="12">
        <v>8</v>
      </c>
    </row>
    <row r="19" spans="1:11" ht="17">
      <c r="A19" s="22" t="s">
        <v>8</v>
      </c>
      <c r="B19" s="3">
        <v>6</v>
      </c>
      <c r="C19" s="3">
        <v>19</v>
      </c>
      <c r="D19" s="3">
        <v>0</v>
      </c>
      <c r="E19" s="3">
        <v>1</v>
      </c>
      <c r="F19" s="3"/>
      <c r="G19" s="23" t="s">
        <v>8</v>
      </c>
      <c r="H19" s="3">
        <v>0</v>
      </c>
      <c r="I19" s="3">
        <v>24</v>
      </c>
      <c r="J19" s="3">
        <v>5</v>
      </c>
      <c r="K19" s="12">
        <v>2</v>
      </c>
    </row>
    <row r="20" spans="1:11" ht="17">
      <c r="A20" s="22" t="s">
        <v>9</v>
      </c>
      <c r="B20" s="3">
        <v>41</v>
      </c>
      <c r="C20" s="3">
        <v>70</v>
      </c>
      <c r="D20" s="3">
        <v>0</v>
      </c>
      <c r="E20" s="3">
        <v>1</v>
      </c>
      <c r="F20" s="3"/>
      <c r="G20" s="23" t="s">
        <v>9</v>
      </c>
      <c r="H20" s="3">
        <v>0</v>
      </c>
      <c r="I20" s="3">
        <v>98</v>
      </c>
      <c r="J20" s="3">
        <v>25</v>
      </c>
      <c r="K20" s="12">
        <v>4</v>
      </c>
    </row>
    <row r="21" spans="1:11" ht="17">
      <c r="A21" s="24" t="s">
        <v>10</v>
      </c>
      <c r="B21" s="8">
        <f t="shared" ref="B21:E21" si="4">(B19/B18)*100</f>
        <v>85.714285714285694</v>
      </c>
      <c r="C21" s="8">
        <f t="shared" si="4"/>
        <v>51.351351351351298</v>
      </c>
      <c r="D21" s="8">
        <f t="shared" si="4"/>
        <v>0</v>
      </c>
      <c r="E21" s="8">
        <f t="shared" si="4"/>
        <v>25</v>
      </c>
      <c r="F21" s="9"/>
      <c r="G21" s="25" t="s">
        <v>10</v>
      </c>
      <c r="H21" s="8" t="e">
        <f t="shared" ref="H21:K21" si="5">(H19/H18)*100</f>
        <v>#DIV/0!</v>
      </c>
      <c r="I21" s="8">
        <f t="shared" si="5"/>
        <v>88.8888888888889</v>
      </c>
      <c r="J21" s="8">
        <f t="shared" si="5"/>
        <v>11.1111111111111</v>
      </c>
      <c r="K21" s="14">
        <f t="shared" si="5"/>
        <v>25</v>
      </c>
    </row>
    <row r="23" spans="1:11" ht="19.5">
      <c r="A23" s="20" t="s">
        <v>15</v>
      </c>
      <c r="B23" s="10"/>
      <c r="C23" s="10"/>
      <c r="D23" s="10"/>
      <c r="E23" s="10"/>
      <c r="F23" s="10"/>
      <c r="G23" s="10"/>
      <c r="H23" s="10"/>
      <c r="I23" s="10"/>
      <c r="J23" s="10"/>
      <c r="K23" s="15"/>
    </row>
    <row r="24" spans="1:11" ht="19.5">
      <c r="A24" s="18" t="s">
        <v>1</v>
      </c>
      <c r="B24" s="19"/>
      <c r="C24" s="19"/>
      <c r="D24" s="19"/>
      <c r="E24" s="19"/>
      <c r="F24" s="3"/>
      <c r="G24" s="19" t="s">
        <v>2</v>
      </c>
      <c r="H24" s="19"/>
      <c r="I24" s="19"/>
      <c r="J24" s="19"/>
      <c r="K24" s="21"/>
    </row>
    <row r="25" spans="1:11" ht="17">
      <c r="A25" s="4"/>
      <c r="B25" s="26" t="s">
        <v>3</v>
      </c>
      <c r="C25" s="26" t="s">
        <v>4</v>
      </c>
      <c r="D25" s="26" t="s">
        <v>5</v>
      </c>
      <c r="E25" s="26" t="s">
        <v>6</v>
      </c>
      <c r="F25" s="3"/>
      <c r="G25" s="3"/>
      <c r="H25" s="26" t="s">
        <v>3</v>
      </c>
      <c r="I25" s="26" t="s">
        <v>4</v>
      </c>
      <c r="J25" s="26" t="s">
        <v>5</v>
      </c>
      <c r="K25" s="27" t="s">
        <v>6</v>
      </c>
    </row>
    <row r="26" spans="1:11" ht="17">
      <c r="A26" s="22" t="s">
        <v>7</v>
      </c>
      <c r="B26" s="3">
        <v>7</v>
      </c>
      <c r="C26" s="3">
        <v>4</v>
      </c>
      <c r="D26" s="3">
        <v>0</v>
      </c>
      <c r="E26" s="3">
        <v>25</v>
      </c>
      <c r="F26" s="3"/>
      <c r="G26" s="23" t="s">
        <v>7</v>
      </c>
      <c r="H26" s="3">
        <v>1</v>
      </c>
      <c r="I26" s="3">
        <v>26</v>
      </c>
      <c r="J26" s="3">
        <v>15</v>
      </c>
      <c r="K26" s="16">
        <v>11</v>
      </c>
    </row>
    <row r="27" spans="1:11" ht="17">
      <c r="A27" s="22" t="s">
        <v>8</v>
      </c>
      <c r="B27" s="3">
        <v>2</v>
      </c>
      <c r="C27" s="3">
        <v>0</v>
      </c>
      <c r="D27" s="3">
        <v>0</v>
      </c>
      <c r="E27" s="3">
        <v>0</v>
      </c>
      <c r="F27" s="3"/>
      <c r="G27" s="23" t="s">
        <v>8</v>
      </c>
      <c r="H27" s="3">
        <v>0</v>
      </c>
      <c r="I27" s="3">
        <v>0</v>
      </c>
      <c r="J27" s="3">
        <v>0</v>
      </c>
      <c r="K27" s="16">
        <v>0</v>
      </c>
    </row>
    <row r="28" spans="1:11" ht="17">
      <c r="A28" s="22" t="s">
        <v>9</v>
      </c>
      <c r="B28" s="3">
        <v>2</v>
      </c>
      <c r="C28" s="3">
        <v>0</v>
      </c>
      <c r="D28" s="3">
        <v>0</v>
      </c>
      <c r="E28" s="3">
        <v>0</v>
      </c>
      <c r="F28" s="3"/>
      <c r="G28" s="23" t="s">
        <v>9</v>
      </c>
      <c r="H28" s="3">
        <v>0</v>
      </c>
      <c r="I28" s="3">
        <v>0</v>
      </c>
      <c r="J28" s="3">
        <v>0</v>
      </c>
      <c r="K28" s="16">
        <v>0</v>
      </c>
    </row>
    <row r="29" spans="1:11" ht="17">
      <c r="A29" s="22" t="s">
        <v>10</v>
      </c>
      <c r="B29" s="6">
        <f t="shared" ref="B29:E29" si="6">(B27/B26)*100</f>
        <v>28.571428571428601</v>
      </c>
      <c r="C29" s="6">
        <f t="shared" si="6"/>
        <v>0</v>
      </c>
      <c r="D29" s="6" t="e">
        <f t="shared" si="6"/>
        <v>#DIV/0!</v>
      </c>
      <c r="E29" s="6">
        <f t="shared" si="6"/>
        <v>0</v>
      </c>
      <c r="F29" s="3"/>
      <c r="G29" s="23" t="s">
        <v>10</v>
      </c>
      <c r="H29" s="6">
        <f t="shared" ref="H29:K29" si="7">(H27/H26)*100</f>
        <v>0</v>
      </c>
      <c r="I29" s="6">
        <f t="shared" si="7"/>
        <v>0</v>
      </c>
      <c r="J29" s="6">
        <f t="shared" si="7"/>
        <v>0</v>
      </c>
      <c r="K29" s="13">
        <f t="shared" si="7"/>
        <v>0</v>
      </c>
    </row>
    <row r="30" spans="1:11">
      <c r="A30" s="4"/>
      <c r="B30" s="3"/>
      <c r="C30" s="3"/>
      <c r="D30" s="3"/>
      <c r="E30" s="3"/>
      <c r="F30" s="3"/>
      <c r="G30" s="3"/>
      <c r="H30" s="3"/>
      <c r="I30" s="3"/>
      <c r="J30" s="3"/>
      <c r="K30" s="16"/>
    </row>
    <row r="31" spans="1:11" ht="19.5">
      <c r="A31" s="18" t="s">
        <v>11</v>
      </c>
      <c r="B31" s="19"/>
      <c r="C31" s="19"/>
      <c r="D31" s="19"/>
      <c r="E31" s="19"/>
      <c r="F31" s="3"/>
      <c r="G31" s="19" t="s">
        <v>12</v>
      </c>
      <c r="H31" s="19"/>
      <c r="I31" s="19"/>
      <c r="J31" s="19"/>
      <c r="K31" s="21"/>
    </row>
    <row r="32" spans="1:11" ht="17">
      <c r="A32" s="4"/>
      <c r="B32" s="26" t="s">
        <v>3</v>
      </c>
      <c r="C32" s="26" t="s">
        <v>4</v>
      </c>
      <c r="D32" s="26" t="s">
        <v>5</v>
      </c>
      <c r="E32" s="26" t="s">
        <v>6</v>
      </c>
      <c r="F32" s="3"/>
      <c r="G32" s="3"/>
      <c r="H32" s="26" t="s">
        <v>3</v>
      </c>
      <c r="I32" s="26" t="s">
        <v>4</v>
      </c>
      <c r="J32" s="26" t="s">
        <v>5</v>
      </c>
      <c r="K32" s="27" t="s">
        <v>6</v>
      </c>
    </row>
    <row r="33" spans="1:11" ht="17">
      <c r="A33" s="22" t="s">
        <v>7</v>
      </c>
      <c r="B33" s="3">
        <v>1</v>
      </c>
      <c r="C33" s="3">
        <v>17</v>
      </c>
      <c r="D33" s="3">
        <v>19</v>
      </c>
      <c r="E33" s="3">
        <v>11</v>
      </c>
      <c r="F33" s="3"/>
      <c r="G33" s="23" t="s">
        <v>7</v>
      </c>
      <c r="H33" s="3">
        <v>10</v>
      </c>
      <c r="I33" s="3">
        <v>200</v>
      </c>
      <c r="J33" s="3">
        <v>44</v>
      </c>
      <c r="K33" s="16">
        <v>9</v>
      </c>
    </row>
    <row r="34" spans="1:11" ht="17">
      <c r="A34" s="22" t="s">
        <v>8</v>
      </c>
      <c r="B34" s="3">
        <v>0</v>
      </c>
      <c r="C34" s="3">
        <v>4</v>
      </c>
      <c r="D34" s="3">
        <v>1</v>
      </c>
      <c r="E34" s="3">
        <v>0</v>
      </c>
      <c r="F34" s="3"/>
      <c r="G34" s="23" t="s">
        <v>8</v>
      </c>
      <c r="H34" s="3">
        <v>8</v>
      </c>
      <c r="I34" s="3">
        <v>110</v>
      </c>
      <c r="J34" s="3">
        <v>0</v>
      </c>
      <c r="K34" s="16">
        <v>5</v>
      </c>
    </row>
    <row r="35" spans="1:11" ht="17">
      <c r="A35" s="22" t="s">
        <v>9</v>
      </c>
      <c r="B35" s="3">
        <v>0</v>
      </c>
      <c r="C35" s="3">
        <v>40</v>
      </c>
      <c r="D35" s="3">
        <v>2</v>
      </c>
      <c r="E35" s="3">
        <v>0</v>
      </c>
      <c r="F35" s="3"/>
      <c r="G35" s="23" t="s">
        <v>9</v>
      </c>
      <c r="H35" s="3">
        <v>38</v>
      </c>
      <c r="I35" s="3">
        <v>450</v>
      </c>
      <c r="J35" s="3">
        <v>0</v>
      </c>
      <c r="K35" s="16">
        <v>13</v>
      </c>
    </row>
    <row r="36" spans="1:11" ht="17">
      <c r="A36" s="22" t="s">
        <v>10</v>
      </c>
      <c r="B36" s="6">
        <f t="shared" ref="B36:E36" si="8">(B34/B33)*100</f>
        <v>0</v>
      </c>
      <c r="C36" s="6">
        <f t="shared" si="8"/>
        <v>23.529411764705898</v>
      </c>
      <c r="D36" s="6">
        <f t="shared" si="8"/>
        <v>5.2631578947368398</v>
      </c>
      <c r="E36" s="6">
        <f t="shared" si="8"/>
        <v>0</v>
      </c>
      <c r="F36" s="3"/>
      <c r="G36" s="23" t="s">
        <v>10</v>
      </c>
      <c r="H36" s="6">
        <f t="shared" ref="H36:K36" si="9">(H34/H33)*100</f>
        <v>80</v>
      </c>
      <c r="I36" s="6">
        <f t="shared" si="9"/>
        <v>55</v>
      </c>
      <c r="J36" s="6">
        <f t="shared" si="9"/>
        <v>0</v>
      </c>
      <c r="K36" s="13">
        <f t="shared" si="9"/>
        <v>55.5555555555556</v>
      </c>
    </row>
    <row r="37" spans="1:11">
      <c r="A37" s="4"/>
      <c r="B37" s="3"/>
      <c r="C37" s="3"/>
      <c r="D37" s="3"/>
      <c r="E37" s="3"/>
      <c r="F37" s="3"/>
      <c r="G37" s="3"/>
      <c r="H37" s="3"/>
      <c r="I37" s="3"/>
      <c r="J37" s="3"/>
      <c r="K37" s="16"/>
    </row>
    <row r="38" spans="1:11" ht="19.5">
      <c r="A38" s="18" t="s">
        <v>13</v>
      </c>
      <c r="B38" s="19"/>
      <c r="C38" s="19"/>
      <c r="D38" s="19"/>
      <c r="E38" s="19"/>
      <c r="F38" s="3"/>
      <c r="G38" s="19" t="s">
        <v>14</v>
      </c>
      <c r="H38" s="19"/>
      <c r="I38" s="19"/>
      <c r="J38" s="19"/>
      <c r="K38" s="21"/>
    </row>
    <row r="39" spans="1:11" ht="17">
      <c r="A39" s="4"/>
      <c r="B39" s="26" t="s">
        <v>3</v>
      </c>
      <c r="C39" s="26" t="s">
        <v>4</v>
      </c>
      <c r="D39" s="26" t="s">
        <v>5</v>
      </c>
      <c r="E39" s="26" t="s">
        <v>6</v>
      </c>
      <c r="F39" s="3"/>
      <c r="G39" s="3"/>
      <c r="H39" s="26" t="s">
        <v>3</v>
      </c>
      <c r="I39" s="26" t="s">
        <v>4</v>
      </c>
      <c r="J39" s="26" t="s">
        <v>5</v>
      </c>
      <c r="K39" s="27" t="s">
        <v>6</v>
      </c>
    </row>
    <row r="40" spans="1:11" ht="17">
      <c r="A40" s="22" t="s">
        <v>7</v>
      </c>
      <c r="B40" s="3">
        <v>8</v>
      </c>
      <c r="C40" s="3">
        <v>44</v>
      </c>
      <c r="D40" s="3">
        <v>29</v>
      </c>
      <c r="E40" s="3">
        <v>4</v>
      </c>
      <c r="F40" s="3"/>
      <c r="G40" s="23" t="s">
        <v>7</v>
      </c>
      <c r="H40" s="3">
        <v>0</v>
      </c>
      <c r="I40" s="3">
        <v>39</v>
      </c>
      <c r="J40" s="3">
        <v>42</v>
      </c>
      <c r="K40" s="16">
        <v>9</v>
      </c>
    </row>
    <row r="41" spans="1:11" ht="17">
      <c r="A41" s="22" t="s">
        <v>8</v>
      </c>
      <c r="B41" s="3">
        <v>6</v>
      </c>
      <c r="C41" s="3">
        <v>36</v>
      </c>
      <c r="D41" s="3">
        <v>0</v>
      </c>
      <c r="E41" s="3">
        <v>0</v>
      </c>
      <c r="F41" s="3"/>
      <c r="G41" s="23" t="s">
        <v>8</v>
      </c>
      <c r="H41" s="3">
        <v>0</v>
      </c>
      <c r="I41" s="3">
        <v>29</v>
      </c>
      <c r="J41" s="3">
        <v>9</v>
      </c>
      <c r="K41" s="16">
        <v>1</v>
      </c>
    </row>
    <row r="42" spans="1:11" ht="17">
      <c r="A42" s="22" t="s">
        <v>9</v>
      </c>
      <c r="B42" s="3">
        <v>34</v>
      </c>
      <c r="C42" s="3">
        <v>61</v>
      </c>
      <c r="D42" s="3">
        <v>0</v>
      </c>
      <c r="E42" s="3">
        <v>0</v>
      </c>
      <c r="F42" s="3"/>
      <c r="G42" s="23" t="s">
        <v>9</v>
      </c>
      <c r="H42" s="3">
        <v>0</v>
      </c>
      <c r="I42" s="3">
        <v>14</v>
      </c>
      <c r="J42" s="3">
        <v>69</v>
      </c>
      <c r="K42" s="16">
        <v>6</v>
      </c>
    </row>
    <row r="43" spans="1:11" ht="17">
      <c r="A43" s="24" t="s">
        <v>10</v>
      </c>
      <c r="B43" s="8">
        <f t="shared" ref="B43:E43" si="10">(B41/B40)*100</f>
        <v>75</v>
      </c>
      <c r="C43" s="8">
        <f t="shared" si="10"/>
        <v>81.818181818181799</v>
      </c>
      <c r="D43" s="8">
        <f t="shared" si="10"/>
        <v>0</v>
      </c>
      <c r="E43" s="8">
        <f t="shared" si="10"/>
        <v>0</v>
      </c>
      <c r="F43" s="9"/>
      <c r="G43" s="25" t="s">
        <v>10</v>
      </c>
      <c r="H43" s="8" t="e">
        <f t="shared" ref="H43:K43" si="11">(H41/H40)*100</f>
        <v>#DIV/0!</v>
      </c>
      <c r="I43" s="8">
        <f t="shared" si="11"/>
        <v>74.358974358974393</v>
      </c>
      <c r="J43" s="8">
        <f t="shared" si="11"/>
        <v>21.428571428571399</v>
      </c>
      <c r="K43" s="14">
        <f t="shared" si="11"/>
        <v>11.1111111111111</v>
      </c>
    </row>
    <row r="45" spans="1:11" ht="19.5">
      <c r="A45" s="20" t="s">
        <v>16</v>
      </c>
      <c r="B45" s="10"/>
      <c r="C45" s="10"/>
      <c r="D45" s="10"/>
      <c r="E45" s="10"/>
      <c r="F45" s="10"/>
      <c r="G45" s="10"/>
      <c r="H45" s="10"/>
      <c r="I45" s="10"/>
      <c r="J45" s="10"/>
      <c r="K45" s="15"/>
    </row>
    <row r="46" spans="1:11" ht="19.5">
      <c r="A46" s="18" t="s">
        <v>1</v>
      </c>
      <c r="B46" s="19"/>
      <c r="C46" s="19"/>
      <c r="D46" s="19"/>
      <c r="E46" s="19"/>
      <c r="F46" s="3"/>
      <c r="G46" s="19" t="s">
        <v>2</v>
      </c>
      <c r="H46" s="19"/>
      <c r="I46" s="19"/>
      <c r="J46" s="19"/>
      <c r="K46" s="21"/>
    </row>
    <row r="47" spans="1:11" ht="17">
      <c r="A47" s="4"/>
      <c r="B47" s="26" t="s">
        <v>3</v>
      </c>
      <c r="C47" s="26" t="s">
        <v>4</v>
      </c>
      <c r="D47" s="26" t="s">
        <v>5</v>
      </c>
      <c r="E47" s="26" t="s">
        <v>6</v>
      </c>
      <c r="F47" s="3"/>
      <c r="G47" s="3"/>
      <c r="H47" s="26" t="s">
        <v>3</v>
      </c>
      <c r="I47" s="26" t="s">
        <v>4</v>
      </c>
      <c r="J47" s="26" t="s">
        <v>5</v>
      </c>
      <c r="K47" s="27" t="s">
        <v>6</v>
      </c>
    </row>
    <row r="48" spans="1:11" ht="17">
      <c r="A48" s="22" t="s">
        <v>7</v>
      </c>
      <c r="B48" s="3">
        <v>6</v>
      </c>
      <c r="C48" s="3">
        <v>4</v>
      </c>
      <c r="D48" s="3">
        <v>0</v>
      </c>
      <c r="E48" s="3">
        <v>25</v>
      </c>
      <c r="F48" s="3"/>
      <c r="G48" s="23" t="s">
        <v>7</v>
      </c>
      <c r="H48" s="3">
        <v>1</v>
      </c>
      <c r="I48" s="3">
        <v>27</v>
      </c>
      <c r="J48" s="3">
        <v>15</v>
      </c>
      <c r="K48" s="16">
        <v>10</v>
      </c>
    </row>
    <row r="49" spans="1:11" ht="17">
      <c r="A49" s="22" t="s">
        <v>8</v>
      </c>
      <c r="B49" s="3">
        <v>1</v>
      </c>
      <c r="C49" s="3">
        <v>0</v>
      </c>
      <c r="D49" s="3">
        <v>0</v>
      </c>
      <c r="E49" s="3">
        <v>0</v>
      </c>
      <c r="F49" s="3"/>
      <c r="G49" s="23" t="s">
        <v>8</v>
      </c>
      <c r="H49" s="3">
        <v>0</v>
      </c>
      <c r="I49" s="3">
        <v>0</v>
      </c>
      <c r="J49" s="3">
        <v>0</v>
      </c>
      <c r="K49" s="16">
        <v>0</v>
      </c>
    </row>
    <row r="50" spans="1:11" ht="17">
      <c r="A50" s="22" t="s">
        <v>9</v>
      </c>
      <c r="B50" s="3">
        <v>12</v>
      </c>
      <c r="C50" s="3">
        <v>0</v>
      </c>
      <c r="D50" s="3">
        <v>0</v>
      </c>
      <c r="E50" s="3">
        <v>0</v>
      </c>
      <c r="F50" s="3"/>
      <c r="G50" s="23" t="s">
        <v>9</v>
      </c>
      <c r="H50" s="3">
        <v>0</v>
      </c>
      <c r="I50" s="3">
        <v>0</v>
      </c>
      <c r="J50" s="3">
        <v>0</v>
      </c>
      <c r="K50" s="16">
        <v>0</v>
      </c>
    </row>
    <row r="51" spans="1:11" ht="17">
      <c r="A51" s="22" t="s">
        <v>10</v>
      </c>
      <c r="B51" s="6">
        <f>(B49/B48)*100</f>
        <v>16.6666666666667</v>
      </c>
      <c r="C51" s="6">
        <f t="shared" ref="C51:K51" si="12">(C49/C48)*100</f>
        <v>0</v>
      </c>
      <c r="D51" s="6" t="e">
        <f t="shared" si="12"/>
        <v>#DIV/0!</v>
      </c>
      <c r="E51" s="6">
        <f t="shared" si="12"/>
        <v>0</v>
      </c>
      <c r="F51" s="3"/>
      <c r="G51" s="23" t="s">
        <v>10</v>
      </c>
      <c r="H51" s="6">
        <f t="shared" si="12"/>
        <v>0</v>
      </c>
      <c r="I51" s="6">
        <f t="shared" si="12"/>
        <v>0</v>
      </c>
      <c r="J51" s="6">
        <f t="shared" si="12"/>
        <v>0</v>
      </c>
      <c r="K51" s="13">
        <f t="shared" si="12"/>
        <v>0</v>
      </c>
    </row>
    <row r="52" spans="1:11">
      <c r="A52" s="4"/>
      <c r="B52" s="3"/>
      <c r="C52" s="3"/>
      <c r="D52" s="3"/>
      <c r="E52" s="3"/>
      <c r="F52" s="3"/>
      <c r="G52" s="3"/>
      <c r="H52" s="3"/>
      <c r="I52" s="3"/>
      <c r="J52" s="3"/>
      <c r="K52" s="16"/>
    </row>
    <row r="53" spans="1:11" ht="19.5">
      <c r="A53" s="18" t="s">
        <v>11</v>
      </c>
      <c r="B53" s="19"/>
      <c r="C53" s="19"/>
      <c r="D53" s="19"/>
      <c r="E53" s="19"/>
      <c r="F53" s="3"/>
      <c r="G53" s="19" t="s">
        <v>12</v>
      </c>
      <c r="H53" s="19"/>
      <c r="I53" s="19"/>
      <c r="J53" s="19"/>
      <c r="K53" s="21"/>
    </row>
    <row r="54" spans="1:11" ht="17">
      <c r="A54" s="4"/>
      <c r="B54" s="26" t="s">
        <v>3</v>
      </c>
      <c r="C54" s="26" t="s">
        <v>4</v>
      </c>
      <c r="D54" s="26" t="s">
        <v>5</v>
      </c>
      <c r="E54" s="26" t="s">
        <v>6</v>
      </c>
      <c r="F54" s="3"/>
      <c r="G54" s="3"/>
      <c r="H54" s="26" t="s">
        <v>3</v>
      </c>
      <c r="I54" s="26" t="s">
        <v>4</v>
      </c>
      <c r="J54" s="26" t="s">
        <v>5</v>
      </c>
      <c r="K54" s="27" t="s">
        <v>6</v>
      </c>
    </row>
    <row r="55" spans="1:11" ht="17">
      <c r="A55" s="22" t="s">
        <v>7</v>
      </c>
      <c r="B55" s="3">
        <v>1</v>
      </c>
      <c r="C55" s="3">
        <v>18</v>
      </c>
      <c r="D55" s="3">
        <v>20</v>
      </c>
      <c r="E55" s="3">
        <v>12</v>
      </c>
      <c r="F55" s="3"/>
      <c r="G55" s="23" t="s">
        <v>7</v>
      </c>
      <c r="H55" s="3">
        <v>12</v>
      </c>
      <c r="I55" s="3">
        <v>230</v>
      </c>
      <c r="J55" s="3">
        <v>40</v>
      </c>
      <c r="K55" s="16">
        <v>9</v>
      </c>
    </row>
    <row r="56" spans="1:11" ht="17">
      <c r="A56" s="22" t="s">
        <v>8</v>
      </c>
      <c r="B56" s="3">
        <v>0</v>
      </c>
      <c r="C56" s="3">
        <v>0</v>
      </c>
      <c r="D56" s="3">
        <v>1</v>
      </c>
      <c r="E56" s="3">
        <v>0</v>
      </c>
      <c r="F56" s="3"/>
      <c r="G56" s="23" t="s">
        <v>8</v>
      </c>
      <c r="H56" s="3">
        <v>9</v>
      </c>
      <c r="I56" s="3">
        <v>90</v>
      </c>
      <c r="J56" s="3">
        <v>0</v>
      </c>
      <c r="K56" s="16">
        <v>3</v>
      </c>
    </row>
    <row r="57" spans="1:11" ht="17">
      <c r="A57" s="22" t="s">
        <v>9</v>
      </c>
      <c r="B57" s="3">
        <v>0</v>
      </c>
      <c r="C57" s="3">
        <v>0</v>
      </c>
      <c r="D57" s="3">
        <v>2</v>
      </c>
      <c r="E57" s="3">
        <v>0</v>
      </c>
      <c r="F57" s="3"/>
      <c r="G57" s="23" t="s">
        <v>9</v>
      </c>
      <c r="H57" s="3">
        <v>37</v>
      </c>
      <c r="I57" s="3">
        <v>230</v>
      </c>
      <c r="J57" s="3">
        <v>0</v>
      </c>
      <c r="K57" s="16">
        <v>18</v>
      </c>
    </row>
    <row r="58" spans="1:11" ht="17">
      <c r="A58" s="22" t="s">
        <v>10</v>
      </c>
      <c r="B58" s="6">
        <f>(B56/B55)*100</f>
        <v>0</v>
      </c>
      <c r="C58" s="6">
        <f t="shared" ref="C58:K58" si="13">(C56/C55)*100</f>
        <v>0</v>
      </c>
      <c r="D58" s="6">
        <f t="shared" si="13"/>
        <v>5</v>
      </c>
      <c r="E58" s="6">
        <f t="shared" si="13"/>
        <v>0</v>
      </c>
      <c r="F58" s="3"/>
      <c r="G58" s="23" t="s">
        <v>10</v>
      </c>
      <c r="H58" s="6">
        <f t="shared" si="13"/>
        <v>75</v>
      </c>
      <c r="I58" s="6">
        <f t="shared" si="13"/>
        <v>39.130434782608702</v>
      </c>
      <c r="J58" s="6">
        <f t="shared" si="13"/>
        <v>0</v>
      </c>
      <c r="K58" s="13">
        <f t="shared" si="13"/>
        <v>33.3333333333333</v>
      </c>
    </row>
    <row r="59" spans="1:11">
      <c r="A59" s="4"/>
      <c r="B59" s="3"/>
      <c r="C59" s="3"/>
      <c r="D59" s="3"/>
      <c r="E59" s="3"/>
      <c r="F59" s="3"/>
      <c r="G59" s="3"/>
      <c r="H59" s="3"/>
      <c r="I59" s="3"/>
      <c r="J59" s="3"/>
      <c r="K59" s="16"/>
    </row>
    <row r="60" spans="1:11" ht="19.5">
      <c r="A60" s="18" t="s">
        <v>13</v>
      </c>
      <c r="B60" s="19"/>
      <c r="C60" s="19"/>
      <c r="D60" s="19"/>
      <c r="E60" s="19"/>
      <c r="F60" s="3"/>
      <c r="G60" s="19" t="s">
        <v>14</v>
      </c>
      <c r="H60" s="19"/>
      <c r="I60" s="19"/>
      <c r="J60" s="19"/>
      <c r="K60" s="21"/>
    </row>
    <row r="61" spans="1:11" ht="17">
      <c r="A61" s="4"/>
      <c r="B61" s="26" t="s">
        <v>3</v>
      </c>
      <c r="C61" s="26" t="s">
        <v>4</v>
      </c>
      <c r="D61" s="26" t="s">
        <v>5</v>
      </c>
      <c r="E61" s="26" t="s">
        <v>6</v>
      </c>
      <c r="F61" s="3"/>
      <c r="G61" s="3"/>
      <c r="H61" s="26" t="s">
        <v>3</v>
      </c>
      <c r="I61" s="26" t="s">
        <v>4</v>
      </c>
      <c r="J61" s="26" t="s">
        <v>5</v>
      </c>
      <c r="K61" s="27" t="s">
        <v>6</v>
      </c>
    </row>
    <row r="62" spans="1:11" ht="17">
      <c r="A62" s="22" t="s">
        <v>7</v>
      </c>
      <c r="B62" s="3">
        <v>7</v>
      </c>
      <c r="C62" s="3">
        <v>38</v>
      </c>
      <c r="D62" s="3">
        <v>16</v>
      </c>
      <c r="E62" s="3">
        <v>4</v>
      </c>
      <c r="F62" s="3"/>
      <c r="G62" s="23" t="s">
        <v>7</v>
      </c>
      <c r="H62" s="3">
        <v>0</v>
      </c>
      <c r="I62" s="3">
        <v>28</v>
      </c>
      <c r="J62" s="3">
        <v>47</v>
      </c>
      <c r="K62" s="16">
        <v>8</v>
      </c>
    </row>
    <row r="63" spans="1:11" ht="17">
      <c r="A63" s="22" t="s">
        <v>8</v>
      </c>
      <c r="B63" s="3">
        <v>5</v>
      </c>
      <c r="C63" s="3">
        <v>26</v>
      </c>
      <c r="D63" s="3">
        <v>0</v>
      </c>
      <c r="E63" s="3">
        <v>0</v>
      </c>
      <c r="F63" s="3"/>
      <c r="G63" s="23" t="s">
        <v>8</v>
      </c>
      <c r="H63" s="3">
        <v>0</v>
      </c>
      <c r="I63" s="3">
        <v>22</v>
      </c>
      <c r="J63" s="3">
        <v>8</v>
      </c>
      <c r="K63" s="16">
        <v>0</v>
      </c>
    </row>
    <row r="64" spans="1:11" ht="17">
      <c r="A64" s="22" t="s">
        <v>9</v>
      </c>
      <c r="B64" s="3">
        <v>21</v>
      </c>
      <c r="C64" s="3">
        <v>116</v>
      </c>
      <c r="D64" s="3">
        <v>0</v>
      </c>
      <c r="E64" s="3">
        <v>0</v>
      </c>
      <c r="F64" s="3"/>
      <c r="G64" s="23" t="s">
        <v>9</v>
      </c>
      <c r="H64" s="3">
        <v>0</v>
      </c>
      <c r="I64" s="3">
        <v>82</v>
      </c>
      <c r="J64" s="3">
        <v>38</v>
      </c>
      <c r="K64" s="16">
        <v>0</v>
      </c>
    </row>
    <row r="65" spans="1:11" ht="17">
      <c r="A65" s="24" t="s">
        <v>10</v>
      </c>
      <c r="B65" s="8">
        <f>(B63/B62)*100</f>
        <v>71.428571428571402</v>
      </c>
      <c r="C65" s="8">
        <f t="shared" ref="C65:K65" si="14">(C63/C62)*100</f>
        <v>68.421052631578902</v>
      </c>
      <c r="D65" s="8">
        <f t="shared" si="14"/>
        <v>0</v>
      </c>
      <c r="E65" s="8">
        <f t="shared" si="14"/>
        <v>0</v>
      </c>
      <c r="F65" s="9"/>
      <c r="G65" s="25" t="s">
        <v>10</v>
      </c>
      <c r="H65" s="8" t="e">
        <f t="shared" si="14"/>
        <v>#DIV/0!</v>
      </c>
      <c r="I65" s="8">
        <f t="shared" si="14"/>
        <v>78.571428571428598</v>
      </c>
      <c r="J65" s="8">
        <f t="shared" si="14"/>
        <v>17.021276595744698</v>
      </c>
      <c r="K65" s="14">
        <f t="shared" si="14"/>
        <v>0</v>
      </c>
    </row>
    <row r="67" spans="1:11" ht="19.5">
      <c r="A67" s="20" t="s">
        <v>17</v>
      </c>
      <c r="B67" s="10"/>
      <c r="C67" s="10"/>
      <c r="D67" s="10"/>
      <c r="E67" s="10"/>
      <c r="F67" s="10"/>
      <c r="G67" s="10"/>
      <c r="H67" s="10"/>
      <c r="I67" s="10"/>
      <c r="J67" s="10"/>
      <c r="K67" s="15"/>
    </row>
    <row r="68" spans="1:11" ht="19.5">
      <c r="A68" s="18" t="s">
        <v>1</v>
      </c>
      <c r="B68" s="19"/>
      <c r="C68" s="19"/>
      <c r="D68" s="19"/>
      <c r="E68" s="19"/>
      <c r="F68" s="3"/>
      <c r="G68" s="19" t="s">
        <v>2</v>
      </c>
      <c r="H68" s="19"/>
      <c r="I68" s="19"/>
      <c r="J68" s="19"/>
      <c r="K68" s="21"/>
    </row>
    <row r="69" spans="1:11" ht="17">
      <c r="A69" s="4"/>
      <c r="B69" s="26" t="s">
        <v>3</v>
      </c>
      <c r="C69" s="26" t="s">
        <v>4</v>
      </c>
      <c r="D69" s="26" t="s">
        <v>5</v>
      </c>
      <c r="E69" s="26" t="s">
        <v>6</v>
      </c>
      <c r="F69" s="3"/>
      <c r="G69" s="3"/>
      <c r="H69" s="26" t="s">
        <v>3</v>
      </c>
      <c r="I69" s="26" t="s">
        <v>4</v>
      </c>
      <c r="J69" s="26" t="s">
        <v>5</v>
      </c>
      <c r="K69" s="27" t="s">
        <v>6</v>
      </c>
    </row>
    <row r="70" spans="1:11" ht="17">
      <c r="A70" s="22" t="s">
        <v>7</v>
      </c>
      <c r="B70" s="3">
        <v>5</v>
      </c>
      <c r="C70" s="3">
        <v>4</v>
      </c>
      <c r="D70" s="3">
        <v>0</v>
      </c>
      <c r="E70" s="3">
        <v>26</v>
      </c>
      <c r="F70" s="3"/>
      <c r="G70" s="23" t="s">
        <v>7</v>
      </c>
      <c r="H70" s="3">
        <v>1</v>
      </c>
      <c r="I70" s="3">
        <v>26</v>
      </c>
      <c r="J70" s="3">
        <v>17</v>
      </c>
      <c r="K70" s="16">
        <v>11</v>
      </c>
    </row>
    <row r="71" spans="1:11" ht="17">
      <c r="A71" s="22" t="s">
        <v>8</v>
      </c>
      <c r="B71" s="3">
        <v>3</v>
      </c>
      <c r="C71" s="3">
        <v>0</v>
      </c>
      <c r="D71" s="3">
        <v>0</v>
      </c>
      <c r="E71" s="3">
        <v>0</v>
      </c>
      <c r="F71" s="3"/>
      <c r="G71" s="23" t="s">
        <v>8</v>
      </c>
      <c r="H71" s="3">
        <v>0</v>
      </c>
      <c r="I71" s="3">
        <v>0</v>
      </c>
      <c r="J71" s="3">
        <v>0</v>
      </c>
      <c r="K71" s="16">
        <v>0</v>
      </c>
    </row>
    <row r="72" spans="1:11" ht="17">
      <c r="A72" s="22" t="s">
        <v>9</v>
      </c>
      <c r="B72" s="3">
        <v>9</v>
      </c>
      <c r="C72" s="3">
        <v>0</v>
      </c>
      <c r="D72" s="3">
        <v>0</v>
      </c>
      <c r="E72" s="3">
        <v>0</v>
      </c>
      <c r="F72" s="3"/>
      <c r="G72" s="23" t="s">
        <v>9</v>
      </c>
      <c r="H72" s="3">
        <v>0</v>
      </c>
      <c r="I72" s="3">
        <v>0</v>
      </c>
      <c r="J72" s="3">
        <v>0</v>
      </c>
      <c r="K72" s="16">
        <v>0</v>
      </c>
    </row>
    <row r="73" spans="1:11" ht="17">
      <c r="A73" s="22" t="s">
        <v>10</v>
      </c>
      <c r="B73" s="6">
        <f t="shared" ref="B73:E73" si="15">(B71/B70)*100</f>
        <v>60</v>
      </c>
      <c r="C73" s="6">
        <f t="shared" si="15"/>
        <v>0</v>
      </c>
      <c r="D73" s="6" t="e">
        <f t="shared" si="15"/>
        <v>#DIV/0!</v>
      </c>
      <c r="E73" s="6">
        <f t="shared" si="15"/>
        <v>0</v>
      </c>
      <c r="F73" s="3"/>
      <c r="G73" s="5" t="s">
        <v>10</v>
      </c>
      <c r="H73" s="6">
        <f t="shared" ref="H73:K73" si="16">(H71/H70)*100</f>
        <v>0</v>
      </c>
      <c r="I73" s="6">
        <f t="shared" si="16"/>
        <v>0</v>
      </c>
      <c r="J73" s="6">
        <f t="shared" si="16"/>
        <v>0</v>
      </c>
      <c r="K73" s="13">
        <f t="shared" si="16"/>
        <v>0</v>
      </c>
    </row>
    <row r="74" spans="1:11">
      <c r="A74" s="4"/>
      <c r="B74" s="3"/>
      <c r="C74" s="3"/>
      <c r="D74" s="3"/>
      <c r="E74" s="3"/>
      <c r="F74" s="3"/>
      <c r="G74" s="3"/>
      <c r="H74" s="3"/>
      <c r="I74" s="3"/>
      <c r="J74" s="3"/>
      <c r="K74" s="16"/>
    </row>
    <row r="75" spans="1:11" ht="19.5">
      <c r="A75" s="18" t="s">
        <v>11</v>
      </c>
      <c r="B75" s="19"/>
      <c r="C75" s="19"/>
      <c r="D75" s="19"/>
      <c r="E75" s="19"/>
      <c r="F75" s="3"/>
      <c r="G75" s="19" t="s">
        <v>12</v>
      </c>
      <c r="H75" s="19"/>
      <c r="I75" s="19"/>
      <c r="J75" s="19"/>
      <c r="K75" s="21"/>
    </row>
    <row r="76" spans="1:11" ht="17">
      <c r="A76" s="4"/>
      <c r="B76" s="26" t="s">
        <v>3</v>
      </c>
      <c r="C76" s="26" t="s">
        <v>4</v>
      </c>
      <c r="D76" s="26" t="s">
        <v>5</v>
      </c>
      <c r="E76" s="26" t="s">
        <v>6</v>
      </c>
      <c r="F76" s="3"/>
      <c r="G76" s="3"/>
      <c r="H76" s="26" t="s">
        <v>3</v>
      </c>
      <c r="I76" s="26" t="s">
        <v>4</v>
      </c>
      <c r="J76" s="26" t="s">
        <v>5</v>
      </c>
      <c r="K76" s="27" t="s">
        <v>6</v>
      </c>
    </row>
    <row r="77" spans="1:11" ht="17">
      <c r="A77" s="22" t="s">
        <v>7</v>
      </c>
      <c r="B77" s="3">
        <v>1</v>
      </c>
      <c r="C77" s="3">
        <v>18</v>
      </c>
      <c r="D77" s="3">
        <v>21</v>
      </c>
      <c r="E77" s="3">
        <v>12</v>
      </c>
      <c r="F77" s="3"/>
      <c r="G77" s="23" t="s">
        <v>7</v>
      </c>
      <c r="H77" s="3">
        <v>10</v>
      </c>
      <c r="I77" s="3">
        <v>290</v>
      </c>
      <c r="J77" s="3">
        <v>43</v>
      </c>
      <c r="K77" s="16">
        <v>9</v>
      </c>
    </row>
    <row r="78" spans="1:11" ht="17">
      <c r="A78" s="22" t="s">
        <v>8</v>
      </c>
      <c r="B78" s="3">
        <v>0</v>
      </c>
      <c r="C78" s="3">
        <v>3</v>
      </c>
      <c r="D78" s="3">
        <v>1</v>
      </c>
      <c r="E78" s="3">
        <v>0</v>
      </c>
      <c r="F78" s="3"/>
      <c r="G78" s="23" t="s">
        <v>8</v>
      </c>
      <c r="H78" s="3">
        <v>5</v>
      </c>
      <c r="I78" s="3">
        <v>70</v>
      </c>
      <c r="J78" s="3">
        <v>0</v>
      </c>
      <c r="K78" s="16">
        <v>5</v>
      </c>
    </row>
    <row r="79" spans="1:11" ht="17">
      <c r="A79" s="22" t="s">
        <v>9</v>
      </c>
      <c r="B79" s="3">
        <v>0</v>
      </c>
      <c r="C79" s="3">
        <v>3</v>
      </c>
      <c r="D79" s="3">
        <v>5</v>
      </c>
      <c r="E79" s="3">
        <v>0</v>
      </c>
      <c r="F79" s="3"/>
      <c r="G79" s="23" t="s">
        <v>9</v>
      </c>
      <c r="H79" s="3">
        <v>14</v>
      </c>
      <c r="I79" s="3">
        <v>190</v>
      </c>
      <c r="J79" s="3">
        <v>0</v>
      </c>
      <c r="K79" s="16">
        <v>16</v>
      </c>
    </row>
    <row r="80" spans="1:11" ht="17">
      <c r="A80" s="22" t="s">
        <v>10</v>
      </c>
      <c r="B80" s="6">
        <f t="shared" ref="B80:E80" si="17">(B78/B77)*100</f>
        <v>0</v>
      </c>
      <c r="C80" s="6">
        <f t="shared" si="17"/>
        <v>16.6666666666667</v>
      </c>
      <c r="D80" s="6">
        <f t="shared" si="17"/>
        <v>4.7619047619047601</v>
      </c>
      <c r="E80" s="6">
        <f t="shared" si="17"/>
        <v>0</v>
      </c>
      <c r="F80" s="3"/>
      <c r="G80" s="23" t="s">
        <v>10</v>
      </c>
      <c r="H80" s="6">
        <f t="shared" ref="H80:K80" si="18">(H78/H77)*100</f>
        <v>50</v>
      </c>
      <c r="I80" s="6">
        <f t="shared" si="18"/>
        <v>24.137931034482801</v>
      </c>
      <c r="J80" s="6">
        <f t="shared" si="18"/>
        <v>0</v>
      </c>
      <c r="K80" s="13">
        <f t="shared" si="18"/>
        <v>55.5555555555556</v>
      </c>
    </row>
    <row r="81" spans="1:11">
      <c r="A81" s="4"/>
      <c r="B81" s="3"/>
      <c r="C81" s="3"/>
      <c r="D81" s="3"/>
      <c r="E81" s="3"/>
      <c r="F81" s="3"/>
      <c r="G81" s="3"/>
      <c r="H81" s="3"/>
      <c r="I81" s="3"/>
      <c r="J81" s="3"/>
      <c r="K81" s="16"/>
    </row>
    <row r="82" spans="1:11" ht="19.5">
      <c r="A82" s="18" t="s">
        <v>13</v>
      </c>
      <c r="B82" s="19"/>
      <c r="C82" s="19"/>
      <c r="D82" s="19"/>
      <c r="E82" s="19"/>
      <c r="F82" s="3"/>
      <c r="G82" s="19" t="s">
        <v>14</v>
      </c>
      <c r="H82" s="19"/>
      <c r="I82" s="19"/>
      <c r="J82" s="19"/>
      <c r="K82" s="21"/>
    </row>
    <row r="83" spans="1:11" ht="17">
      <c r="A83" s="4"/>
      <c r="B83" s="26" t="s">
        <v>3</v>
      </c>
      <c r="C83" s="26" t="s">
        <v>4</v>
      </c>
      <c r="D83" s="26" t="s">
        <v>5</v>
      </c>
      <c r="E83" s="26" t="s">
        <v>6</v>
      </c>
      <c r="F83" s="3"/>
      <c r="G83" s="3"/>
      <c r="H83" s="26" t="s">
        <v>3</v>
      </c>
      <c r="I83" s="26" t="s">
        <v>4</v>
      </c>
      <c r="J83" s="26" t="s">
        <v>5</v>
      </c>
      <c r="K83" s="27" t="s">
        <v>6</v>
      </c>
    </row>
    <row r="84" spans="1:11" ht="17">
      <c r="A84" s="22" t="s">
        <v>7</v>
      </c>
      <c r="B84" s="3">
        <v>7</v>
      </c>
      <c r="C84" s="3">
        <v>33</v>
      </c>
      <c r="D84" s="3">
        <v>26</v>
      </c>
      <c r="E84" s="3">
        <v>4</v>
      </c>
      <c r="F84" s="3"/>
      <c r="G84" s="23" t="s">
        <v>7</v>
      </c>
      <c r="H84" s="3">
        <v>0</v>
      </c>
      <c r="I84" s="3">
        <v>26</v>
      </c>
      <c r="J84" s="3">
        <v>47</v>
      </c>
      <c r="K84" s="16">
        <v>8</v>
      </c>
    </row>
    <row r="85" spans="1:11" ht="17">
      <c r="A85" s="22" t="s">
        <v>8</v>
      </c>
      <c r="B85" s="3">
        <v>0</v>
      </c>
      <c r="C85" s="3">
        <v>14</v>
      </c>
      <c r="D85" s="3">
        <v>0</v>
      </c>
      <c r="E85" s="3">
        <v>0</v>
      </c>
      <c r="F85" s="3"/>
      <c r="G85" s="23" t="s">
        <v>8</v>
      </c>
      <c r="H85" s="3">
        <v>0</v>
      </c>
      <c r="I85" s="3">
        <v>24</v>
      </c>
      <c r="J85" s="3">
        <v>3</v>
      </c>
      <c r="K85" s="16">
        <v>0</v>
      </c>
    </row>
    <row r="86" spans="1:11" ht="17">
      <c r="A86" s="22" t="s">
        <v>9</v>
      </c>
      <c r="B86" s="3">
        <v>0</v>
      </c>
      <c r="C86" s="3">
        <v>49</v>
      </c>
      <c r="D86" s="3">
        <v>0</v>
      </c>
      <c r="E86" s="3">
        <v>0</v>
      </c>
      <c r="F86" s="3"/>
      <c r="G86" s="23" t="s">
        <v>9</v>
      </c>
      <c r="H86" s="3">
        <v>0</v>
      </c>
      <c r="I86" s="3">
        <v>90</v>
      </c>
      <c r="J86" s="3">
        <v>6</v>
      </c>
      <c r="K86" s="16">
        <v>0</v>
      </c>
    </row>
    <row r="87" spans="1:11" ht="17">
      <c r="A87" s="24" t="s">
        <v>10</v>
      </c>
      <c r="B87" s="8">
        <f t="shared" ref="B87:E87" si="19">(B85/B84)*100</f>
        <v>0</v>
      </c>
      <c r="C87" s="8">
        <f t="shared" si="19"/>
        <v>42.424242424242401</v>
      </c>
      <c r="D87" s="8">
        <f t="shared" si="19"/>
        <v>0</v>
      </c>
      <c r="E87" s="8">
        <f t="shared" si="19"/>
        <v>0</v>
      </c>
      <c r="F87" s="9"/>
      <c r="G87" s="25" t="s">
        <v>10</v>
      </c>
      <c r="H87" s="8" t="e">
        <f t="shared" ref="H87:K87" si="20">(H85/H84)*100</f>
        <v>#DIV/0!</v>
      </c>
      <c r="I87" s="8">
        <f t="shared" si="20"/>
        <v>92.307692307692307</v>
      </c>
      <c r="J87" s="8">
        <f t="shared" si="20"/>
        <v>6.3829787234042596</v>
      </c>
      <c r="K87" s="14">
        <f t="shared" si="20"/>
        <v>0</v>
      </c>
    </row>
  </sheetData>
  <mergeCells count="24">
    <mergeCell ref="A68:E68"/>
    <mergeCell ref="G68:K68"/>
    <mergeCell ref="A75:E75"/>
    <mergeCell ref="G75:K75"/>
    <mergeCell ref="A82:E82"/>
    <mergeCell ref="G82:K82"/>
    <mergeCell ref="A46:E46"/>
    <mergeCell ref="G46:K46"/>
    <mergeCell ref="A53:E53"/>
    <mergeCell ref="G53:K53"/>
    <mergeCell ref="A60:E60"/>
    <mergeCell ref="G60:K60"/>
    <mergeCell ref="A24:E24"/>
    <mergeCell ref="G24:K24"/>
    <mergeCell ref="A31:E31"/>
    <mergeCell ref="G31:K31"/>
    <mergeCell ref="A38:E38"/>
    <mergeCell ref="G38:K38"/>
    <mergeCell ref="A2:E2"/>
    <mergeCell ref="G2:K2"/>
    <mergeCell ref="A9:E9"/>
    <mergeCell ref="G9:K9"/>
    <mergeCell ref="A16:E16"/>
    <mergeCell ref="G16:K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2024-11-20T09:06:00Z</dcterms:created>
  <dcterms:modified xsi:type="dcterms:W3CDTF">2025-11-28T15:03:23Z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5FD442E0A09B4A2BAB0F64931901C45A_11</vt:lpwstr>
  </property>
  <property fmtid="{D5CDD505-2E9C-101B-9397-08002B2CF9AE}" pid="3" name="KSOProductBuildVer">
    <vt:lpwstr>2052-12.1.0.19302</vt:lpwstr>
  </property>
</Properties>
</file>