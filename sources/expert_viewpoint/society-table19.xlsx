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_or_Individual2">'[1]2a. Coverage General Recovery'!$E$3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I70" i="1"/>
  <c r="H70" i="1"/>
  <c r="A70" i="1"/>
  <c r="J69" i="1"/>
  <c r="I69" i="1"/>
  <c r="H69" i="1"/>
  <c r="A69" i="1"/>
  <c r="J68" i="1"/>
  <c r="I68" i="1"/>
  <c r="H68" i="1"/>
  <c r="A68" i="1"/>
  <c r="J67" i="1"/>
  <c r="I67" i="1"/>
  <c r="H67" i="1"/>
  <c r="A67" i="1"/>
  <c r="J66" i="1"/>
  <c r="I66" i="1"/>
  <c r="H66" i="1"/>
  <c r="A66" i="1"/>
  <c r="J65" i="1"/>
  <c r="I65" i="1"/>
  <c r="H65" i="1"/>
  <c r="A65" i="1"/>
  <c r="J64" i="1"/>
  <c r="I64" i="1"/>
  <c r="H64" i="1"/>
  <c r="A64" i="1"/>
  <c r="J63" i="1"/>
  <c r="I63" i="1"/>
  <c r="H63" i="1"/>
  <c r="A63" i="1"/>
  <c r="J62" i="1"/>
  <c r="I62" i="1"/>
  <c r="H62" i="1"/>
  <c r="A62" i="1"/>
  <c r="J61" i="1"/>
  <c r="I61" i="1"/>
  <c r="H61" i="1"/>
  <c r="A61" i="1"/>
  <c r="J60" i="1"/>
  <c r="I60" i="1"/>
  <c r="H60" i="1"/>
  <c r="A60" i="1"/>
  <c r="J59" i="1"/>
  <c r="I59" i="1"/>
  <c r="H59" i="1"/>
  <c r="A59" i="1"/>
  <c r="J58" i="1"/>
  <c r="I58" i="1"/>
  <c r="H58" i="1"/>
  <c r="J57" i="1"/>
  <c r="I57" i="1"/>
  <c r="H57" i="1"/>
  <c r="A57" i="1"/>
  <c r="J56" i="1"/>
  <c r="I56" i="1"/>
  <c r="H56" i="1"/>
  <c r="A56" i="1"/>
  <c r="J55" i="1"/>
  <c r="I55" i="1"/>
  <c r="H55" i="1"/>
  <c r="A55" i="1"/>
  <c r="J54" i="1"/>
  <c r="I54" i="1"/>
  <c r="H54" i="1"/>
  <c r="A54" i="1"/>
  <c r="J53" i="1"/>
  <c r="I53" i="1"/>
  <c r="H53" i="1"/>
  <c r="A53" i="1"/>
  <c r="J52" i="1"/>
  <c r="I52" i="1"/>
  <c r="H52" i="1"/>
  <c r="A52" i="1"/>
  <c r="J50" i="1"/>
  <c r="I50" i="1"/>
  <c r="H50" i="1"/>
  <c r="A50" i="1"/>
  <c r="J49" i="1"/>
  <c r="I49" i="1"/>
  <c r="H49" i="1"/>
  <c r="J48" i="1"/>
  <c r="I48" i="1"/>
  <c r="H48" i="1"/>
  <c r="A48" i="1"/>
  <c r="J47" i="1"/>
  <c r="I47" i="1"/>
  <c r="H47" i="1"/>
  <c r="A47" i="1"/>
  <c r="J46" i="1"/>
  <c r="I46" i="1"/>
  <c r="H46" i="1"/>
  <c r="J45" i="1"/>
  <c r="I45" i="1"/>
  <c r="H45" i="1"/>
  <c r="A45" i="1"/>
  <c r="J44" i="1"/>
  <c r="I44" i="1"/>
  <c r="H44" i="1"/>
  <c r="A44" i="1"/>
  <c r="J43" i="1"/>
  <c r="I43" i="1"/>
  <c r="H43" i="1"/>
  <c r="A43" i="1"/>
  <c r="J42" i="1"/>
  <c r="I42" i="1"/>
  <c r="H42" i="1"/>
  <c r="J41" i="1"/>
  <c r="A41" i="1"/>
  <c r="J40" i="1"/>
  <c r="A40" i="1"/>
  <c r="J39" i="1"/>
  <c r="I39" i="1"/>
  <c r="H39" i="1"/>
  <c r="J38" i="1"/>
  <c r="I38" i="1"/>
  <c r="H38" i="1"/>
  <c r="A38" i="1"/>
  <c r="J37" i="1"/>
  <c r="I37" i="1"/>
  <c r="H37" i="1"/>
  <c r="A37" i="1"/>
  <c r="J36" i="1"/>
  <c r="I36" i="1"/>
  <c r="H36" i="1"/>
  <c r="A36" i="1"/>
  <c r="J35" i="1"/>
  <c r="I35" i="1"/>
  <c r="H35" i="1"/>
  <c r="A35" i="1"/>
  <c r="J34" i="1"/>
  <c r="I34" i="1"/>
  <c r="H34" i="1"/>
  <c r="J33" i="1"/>
  <c r="I33" i="1"/>
  <c r="H33" i="1"/>
  <c r="A33" i="1"/>
  <c r="J32" i="1"/>
  <c r="I32" i="1"/>
  <c r="H32" i="1"/>
  <c r="A32" i="1"/>
  <c r="J31" i="1"/>
  <c r="I31" i="1"/>
  <c r="H31" i="1"/>
  <c r="J30" i="1"/>
  <c r="I30" i="1"/>
  <c r="H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J17" i="1"/>
  <c r="I17" i="1"/>
  <c r="H17" i="1"/>
  <c r="A17" i="1"/>
  <c r="J16" i="1"/>
  <c r="I16" i="1"/>
  <c r="H16" i="1"/>
  <c r="A16" i="1"/>
  <c r="J15" i="1"/>
  <c r="I15" i="1"/>
  <c r="H15" i="1"/>
  <c r="A15" i="1"/>
  <c r="J14" i="1"/>
  <c r="I14" i="1"/>
  <c r="H14" i="1"/>
  <c r="A14" i="1"/>
  <c r="J13" i="1"/>
  <c r="I13" i="1"/>
  <c r="H13" i="1"/>
  <c r="A13" i="1"/>
  <c r="J12" i="1"/>
  <c r="I12" i="1"/>
  <c r="H12" i="1"/>
  <c r="A12" i="1"/>
  <c r="J11" i="1"/>
  <c r="I11" i="1"/>
  <c r="H11" i="1"/>
  <c r="A11" i="1"/>
  <c r="J10" i="1"/>
  <c r="I10" i="1"/>
  <c r="H10" i="1"/>
  <c r="A10" i="1"/>
  <c r="J9" i="1"/>
  <c r="I9" i="1"/>
  <c r="H9" i="1"/>
  <c r="A9" i="1"/>
  <c r="J8" i="1"/>
  <c r="I8" i="1"/>
  <c r="H8" i="1"/>
  <c r="A8" i="1"/>
  <c r="J7" i="1"/>
  <c r="I7" i="1"/>
  <c r="H7" i="1"/>
  <c r="A7" i="1"/>
  <c r="J6" i="1"/>
  <c r="I6" i="1"/>
  <c r="H6" i="1"/>
  <c r="J5" i="1"/>
  <c r="I5" i="1"/>
  <c r="H5" i="1"/>
  <c r="J4" i="1"/>
  <c r="I4" i="1"/>
  <c r="H4" i="1"/>
</calcChain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<sst xmlns="http://schemas.openxmlformats.org/spreadsheetml/2006/main" count="92" uniqueCount="87">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</sst>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_);[Red]\(#,##0.0\)"/>
  </numFmts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5" fillId="0" borderId="0"/>
  </cellStyleXfs>
  <cellXfs count="6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2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68" fontId="5" fillId="0" borderId="1" xfId="0" applyNumberFormat="1" applyFont="1" applyFill="1" applyBorder="1" applyAlignment="1"/>
    <xf numFmtId="0" fontId="7" fillId="4" borderId="1" xfId="1" applyFont="1" applyFill="1" applyBorder="1"/>
    <xf numFmtId="0" fontId="7" fillId="4" borderId="3" xfId="1" applyFont="1" applyFill="1" applyBorder="1"/>
    <xf numFmtId="0" fontId="7" fillId="4" borderId="4" xfId="1" applyFont="1" applyFill="1" applyBorder="1"/>
    <xf numFmtId="0" fontId="7" fillId="5" borderId="1" xfId="1" applyFont="1" applyFill="1" applyBorder="1"/>
    <xf numFmtId="0" fontId="5" fillId="5" borderId="3" xfId="0" applyFont="1" applyFill="1" applyBorder="1" applyAlignment="1"/>
    <xf numFmtId="0" fontId="5" fillId="5" borderId="4" xfId="0" applyFont="1" applyFill="1" applyBorder="1" applyAlignment="1"/>
    <xf numFmtId="0" fontId="7" fillId="5" borderId="1" xfId="1" applyFont="1" applyFill="1" applyBorder="1" applyAlignment="1">
      <alignment horizontal="right"/>
    </xf>
    <xf numFmtId="0" fontId="5" fillId="3" borderId="7" xfId="0" applyFont="1" applyFill="1" applyBorder="1" applyAlignment="1"/>
    <xf numFmtId="0" fontId="7" fillId="3" borderId="7" xfId="1" applyFont="1" applyFill="1" applyBorder="1"/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5" fillId="3" borderId="3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 indent="1"/>
    </xf>
    <xf numFmtId="0" fontId="7" fillId="6" borderId="8" xfId="1" applyFont="1" applyFill="1" applyBorder="1"/>
    <xf numFmtId="0" fontId="7" fillId="6" borderId="3" xfId="1" applyFont="1" applyFill="1" applyBorder="1"/>
    <xf numFmtId="0" fontId="7" fillId="6" borderId="4" xfId="1" applyFont="1" applyFill="1" applyBorder="1"/>
    <xf numFmtId="0" fontId="5" fillId="6" borderId="7" xfId="0" applyFont="1" applyFill="1" applyBorder="1" applyAlignment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5" fillId="7" borderId="7" xfId="0" applyFont="1" applyFill="1" applyBorder="1" applyAlignment="1"/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9" fillId="7" borderId="3" xfId="0" applyFont="1" applyFill="1" applyBorder="1" applyAlignment="1"/>
    <xf numFmtId="0" fontId="9" fillId="7" borderId="4" xfId="0" applyFont="1" applyFill="1" applyBorder="1" applyAlignment="1"/>
    <xf numFmtId="0" fontId="5" fillId="7" borderId="3" xfId="0" applyFont="1" applyFill="1" applyBorder="1" applyAlignment="1">
      <alignment horizontal="left" indent="1"/>
    </xf>
    <xf numFmtId="0" fontId="5" fillId="7" borderId="4" xfId="0" applyFont="1" applyFill="1" applyBorder="1" applyAlignment="1">
      <alignment horizontal="left" indent="1"/>
    </xf>
    <xf numFmtId="0" fontId="5" fillId="8" borderId="1" xfId="0" applyFont="1" applyFill="1" applyBorder="1" applyAlignment="1">
      <alignment horizontal="right"/>
    </xf>
    <xf numFmtId="0" fontId="5" fillId="8" borderId="3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left"/>
    </xf>
    <xf numFmtId="168" fontId="5" fillId="0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right"/>
    </xf>
    <xf numFmtId="0" fontId="5" fillId="9" borderId="10" xfId="0" applyFont="1" applyFill="1" applyBorder="1" applyAlignment="1">
      <alignment horizontal="left"/>
    </xf>
    <xf numFmtId="0" fontId="5" fillId="9" borderId="11" xfId="0" applyFont="1" applyFill="1" applyBorder="1" applyAlignment="1">
      <alignment horizontal="left"/>
    </xf>
    <xf numFmtId="0" fontId="7" fillId="10" borderId="1" xfId="1" applyFont="1" applyFill="1" applyBorder="1"/>
    <xf numFmtId="0" fontId="5" fillId="10" borderId="1" xfId="0" applyFont="1" applyFill="1" applyBorder="1" applyAlignment="1"/>
    <xf numFmtId="0" fontId="6" fillId="10" borderId="1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/>
    <xf numFmtId="0" fontId="5" fillId="10" borderId="4" xfId="0" applyFont="1" applyFill="1" applyBorder="1" applyAlignment="1"/>
    <xf numFmtId="0" fontId="1" fillId="11" borderId="0" xfId="0" applyFont="1" applyFill="1" applyAlignment="1">
      <alignment vertical="center"/>
    </xf>
    <xf numFmtId="0" fontId="4" fillId="0" borderId="0" xfId="0" applyFont="1" applyFill="1" applyAlignment="1"/>
    <xf numFmtId="0" fontId="6" fillId="12" borderId="1" xfId="2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vertical="center"/>
    </xf>
    <xf numFmtId="0" fontId="6" fillId="12" borderId="1" xfId="2" applyFont="1" applyFill="1" applyBorder="1" applyAlignment="1">
      <alignment horizontal="center" vertical="center"/>
    </xf>
    <xf numFmtId="0" fontId="7" fillId="12" borderId="2" xfId="1" applyFont="1" applyFill="1" applyBorder="1"/>
    <xf numFmtId="0" fontId="6" fillId="12" borderId="5" xfId="2" applyFont="1" applyFill="1" applyBorder="1" applyAlignment="1">
      <alignment horizontal="center" vertical="center"/>
    </xf>
    <xf numFmtId="0" fontId="5" fillId="12" borderId="2" xfId="0" applyFont="1" applyFill="1" applyBorder="1" applyAlignment="1"/>
    <xf numFmtId="0" fontId="6" fillId="12" borderId="6" xfId="2" applyFont="1" applyFill="1" applyBorder="1" applyAlignment="1">
      <alignment horizontal="center" vertical="center"/>
    </xf>
    <xf numFmtId="0" fontId="5" fillId="12" borderId="7" xfId="0" applyFont="1" applyFill="1" applyBorder="1" applyAlignment="1"/>
    <xf numFmtId="0" fontId="5" fillId="12" borderId="2" xfId="0" applyFont="1" applyFill="1" applyBorder="1" applyAlignment="1">
      <alignment horizontal="left"/>
    </xf>
    <xf numFmtId="0" fontId="8" fillId="12" borderId="2" xfId="0" applyFont="1" applyFill="1" applyBorder="1" applyAlignment="1"/>
    <xf numFmtId="0" fontId="5" fillId="12" borderId="2" xfId="0" applyFont="1" applyFill="1" applyBorder="1" applyAlignment="1">
      <alignment horizontal="left" indent="1"/>
    </xf>
    <xf numFmtId="0" fontId="6" fillId="12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/>
    <xf numFmtId="0" fontId="6" fillId="12" borderId="1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left"/>
    </xf>
    <xf numFmtId="0" fontId="4" fillId="13" borderId="0" xfId="0" applyFont="1" applyFill="1" applyAlignment="1">
      <alignment horizontal="center" vertical="center" wrapText="1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R70"/>
  <sheetViews>
    <sheetView tabSelected="1" topLeftCell="E1" workbookViewId="0">
      <selection activeCell="I10" sqref="I10"/>
    </sheetView>
  </sheetViews>
  <sheetFormatPr defaultColWidth="9.81640625" defaultRowHeight="14.5"/>
  <cols>
    <col min="1" max="1" width="3.54296875" style="1" customWidth="1"/>
    <col min="2" max="2" width="9.1796875" style="1" customWidth="1"/>
    <col min="3" max="3" width="6.36328125" style="1" customWidth="1"/>
    <col min="4" max="4" width="29.90625" style="1" customWidth="1"/>
    <col min="5" max="5" width="69.26953125" style="1" customWidth="1"/>
    <col min="6" max="7" width="13.90625" style="1" customWidth="1"/>
    <col min="8" max="8" width="16.6328125" style="1" customWidth="1"/>
    <col min="9" max="9" width="16.08984375" style="1" customWidth="1"/>
    <col min="10" max="10" width="10.90625" style="1" customWidth="1"/>
    <col min="11" max="12" width="9.90625" style="1" customWidth="1"/>
    <col min="13" max="16372" width="9.81640625" style="1"/>
  </cols>
  <sheetData>
    <row r="1" spans="1:10" s="1" customFormat="1" ht="20">
      <c r="A1" s="2"/>
      <c r="D1" s="50" t="s">
        <v>0</v>
      </c>
    </row>
    <row r="2" spans="1:10" s="1" customFormat="1">
      <c r="A2" s="3" t="s">
        <v>1</v>
      </c>
      <c r="B2" s="3"/>
      <c r="C2" s="3"/>
    </row>
    <row r="3" spans="1:10" s="1" customFormat="1" ht="50">
      <c r="A3" s="4" t="s">
        <v>2</v>
      </c>
      <c r="B3" s="4" t="s">
        <v>3</v>
      </c>
      <c r="C3" s="4" t="s">
        <v>4</v>
      </c>
      <c r="D3" s="51"/>
      <c r="E3" s="51"/>
      <c r="F3" s="51"/>
      <c r="G3" s="51"/>
      <c r="H3" s="67" t="s">
        <v>5</v>
      </c>
      <c r="I3" s="67" t="s">
        <v>6</v>
      </c>
      <c r="J3" s="67" t="s">
        <v>7</v>
      </c>
    </row>
    <row r="4" spans="1:10" s="1" customFormat="1">
      <c r="A4" s="5" t="s">
        <v>8</v>
      </c>
      <c r="B4" s="6">
        <v>0</v>
      </c>
      <c r="C4" s="6">
        <v>0</v>
      </c>
      <c r="D4" s="52" t="s">
        <v>9</v>
      </c>
      <c r="E4" s="53" t="s">
        <v>10</v>
      </c>
      <c r="F4" s="7"/>
      <c r="G4" s="8"/>
      <c r="H4" s="9">
        <f>VLOOKUP(B4,'[1]6. Lives Saved with Mitigation'!$B$15:$I$81,8,FALSE)</f>
        <v>7</v>
      </c>
      <c r="I4" s="9">
        <f>-VLOOKUP($B4,'[1]Detailed COVID Calculations - 2'!$B$5:$AC$88,28,FALSE)</f>
        <v>-6.3533805825731804</v>
      </c>
      <c r="J4" s="41">
        <f t="shared" ref="J4:J50" si="0">IFERROR(H4/-I4,"NA")</f>
        <v>1.10177564668492</v>
      </c>
    </row>
    <row r="5" spans="1:10" s="1" customFormat="1">
      <c r="A5" s="5" t="s">
        <v>8</v>
      </c>
      <c r="B5" s="10">
        <v>9</v>
      </c>
      <c r="C5" s="10">
        <v>14</v>
      </c>
      <c r="D5" s="54" t="s">
        <v>11</v>
      </c>
      <c r="E5" s="55" t="s">
        <v>12</v>
      </c>
      <c r="F5" s="11"/>
      <c r="G5" s="12"/>
      <c r="H5" s="9">
        <f>VLOOKUP(B5,'[1]6. Lives Saved with Mitigation'!$B$15:$I$81,8,FALSE)</f>
        <v>0</v>
      </c>
      <c r="I5" s="9">
        <f>-VLOOKUP($B5,'[1]Detailed COVID Calculations - 2'!$B$5:$AC$88,28,FALSE)</f>
        <v>-2.2800157013136002</v>
      </c>
      <c r="J5" s="41">
        <f t="shared" si="0"/>
        <v>0</v>
      </c>
    </row>
    <row r="6" spans="1:10" s="1" customFormat="1">
      <c r="A6" s="5" t="s">
        <v>8</v>
      </c>
      <c r="B6" s="10">
        <v>10</v>
      </c>
      <c r="C6" s="10">
        <v>15</v>
      </c>
      <c r="D6" s="54"/>
      <c r="E6" s="55" t="s">
        <v>13</v>
      </c>
      <c r="F6" s="11"/>
      <c r="G6" s="12"/>
      <c r="H6" s="9">
        <f>VLOOKUP(B6,'[1]6. Lives Saved with Mitigation'!$B$15:$I$81,8,FALSE)</f>
        <v>0</v>
      </c>
      <c r="I6" s="9">
        <f>-VLOOKUP($B6,'[1]Detailed COVID Calculations - 2'!$B$5:$AC$88,28,FALSE)</f>
        <v>-10.036240628467</v>
      </c>
      <c r="J6" s="41">
        <f t="shared" si="0"/>
        <v>0</v>
      </c>
    </row>
    <row r="7" spans="1:10" s="1" customFormat="1">
      <c r="A7" s="5" t="str">
        <f>IF(VLOOKUP(B7,'[1]1. Select Services'!$A$6:$E$77,5,FALSE)="x","x","")</f>
        <v>x</v>
      </c>
      <c r="B7" s="10">
        <v>11</v>
      </c>
      <c r="C7" s="10">
        <v>16</v>
      </c>
      <c r="D7" s="54"/>
      <c r="E7" s="55" t="s">
        <v>14</v>
      </c>
      <c r="F7" s="11"/>
      <c r="G7" s="12"/>
      <c r="H7" s="9">
        <f>VLOOKUP(B7,'[1]6. Lives Saved with Mitigation'!$B$15:$I$81,8,FALSE)</f>
        <v>81</v>
      </c>
      <c r="I7" s="9">
        <f>-VLOOKUP($B7,'[1]Detailed COVID Calculations - 2'!$B$5:$AC$88,28,FALSE)</f>
        <v>-3.7033548296157202</v>
      </c>
      <c r="J7" s="41">
        <f t="shared" si="0"/>
        <v>21.872060260670398</v>
      </c>
    </row>
    <row r="8" spans="1:10" s="1" customFormat="1">
      <c r="A8" s="5" t="str">
        <f>IF(VLOOKUP(B8,'[1]1. Select Services'!$A$6:$E$77,5,FALSE)="x","x","")</f>
        <v>x</v>
      </c>
      <c r="B8" s="10">
        <v>12</v>
      </c>
      <c r="C8" s="10">
        <v>17</v>
      </c>
      <c r="D8" s="54"/>
      <c r="E8" s="55" t="s">
        <v>15</v>
      </c>
      <c r="F8" s="11"/>
      <c r="G8" s="12"/>
      <c r="H8" s="9">
        <f>VLOOKUP(B8,'[1]6. Lives Saved with Mitigation'!$B$15:$I$81,8,FALSE)</f>
        <v>0</v>
      </c>
      <c r="I8" s="9">
        <f>-VLOOKUP($B8,'[1]Detailed COVID Calculations - 2'!$B$5:$AC$88,28,FALSE)</f>
        <v>0</v>
      </c>
      <c r="J8" s="41" t="str">
        <f t="shared" si="0"/>
        <v>NA</v>
      </c>
    </row>
    <row r="9" spans="1:10" s="1" customFormat="1">
      <c r="A9" s="5" t="str">
        <f>IF(VLOOKUP(B9,'[1]1. Select Services'!$A$6:$E$77,5,FALSE)="x","x","")</f>
        <v>x</v>
      </c>
      <c r="B9" s="10">
        <v>13</v>
      </c>
      <c r="C9" s="10">
        <v>18</v>
      </c>
      <c r="D9" s="54"/>
      <c r="E9" s="55" t="s">
        <v>16</v>
      </c>
      <c r="F9" s="11"/>
      <c r="G9" s="12"/>
      <c r="H9" s="9">
        <f>VLOOKUP(B9,'[1]6. Lives Saved with Mitigation'!$B$15:$I$81,8,FALSE)</f>
        <v>0</v>
      </c>
      <c r="I9" s="9">
        <f>-VLOOKUP($B9,'[1]Detailed COVID Calculations - 2'!$B$5:$AC$88,28,FALSE)</f>
        <v>-1.0719081594617299</v>
      </c>
      <c r="J9" s="41">
        <f t="shared" si="0"/>
        <v>0</v>
      </c>
    </row>
    <row r="10" spans="1:10" s="1" customFormat="1">
      <c r="A10" s="5" t="str">
        <f>IF(VLOOKUP(B10,'[1]1. Select Services'!$A$6:$E$77,5,FALSE)="x","x","")</f>
        <v/>
      </c>
      <c r="B10" s="10">
        <v>14</v>
      </c>
      <c r="C10" s="10">
        <v>19</v>
      </c>
      <c r="D10" s="54"/>
      <c r="E10" s="55" t="s">
        <v>17</v>
      </c>
      <c r="F10" s="11"/>
      <c r="G10" s="12"/>
      <c r="H10" s="9">
        <f>VLOOKUP(B10,'[1]6. Lives Saved with Mitigation'!$B$15:$I$81,8,FALSE)</f>
        <v>0</v>
      </c>
      <c r="I10" s="9">
        <f>-VLOOKUP($B10,'[1]Detailed COVID Calculations - 2'!$B$5:$AC$88,28,FALSE)</f>
        <v>0</v>
      </c>
      <c r="J10" s="41" t="str">
        <f t="shared" si="0"/>
        <v>NA</v>
      </c>
    </row>
    <row r="11" spans="1:10" s="1" customFormat="1">
      <c r="A11" s="5" t="str">
        <f>IF(VLOOKUP(B11,'[1]1. Select Services'!$A$6:$E$77,5,FALSE)="x","x","")</f>
        <v>x</v>
      </c>
      <c r="B11" s="10">
        <v>15</v>
      </c>
      <c r="C11" s="10">
        <v>20</v>
      </c>
      <c r="D11" s="54"/>
      <c r="E11" s="55" t="s">
        <v>18</v>
      </c>
      <c r="F11" s="11"/>
      <c r="G11" s="12"/>
      <c r="H11" s="9">
        <f>VLOOKUP(B11,'[1]6. Lives Saved with Mitigation'!$B$15:$I$81,8,FALSE)</f>
        <v>0</v>
      </c>
      <c r="I11" s="9">
        <f>-VLOOKUP($B11,'[1]Detailed COVID Calculations - 2'!$B$5:$AC$88,28,FALSE)</f>
        <v>0</v>
      </c>
      <c r="J11" s="41" t="str">
        <f t="shared" si="0"/>
        <v>NA</v>
      </c>
    </row>
    <row r="12" spans="1:10" s="1" customFormat="1">
      <c r="A12" s="5" t="str">
        <f>IF(VLOOKUP(B12,'[1]1. Select Services'!$A$6:$E$77,5,FALSE)="x","x","")</f>
        <v>x</v>
      </c>
      <c r="B12" s="10">
        <v>16</v>
      </c>
      <c r="C12" s="10">
        <v>21</v>
      </c>
      <c r="D12" s="54"/>
      <c r="E12" s="55" t="s">
        <v>19</v>
      </c>
      <c r="F12" s="11"/>
      <c r="G12" s="12"/>
      <c r="H12" s="9">
        <f>VLOOKUP(B12,'[1]6. Lives Saved with Mitigation'!$B$15:$I$81,8,FALSE)</f>
        <v>0</v>
      </c>
      <c r="I12" s="9">
        <f>-VLOOKUP($B12,'[1]Detailed COVID Calculations - 2'!$B$5:$AC$88,28,FALSE)</f>
        <v>0</v>
      </c>
      <c r="J12" s="41" t="str">
        <f t="shared" si="0"/>
        <v>NA</v>
      </c>
    </row>
    <row r="13" spans="1:10" s="1" customFormat="1">
      <c r="A13" s="5" t="str">
        <f>IF(VLOOKUP(B13,'[1]1. Select Services'!$A$6:$E$77,5,FALSE)="x","x","")</f>
        <v>x</v>
      </c>
      <c r="B13" s="10">
        <v>17</v>
      </c>
      <c r="C13" s="10">
        <v>22</v>
      </c>
      <c r="D13" s="54"/>
      <c r="E13" s="55" t="s">
        <v>20</v>
      </c>
      <c r="F13" s="11"/>
      <c r="G13" s="12"/>
      <c r="H13" s="9">
        <f>VLOOKUP(B13,'[1]6. Lives Saved with Mitigation'!$B$15:$I$81,8,FALSE)</f>
        <v>0</v>
      </c>
      <c r="I13" s="9">
        <f>-VLOOKUP($B13,'[1]Detailed COVID Calculations - 2'!$B$5:$AC$88,28,FALSE)</f>
        <v>0</v>
      </c>
      <c r="J13" s="41" t="str">
        <f t="shared" si="0"/>
        <v>NA</v>
      </c>
    </row>
    <row r="14" spans="1:10" s="1" customFormat="1">
      <c r="A14" s="5" t="str">
        <f>IF(VLOOKUP(B14,'[1]1. Select Services'!$A$6:$E$77,5,FALSE)="x","x","")</f>
        <v>x</v>
      </c>
      <c r="B14" s="10">
        <v>18</v>
      </c>
      <c r="C14" s="10">
        <v>23</v>
      </c>
      <c r="D14" s="54"/>
      <c r="E14" s="55" t="s">
        <v>21</v>
      </c>
      <c r="F14" s="11"/>
      <c r="G14" s="12"/>
      <c r="H14" s="9">
        <f>VLOOKUP(B14,'[1]6. Lives Saved with Mitigation'!$B$15:$I$81,8,FALSE)</f>
        <v>3</v>
      </c>
      <c r="I14" s="9">
        <f>-VLOOKUP($B14,'[1]Detailed COVID Calculations - 2'!$B$5:$AC$88,28,FALSE)</f>
        <v>-7.8972637546186594E-2</v>
      </c>
      <c r="J14" s="41">
        <f t="shared" si="0"/>
        <v>37.9878410195616</v>
      </c>
    </row>
    <row r="15" spans="1:10" s="1" customFormat="1">
      <c r="A15" s="5" t="str">
        <f>IF(VLOOKUP(B15,'[1]1. Select Services'!$A$6:$E$77,5,FALSE)="x","x","")</f>
        <v>x</v>
      </c>
      <c r="B15" s="10">
        <v>19</v>
      </c>
      <c r="C15" s="10">
        <v>24</v>
      </c>
      <c r="D15" s="54"/>
      <c r="E15" s="55" t="s">
        <v>22</v>
      </c>
      <c r="F15" s="11"/>
      <c r="G15" s="12"/>
      <c r="H15" s="9">
        <f>VLOOKUP(B15,'[1]6. Lives Saved with Mitigation'!$B$15:$I$81,8,FALSE)</f>
        <v>0</v>
      </c>
      <c r="I15" s="9">
        <f>-VLOOKUP($B15,'[1]Detailed COVID Calculations - 2'!$B$5:$AC$88,28,FALSE)</f>
        <v>-9.2353044038716206E-2</v>
      </c>
      <c r="J15" s="41">
        <f t="shared" si="0"/>
        <v>0</v>
      </c>
    </row>
    <row r="16" spans="1:10" s="1" customFormat="1">
      <c r="A16" s="5" t="str">
        <f>IF(VLOOKUP(B16,'[1]1. Select Services'!$A$6:$E$77,5,FALSE)="x","x","")</f>
        <v>x</v>
      </c>
      <c r="B16" s="10">
        <v>20</v>
      </c>
      <c r="C16" s="10">
        <v>25</v>
      </c>
      <c r="D16" s="54"/>
      <c r="E16" s="55" t="s">
        <v>23</v>
      </c>
      <c r="F16" s="11"/>
      <c r="G16" s="12"/>
      <c r="H16" s="9">
        <f>VLOOKUP(B16,'[1]6. Lives Saved with Mitigation'!$B$15:$I$81,8,FALSE)</f>
        <v>1</v>
      </c>
      <c r="I16" s="9">
        <f>-VLOOKUP($B16,'[1]Detailed COVID Calculations - 2'!$B$5:$AC$88,28,FALSE)</f>
        <v>-9.7103250947149694E-2</v>
      </c>
      <c r="J16" s="41">
        <f t="shared" si="0"/>
        <v>10.2983163822627</v>
      </c>
    </row>
    <row r="17" spans="1:10" s="1" customFormat="1">
      <c r="A17" s="5" t="str">
        <f>IF(VLOOKUP(B17,'[1]1. Select Services'!$A$6:$E$77,5,FALSE)="x","x","")</f>
        <v>x</v>
      </c>
      <c r="B17" s="10">
        <v>21</v>
      </c>
      <c r="C17" s="10">
        <v>26</v>
      </c>
      <c r="D17" s="54"/>
      <c r="E17" s="55" t="s">
        <v>24</v>
      </c>
      <c r="F17" s="11"/>
      <c r="G17" s="12"/>
      <c r="H17" s="9">
        <f>VLOOKUP(B17,'[1]6. Lives Saved with Mitigation'!$B$15:$I$81,8,FALSE)</f>
        <v>7</v>
      </c>
      <c r="I17" s="9">
        <f>-VLOOKUP($B17,'[1]Detailed COVID Calculations - 2'!$B$5:$AC$88,28,FALSE)</f>
        <v>-6.7242552724707198E-3</v>
      </c>
      <c r="J17" s="41">
        <f t="shared" si="0"/>
        <v>1041.0074746356199</v>
      </c>
    </row>
    <row r="18" spans="1:10" s="1" customFormat="1">
      <c r="A18" s="5" t="s">
        <v>8</v>
      </c>
      <c r="B18" s="13">
        <v>22</v>
      </c>
      <c r="C18" s="13">
        <v>27</v>
      </c>
      <c r="D18" s="56" t="s">
        <v>25</v>
      </c>
      <c r="E18" s="57" t="s">
        <v>26</v>
      </c>
      <c r="F18" s="14"/>
      <c r="G18" s="15"/>
      <c r="H18" s="9">
        <f>VLOOKUP(B18,'[1]6. Lives Saved with Mitigation'!$B$15:$I$81,8,FALSE)</f>
        <v>0</v>
      </c>
      <c r="I18" s="9">
        <f>-VLOOKUP($B18,'[1]Detailed COVID Calculations - 2'!$B$5:$AC$88,28,FALSE)</f>
        <v>-2.6203606491954199</v>
      </c>
      <c r="J18" s="41">
        <f t="shared" si="0"/>
        <v>0</v>
      </c>
    </row>
    <row r="19" spans="1:10" s="1" customFormat="1">
      <c r="A19" s="5" t="str">
        <f>IF(VLOOKUP(B19,'[1]1. Select Services'!$A$6:$E$77,5,FALSE)="x","x","")</f>
        <v>x</v>
      </c>
      <c r="B19" s="16">
        <v>23</v>
      </c>
      <c r="C19" s="16">
        <v>28</v>
      </c>
      <c r="D19" s="58"/>
      <c r="E19" s="59" t="s">
        <v>27</v>
      </c>
      <c r="F19" s="14"/>
      <c r="G19" s="15"/>
      <c r="H19" s="9">
        <f>VLOOKUP(B19,'[1]6. Lives Saved with Mitigation'!$B$15:$I$81,8,FALSE)</f>
        <v>39</v>
      </c>
      <c r="I19" s="9">
        <f>-VLOOKUP($B19,'[1]Detailed COVID Calculations - 2'!$B$5:$AC$88,28,FALSE)</f>
        <v>-9.9872727539147804E-2</v>
      </c>
      <c r="J19" s="41">
        <f t="shared" si="0"/>
        <v>390.49699513526298</v>
      </c>
    </row>
    <row r="20" spans="1:10" s="1" customFormat="1">
      <c r="A20" s="5" t="str">
        <f>IF(VLOOKUP(B20,'[1]1. Select Services'!$A$6:$E$77,5,FALSE)="x","x","")</f>
        <v>x</v>
      </c>
      <c r="B20" s="16">
        <v>24</v>
      </c>
      <c r="C20" s="16">
        <v>32</v>
      </c>
      <c r="D20" s="58"/>
      <c r="E20" s="59" t="s">
        <v>28</v>
      </c>
      <c r="F20" s="14"/>
      <c r="G20" s="15"/>
      <c r="H20" s="9">
        <f>VLOOKUP(B20,'[1]6. Lives Saved with Mitigation'!$B$15:$I$81,8,FALSE)</f>
        <v>2</v>
      </c>
      <c r="I20" s="9">
        <f>-VLOOKUP($B20,'[1]Detailed COVID Calculations - 2'!$B$5:$AC$88,28,FALSE)</f>
        <v>-1.86834983899851E-2</v>
      </c>
      <c r="J20" s="41">
        <f t="shared" si="0"/>
        <v>107.046333521352</v>
      </c>
    </row>
    <row r="21" spans="1:10" s="1" customFormat="1">
      <c r="A21" s="5" t="str">
        <f>IF(VLOOKUP(B21,'[1]1. Select Services'!$A$6:$E$77,5,FALSE)="x","x","")</f>
        <v>x</v>
      </c>
      <c r="B21" s="16">
        <v>25</v>
      </c>
      <c r="C21" s="16">
        <v>33</v>
      </c>
      <c r="D21" s="58"/>
      <c r="E21" s="59" t="s">
        <v>29</v>
      </c>
      <c r="F21" s="14"/>
      <c r="G21" s="15"/>
      <c r="H21" s="9">
        <f>VLOOKUP(B21,'[1]6. Lives Saved with Mitigation'!$B$15:$I$81,8,FALSE)</f>
        <v>0</v>
      </c>
      <c r="I21" s="9">
        <f>-VLOOKUP($B21,'[1]Detailed COVID Calculations - 2'!$B$5:$AC$88,28,FALSE)</f>
        <v>-1.1307621891528299E-2</v>
      </c>
      <c r="J21" s="41">
        <f t="shared" si="0"/>
        <v>0</v>
      </c>
    </row>
    <row r="22" spans="1:10" s="1" customFormat="1">
      <c r="A22" s="5" t="str">
        <f>IF(VLOOKUP(B22,'[1]1. Select Services'!$A$6:$E$77,5,FALSE)="x","x","")</f>
        <v>x</v>
      </c>
      <c r="B22" s="16">
        <v>26</v>
      </c>
      <c r="C22" s="16">
        <v>34</v>
      </c>
      <c r="D22" s="58"/>
      <c r="E22" s="59" t="s">
        <v>30</v>
      </c>
      <c r="F22" s="14"/>
      <c r="G22" s="15"/>
      <c r="H22" s="9">
        <f>VLOOKUP(B22,'[1]6. Lives Saved with Mitigation'!$B$15:$I$81,8,FALSE)</f>
        <v>22</v>
      </c>
      <c r="I22" s="9">
        <f>-VLOOKUP($B22,'[1]Detailed COVID Calculations - 2'!$B$5:$AC$88,28,FALSE)</f>
        <v>-0.18600193682528199</v>
      </c>
      <c r="J22" s="41">
        <f t="shared" si="0"/>
        <v>118.278338255506</v>
      </c>
    </row>
    <row r="23" spans="1:10" s="1" customFormat="1">
      <c r="A23" s="5" t="str">
        <f>IF(VLOOKUP(B23,'[1]1. Select Services'!$A$6:$E$77,5,FALSE)="x","x","")</f>
        <v>x</v>
      </c>
      <c r="B23" s="16">
        <v>27</v>
      </c>
      <c r="C23" s="16">
        <v>35</v>
      </c>
      <c r="D23" s="58"/>
      <c r="E23" s="59" t="s">
        <v>31</v>
      </c>
      <c r="F23" s="14"/>
      <c r="G23" s="15"/>
      <c r="H23" s="9">
        <f>VLOOKUP(B23,'[1]6. Lives Saved with Mitigation'!$B$15:$I$81,8,FALSE)</f>
        <v>24</v>
      </c>
      <c r="I23" s="9">
        <f>-VLOOKUP($B23,'[1]Detailed COVID Calculations - 2'!$B$5:$AC$88,28,FALSE)</f>
        <v>-0.47492011944418899</v>
      </c>
      <c r="J23" s="41">
        <f t="shared" si="0"/>
        <v>50.534814208519499</v>
      </c>
    </row>
    <row r="24" spans="1:10" s="1" customFormat="1">
      <c r="A24" s="5" t="str">
        <f>IF(VLOOKUP(B24,'[1]1. Select Services'!$A$6:$E$77,5,FALSE)="x","x","")</f>
        <v>x</v>
      </c>
      <c r="B24" s="16">
        <v>28</v>
      </c>
      <c r="C24" s="16">
        <v>36</v>
      </c>
      <c r="D24" s="58"/>
      <c r="E24" s="59" t="s">
        <v>32</v>
      </c>
      <c r="F24" s="14"/>
      <c r="G24" s="15"/>
      <c r="H24" s="9">
        <f>VLOOKUP(B24,'[1]6. Lives Saved with Mitigation'!$B$15:$I$81,8,FALSE)</f>
        <v>26</v>
      </c>
      <c r="I24" s="9">
        <f>-VLOOKUP($B24,'[1]Detailed COVID Calculations - 2'!$B$5:$AC$88,28,FALSE)</f>
        <v>-7.0063118962444298E-2</v>
      </c>
      <c r="J24" s="41">
        <f t="shared" si="0"/>
        <v>371.09395620735501</v>
      </c>
    </row>
    <row r="25" spans="1:10" s="1" customFormat="1">
      <c r="A25" s="5" t="s">
        <v>8</v>
      </c>
      <c r="B25" s="16">
        <v>29</v>
      </c>
      <c r="C25" s="16">
        <v>38</v>
      </c>
      <c r="D25" s="58"/>
      <c r="E25" s="59" t="s">
        <v>33</v>
      </c>
      <c r="F25" s="14"/>
      <c r="G25" s="15"/>
      <c r="H25" s="9">
        <f>VLOOKUP(B25,'[1]6. Lives Saved with Mitigation'!$B$15:$I$81,8,FALSE)</f>
        <v>27</v>
      </c>
      <c r="I25" s="9">
        <f>-VLOOKUP($B25,'[1]Detailed COVID Calculations - 2'!$B$5:$AC$88,28,FALSE)</f>
        <v>-1.22835940596864</v>
      </c>
      <c r="J25" s="41">
        <f t="shared" si="0"/>
        <v>21.980537511094902</v>
      </c>
    </row>
    <row r="26" spans="1:10" s="1" customFormat="1">
      <c r="A26" s="5" t="str">
        <f>IF(VLOOKUP(B26,'[1]1. Select Services'!$A$6:$E$77,5,FALSE)="x","x","")</f>
        <v>x</v>
      </c>
      <c r="B26" s="16">
        <v>30</v>
      </c>
      <c r="C26" s="16">
        <v>39</v>
      </c>
      <c r="D26" s="58"/>
      <c r="E26" s="59" t="s">
        <v>34</v>
      </c>
      <c r="F26" s="14"/>
      <c r="G26" s="15"/>
      <c r="H26" s="9">
        <f>VLOOKUP(B26,'[1]6. Lives Saved with Mitigation'!$B$15:$I$81,8,FALSE)</f>
        <v>2</v>
      </c>
      <c r="I26" s="9">
        <f>-VLOOKUP($B26,'[1]Detailed COVID Calculations - 2'!$B$5:$AC$88,28,FALSE)</f>
        <v>-9.3417491949925706E-3</v>
      </c>
      <c r="J26" s="41">
        <f t="shared" si="0"/>
        <v>214.09266704270499</v>
      </c>
    </row>
    <row r="27" spans="1:10" s="1" customFormat="1">
      <c r="A27" s="5" t="str">
        <f>IF(VLOOKUP(B27,'[1]1. Select Services'!$A$6:$E$77,5,FALSE)="x","x","")</f>
        <v>x</v>
      </c>
      <c r="B27" s="16">
        <v>31</v>
      </c>
      <c r="C27" s="16">
        <v>40</v>
      </c>
      <c r="D27" s="58"/>
      <c r="E27" s="59" t="s">
        <v>35</v>
      </c>
      <c r="F27" s="14"/>
      <c r="G27" s="15"/>
      <c r="H27" s="9">
        <f>VLOOKUP(B27,'[1]6. Lives Saved with Mitigation'!$B$15:$I$81,8,FALSE)</f>
        <v>0</v>
      </c>
      <c r="I27" s="9">
        <f>-VLOOKUP($B27,'[1]Detailed COVID Calculations - 2'!$B$5:$AC$88,28,FALSE)</f>
        <v>-1.33275794377618E-3</v>
      </c>
      <c r="J27" s="41">
        <f t="shared" si="0"/>
        <v>0</v>
      </c>
    </row>
    <row r="28" spans="1:10" s="1" customFormat="1">
      <c r="A28" s="5" t="str">
        <f>IF(VLOOKUP(B28,'[1]1. Select Services'!$A$6:$E$77,5,FALSE)="x","x","")</f>
        <v>x</v>
      </c>
      <c r="B28" s="16">
        <v>32</v>
      </c>
      <c r="C28" s="16">
        <v>41</v>
      </c>
      <c r="D28" s="58"/>
      <c r="E28" s="59" t="s">
        <v>36</v>
      </c>
      <c r="F28" s="14"/>
      <c r="G28" s="15"/>
      <c r="H28" s="9">
        <f>VLOOKUP(B28,'[1]6. Lives Saved with Mitigation'!$B$15:$I$81,8,FALSE)</f>
        <v>0</v>
      </c>
      <c r="I28" s="9">
        <f>-VLOOKUP($B28,'[1]Detailed COVID Calculations - 2'!$B$5:$AC$88,28,FALSE)</f>
        <v>0</v>
      </c>
      <c r="J28" s="41" t="str">
        <f t="shared" si="0"/>
        <v>NA</v>
      </c>
    </row>
    <row r="29" spans="1:10" s="1" customFormat="1">
      <c r="A29" s="5" t="str">
        <f>IF(VLOOKUP(B29,'[1]1. Select Services'!$A$6:$E$77,5,FALSE)="x","x","")</f>
        <v>x</v>
      </c>
      <c r="B29" s="16">
        <v>33</v>
      </c>
      <c r="C29" s="16">
        <v>65</v>
      </c>
      <c r="D29" s="58"/>
      <c r="E29" s="59" t="s">
        <v>37</v>
      </c>
      <c r="F29" s="14"/>
      <c r="G29" s="15"/>
      <c r="H29" s="9">
        <f>VLOOKUP(B29,'[1]6. Lives Saved with Mitigation'!$B$15:$I$81,8,FALSE)</f>
        <v>0</v>
      </c>
      <c r="I29" s="9">
        <f>-VLOOKUP($B29,'[1]Detailed COVID Calculations - 2'!$B$5:$AC$88,28,FALSE)</f>
        <v>0</v>
      </c>
      <c r="J29" s="41" t="str">
        <f t="shared" si="0"/>
        <v>NA</v>
      </c>
    </row>
    <row r="30" spans="1:10" s="1" customFormat="1">
      <c r="A30" s="5"/>
      <c r="B30" s="16">
        <v>34</v>
      </c>
      <c r="C30" s="16">
        <v>10</v>
      </c>
      <c r="D30" s="58"/>
      <c r="E30" s="59" t="s">
        <v>38</v>
      </c>
      <c r="F30" s="14"/>
      <c r="G30" s="15"/>
      <c r="H30" s="9">
        <f>VLOOKUP(B30,'[1]6. Lives Saved with Mitigation'!$B$15:$I$81,8,FALSE)</f>
        <v>1</v>
      </c>
      <c r="I30" s="9">
        <f>-VLOOKUP($B30,'[1]Detailed COVID Calculations - 2'!$B$5:$AC$88,28,FALSE)</f>
        <v>0</v>
      </c>
      <c r="J30" s="41" t="str">
        <f t="shared" si="0"/>
        <v>NA</v>
      </c>
    </row>
    <row r="31" spans="1:10" s="1" customFormat="1">
      <c r="A31" s="5"/>
      <c r="B31" s="16">
        <v>35</v>
      </c>
      <c r="C31" s="16">
        <v>11</v>
      </c>
      <c r="D31" s="58"/>
      <c r="E31" s="59" t="s">
        <v>39</v>
      </c>
      <c r="F31" s="14"/>
      <c r="G31" s="15"/>
      <c r="H31" s="9">
        <f>VLOOKUP(B31,'[1]6. Lives Saved with Mitigation'!$B$15:$I$81,8,FALSE)</f>
        <v>0</v>
      </c>
      <c r="I31" s="9">
        <f>-VLOOKUP($B31,'[1]Detailed COVID Calculations - 2'!$B$5:$AC$88,28,FALSE)</f>
        <v>0</v>
      </c>
      <c r="J31" s="41" t="str">
        <f t="shared" si="0"/>
        <v>NA</v>
      </c>
    </row>
    <row r="32" spans="1:10" s="1" customFormat="1">
      <c r="A32" s="5" t="str">
        <f>IF(VLOOKUP(B32,'[1]1. Select Services'!$A$6:$E$77,5,FALSE)="x","x","")</f>
        <v>x</v>
      </c>
      <c r="B32" s="16">
        <v>36</v>
      </c>
      <c r="C32" s="16">
        <v>42</v>
      </c>
      <c r="D32" s="58"/>
      <c r="E32" s="59" t="s">
        <v>40</v>
      </c>
      <c r="F32" s="14"/>
      <c r="G32" s="15"/>
      <c r="H32" s="9">
        <f>VLOOKUP(B32,'[1]6. Lives Saved with Mitigation'!$B$15:$I$81,8,FALSE)</f>
        <v>49</v>
      </c>
      <c r="I32" s="9">
        <f>-VLOOKUP($B32,'[1]Detailed COVID Calculations - 2'!$B$5:$AC$88,28,FALSE)</f>
        <v>-0.490128430753967</v>
      </c>
      <c r="J32" s="41">
        <f t="shared" si="0"/>
        <v>99.973796510075999</v>
      </c>
    </row>
    <row r="33" spans="1:10" s="1" customFormat="1">
      <c r="A33" s="5" t="str">
        <f>IF(VLOOKUP(B33,'[1]1. Select Services'!$A$6:$E$77,5,FALSE)="x","x","")</f>
        <v>x</v>
      </c>
      <c r="B33" s="16">
        <v>37</v>
      </c>
      <c r="C33" s="16">
        <v>43</v>
      </c>
      <c r="D33" s="58"/>
      <c r="E33" s="59" t="s">
        <v>41</v>
      </c>
      <c r="F33" s="14"/>
      <c r="G33" s="15"/>
      <c r="H33" s="9">
        <f>VLOOKUP(B33,'[1]6. Lives Saved with Mitigation'!$B$15:$I$81,8,FALSE)</f>
        <v>0</v>
      </c>
      <c r="I33" s="9">
        <f>-VLOOKUP($B33,'[1]Detailed COVID Calculations - 2'!$B$5:$AC$88,28,FALSE)</f>
        <v>0</v>
      </c>
      <c r="J33" s="41" t="str">
        <f t="shared" si="0"/>
        <v>NA</v>
      </c>
    </row>
    <row r="34" spans="1:10" s="1" customFormat="1">
      <c r="A34" s="5"/>
      <c r="B34" s="16">
        <v>38</v>
      </c>
      <c r="C34" s="16">
        <v>12</v>
      </c>
      <c r="D34" s="58"/>
      <c r="E34" s="59" t="s">
        <v>42</v>
      </c>
      <c r="F34" s="14"/>
      <c r="G34" s="15"/>
      <c r="H34" s="9">
        <f>VLOOKUP(B34,'[1]6. Lives Saved with Mitigation'!$B$15:$I$81,8,FALSE)</f>
        <v>0</v>
      </c>
      <c r="I34" s="9">
        <f>-VLOOKUP($B34,'[1]Detailed COVID Calculations - 2'!$B$5:$AC$88,28,FALSE)</f>
        <v>0</v>
      </c>
      <c r="J34" s="41" t="str">
        <f t="shared" si="0"/>
        <v>NA</v>
      </c>
    </row>
    <row r="35" spans="1:10" s="1" customFormat="1">
      <c r="A35" s="5" t="str">
        <f>IF(VLOOKUP(B35,'[1]1. Select Services'!$A$6:$E$77,5,FALSE)="x","x","")</f>
        <v>x</v>
      </c>
      <c r="B35" s="17">
        <v>39</v>
      </c>
      <c r="C35" s="18">
        <v>29</v>
      </c>
      <c r="D35" s="54" t="s">
        <v>43</v>
      </c>
      <c r="E35" s="60" t="s">
        <v>44</v>
      </c>
      <c r="F35" s="19"/>
      <c r="G35" s="20"/>
      <c r="H35" s="9">
        <f>VLOOKUP(B35,'[1]6. Lives Saved with Mitigation'!$B$15:$I$81,8,FALSE)</f>
        <v>209</v>
      </c>
      <c r="I35" s="9">
        <f>-VLOOKUP($B35,'[1]Detailed COVID Calculations - 2'!$B$5:$AC$88,28,FALSE)</f>
        <v>-4.41257430615443</v>
      </c>
      <c r="J35" s="41">
        <f t="shared" si="0"/>
        <v>47.364641476631398</v>
      </c>
    </row>
    <row r="36" spans="1:10" s="1" customFormat="1">
      <c r="A36" s="5" t="str">
        <f>IF(VLOOKUP(B36,'[1]1. Select Services'!$A$6:$E$77,5,FALSE)="x","x","")</f>
        <v>x</v>
      </c>
      <c r="B36" s="17">
        <v>40</v>
      </c>
      <c r="C36" s="18">
        <v>30</v>
      </c>
      <c r="D36" s="54"/>
      <c r="E36" s="60" t="s">
        <v>45</v>
      </c>
      <c r="F36" s="19"/>
      <c r="G36" s="20"/>
      <c r="H36" s="9">
        <f>VLOOKUP(B36,'[1]6. Lives Saved with Mitigation'!$B$15:$I$81,8,FALSE)</f>
        <v>350</v>
      </c>
      <c r="I36" s="9">
        <f>-VLOOKUP($B36,'[1]Detailed COVID Calculations - 2'!$B$5:$AC$88,28,FALSE)</f>
        <v>-0.31180931927857902</v>
      </c>
      <c r="J36" s="41">
        <f t="shared" si="0"/>
        <v>1122.4808828991399</v>
      </c>
    </row>
    <row r="37" spans="1:10" s="1" customFormat="1">
      <c r="A37" s="5" t="str">
        <f>IF(VLOOKUP(B37,'[1]1. Select Services'!$A$6:$E$77,5,FALSE)="x","x","")</f>
        <v>x</v>
      </c>
      <c r="B37" s="17">
        <v>41</v>
      </c>
      <c r="C37" s="18">
        <v>31</v>
      </c>
      <c r="D37" s="54"/>
      <c r="E37" s="60" t="s">
        <v>46</v>
      </c>
      <c r="F37" s="19"/>
      <c r="G37" s="20"/>
      <c r="H37" s="9">
        <f>VLOOKUP(B37,'[1]6. Lives Saved with Mitigation'!$B$15:$I$81,8,FALSE)</f>
        <v>290</v>
      </c>
      <c r="I37" s="9">
        <f>-VLOOKUP($B37,'[1]Detailed COVID Calculations - 2'!$B$5:$AC$88,28,FALSE)</f>
        <v>-2.3000177128299701</v>
      </c>
      <c r="J37" s="41">
        <f t="shared" si="0"/>
        <v>126.085985504512</v>
      </c>
    </row>
    <row r="38" spans="1:10" s="1" customFormat="1">
      <c r="A38" s="5" t="str">
        <f>IF(VLOOKUP(B38,'[1]1. Select Services'!$A$6:$E$77,5,FALSE)="x","x","")</f>
        <v>x</v>
      </c>
      <c r="B38" s="17">
        <v>42</v>
      </c>
      <c r="C38" s="18">
        <v>37</v>
      </c>
      <c r="D38" s="54"/>
      <c r="E38" s="60" t="s">
        <v>47</v>
      </c>
      <c r="F38" s="19"/>
      <c r="G38" s="20"/>
      <c r="H38" s="9">
        <f>VLOOKUP(B38,'[1]6. Lives Saved with Mitigation'!$B$15:$I$81,8,FALSE)</f>
        <v>237</v>
      </c>
      <c r="I38" s="9">
        <f>-VLOOKUP($B38,'[1]Detailed COVID Calculations - 2'!$B$5:$AC$88,28,FALSE)</f>
        <v>0</v>
      </c>
      <c r="J38" s="41" t="str">
        <f t="shared" si="0"/>
        <v>NA</v>
      </c>
    </row>
    <row r="39" spans="1:10" s="1" customFormat="1">
      <c r="A39" s="5"/>
      <c r="B39" s="17" t="s">
        <v>48</v>
      </c>
      <c r="C39" s="17" t="s">
        <v>49</v>
      </c>
      <c r="D39" s="54"/>
      <c r="E39" s="61" t="s">
        <v>50</v>
      </c>
      <c r="F39" s="21"/>
      <c r="G39" s="22"/>
      <c r="H39" s="9">
        <f>VLOOKUP(B39,'[1]6. Lives Saved with Mitigation'!$B$15:$I$81,8,FALSE)</f>
        <v>0</v>
      </c>
      <c r="I39" s="9">
        <f>SUM(I40:I41)</f>
        <v>0</v>
      </c>
      <c r="J39" s="41" t="str">
        <f t="shared" si="0"/>
        <v>NA</v>
      </c>
    </row>
    <row r="40" spans="1:10" s="1" customFormat="1">
      <c r="A40" s="5" t="str">
        <f>IF(VLOOKUP(B40,'[1]1. Select Services'!$A$6:$E$77,5,FALSE)="x","x","")</f>
        <v>x</v>
      </c>
      <c r="B40" s="17">
        <v>43</v>
      </c>
      <c r="C40" s="17">
        <v>66</v>
      </c>
      <c r="D40" s="54"/>
      <c r="E40" s="62" t="s">
        <v>51</v>
      </c>
      <c r="F40" s="23"/>
      <c r="G40" s="24"/>
      <c r="H40" s="9">
        <v>0</v>
      </c>
      <c r="I40" s="9">
        <v>0</v>
      </c>
      <c r="J40" s="41" t="str">
        <f t="shared" si="0"/>
        <v>NA</v>
      </c>
    </row>
    <row r="41" spans="1:10" s="1" customFormat="1">
      <c r="A41" s="5" t="str">
        <f>IF(VLOOKUP(B41,'[1]1. Select Services'!$A$6:$E$77,5,FALSE)="x","x","")</f>
        <v/>
      </c>
      <c r="B41" s="17">
        <v>44</v>
      </c>
      <c r="C41" s="17">
        <v>67</v>
      </c>
      <c r="D41" s="54"/>
      <c r="E41" s="62" t="s">
        <v>52</v>
      </c>
      <c r="F41" s="23"/>
      <c r="G41" s="24"/>
      <c r="H41" s="9">
        <v>0</v>
      </c>
      <c r="I41" s="9">
        <v>0</v>
      </c>
      <c r="J41" s="41" t="str">
        <f t="shared" si="0"/>
        <v>NA</v>
      </c>
    </row>
    <row r="42" spans="1:10" s="1" customFormat="1">
      <c r="A42" s="5"/>
      <c r="B42" s="17" t="s">
        <v>53</v>
      </c>
      <c r="C42" s="17" t="s">
        <v>54</v>
      </c>
      <c r="D42" s="54"/>
      <c r="E42" s="61" t="s">
        <v>55</v>
      </c>
      <c r="F42" s="21"/>
      <c r="G42" s="22"/>
      <c r="H42" s="9">
        <f>VLOOKUP(B42,'[1]6. Lives Saved with Mitigation'!$B$15:$I$81,8,FALSE)</f>
        <v>1220</v>
      </c>
      <c r="I42" s="9">
        <f>SUM(I43:I45)</f>
        <v>-0.38057847046826798</v>
      </c>
      <c r="J42" s="41">
        <f t="shared" si="0"/>
        <v>3205.64639008323</v>
      </c>
    </row>
    <row r="43" spans="1:10" s="1" customFormat="1">
      <c r="A43" s="5" t="str">
        <f>IF(VLOOKUP(B43,'[1]1. Select Services'!$A$6:$E$77,5,FALSE)="x","x","")</f>
        <v>x</v>
      </c>
      <c r="B43" s="17">
        <v>45</v>
      </c>
      <c r="C43" s="17">
        <v>68</v>
      </c>
      <c r="D43" s="54"/>
      <c r="E43" s="62" t="s">
        <v>56</v>
      </c>
      <c r="F43" s="23"/>
      <c r="G43" s="24"/>
      <c r="H43" s="9">
        <f>VLOOKUP(B43,'[1]6. Lives Saved with Mitigation'!$B$15:$I$81,8,FALSE)</f>
        <v>0</v>
      </c>
      <c r="I43" s="9">
        <f>-VLOOKUP($B43,'[1]Detailed COVID Calculations - 2'!$B$5:$AC$88,28,FALSE)</f>
        <v>0</v>
      </c>
      <c r="J43" s="41" t="str">
        <f t="shared" si="0"/>
        <v>NA</v>
      </c>
    </row>
    <row r="44" spans="1:10" s="1" customFormat="1">
      <c r="A44" s="5" t="str">
        <f>IF(VLOOKUP(B44,'[1]1. Select Services'!$A$6:$E$77,5,FALSE)="x","x","")</f>
        <v>x</v>
      </c>
      <c r="B44" s="17">
        <v>46</v>
      </c>
      <c r="C44" s="17">
        <v>69</v>
      </c>
      <c r="D44" s="54"/>
      <c r="E44" s="62" t="s">
        <v>57</v>
      </c>
      <c r="F44" s="23"/>
      <c r="G44" s="24"/>
      <c r="H44" s="9">
        <f>VLOOKUP(B44,'[1]6. Lives Saved with Mitigation'!$B$15:$I$81,8,FALSE)</f>
        <v>0</v>
      </c>
      <c r="I44" s="9">
        <f>-VLOOKUP($B44,'[1]Detailed COVID Calculations - 2'!$B$5:$AC$88,28,FALSE)</f>
        <v>-0.38057847046826798</v>
      </c>
      <c r="J44" s="41">
        <f t="shared" si="0"/>
        <v>0</v>
      </c>
    </row>
    <row r="45" spans="1:10" s="1" customFormat="1">
      <c r="A45" s="5" t="str">
        <f>IF(VLOOKUP(B45,'[1]1. Select Services'!$A$6:$E$77,5,FALSE)="x","x","")</f>
        <v/>
      </c>
      <c r="B45" s="17">
        <v>47</v>
      </c>
      <c r="C45" s="17">
        <v>70</v>
      </c>
      <c r="D45" s="54"/>
      <c r="E45" s="62" t="s">
        <v>58</v>
      </c>
      <c r="F45" s="23"/>
      <c r="G45" s="24"/>
      <c r="H45" s="9">
        <f>VLOOKUP(B45,'[1]6. Lives Saved with Mitigation'!$B$15:$I$81,8,FALSE)</f>
        <v>0</v>
      </c>
      <c r="I45" s="9">
        <f>-VLOOKUP($B45,'[1]Detailed COVID Calculations - 2'!$B$5:$AC$88,28,FALSE)</f>
        <v>0</v>
      </c>
      <c r="J45" s="41" t="str">
        <f t="shared" si="0"/>
        <v>NA</v>
      </c>
    </row>
    <row r="46" spans="1:10" s="1" customFormat="1">
      <c r="A46" s="5"/>
      <c r="B46" s="25">
        <v>48</v>
      </c>
      <c r="C46" s="25">
        <v>44</v>
      </c>
      <c r="D46" s="63" t="s">
        <v>59</v>
      </c>
      <c r="E46" s="55" t="s">
        <v>59</v>
      </c>
      <c r="F46" s="26"/>
      <c r="G46" s="27"/>
      <c r="H46" s="9">
        <f>VLOOKUP(B46,'[1]6. Lives Saved with Mitigation'!$B$15:$I$81,8,FALSE)</f>
        <v>419</v>
      </c>
      <c r="I46" s="9">
        <f>-VLOOKUP($B46,'[1]Detailed COVID Calculations - 2'!$B$5:$AC$88,28,FALSE)</f>
        <v>-0.39997291461564</v>
      </c>
      <c r="J46" s="41">
        <f t="shared" si="0"/>
        <v>1047.57093465352</v>
      </c>
    </row>
    <row r="47" spans="1:10" s="1" customFormat="1">
      <c r="A47" s="5" t="str">
        <f>IF(VLOOKUP(B47,'[1]1. Select Services'!$A$6:$E$77,5,FALSE)="x","x","")</f>
        <v>x</v>
      </c>
      <c r="B47" s="28">
        <v>49</v>
      </c>
      <c r="C47" s="28">
        <v>45</v>
      </c>
      <c r="D47" s="63"/>
      <c r="E47" s="57" t="s">
        <v>60</v>
      </c>
      <c r="F47" s="29"/>
      <c r="G47" s="30"/>
      <c r="H47" s="9">
        <f>VLOOKUP(B47,'[1]6. Lives Saved with Mitigation'!$B$15:$I$81,8,FALSE)</f>
        <v>6</v>
      </c>
      <c r="I47" s="9">
        <f>-VLOOKUP($B47,'[1]Detailed COVID Calculations - 2'!$B$5:$AC$88,28,FALSE)</f>
        <v>-1.4822663568214001</v>
      </c>
      <c r="J47" s="41">
        <f t="shared" si="0"/>
        <v>4.0478554831849101</v>
      </c>
    </row>
    <row r="48" spans="1:10" s="1" customFormat="1">
      <c r="A48" s="5" t="str">
        <f>IF(VLOOKUP(B48,'[1]1. Select Services'!$A$6:$E$77,5,FALSE)="x","x","")</f>
        <v>x</v>
      </c>
      <c r="B48" s="28">
        <v>50</v>
      </c>
      <c r="C48" s="28">
        <v>46</v>
      </c>
      <c r="D48" s="63"/>
      <c r="E48" s="57" t="s">
        <v>61</v>
      </c>
      <c r="F48" s="29"/>
      <c r="G48" s="30"/>
      <c r="H48" s="9">
        <f>VLOOKUP(B48,'[1]6. Lives Saved with Mitigation'!$B$15:$I$81,8,FALSE)</f>
        <v>0</v>
      </c>
      <c r="I48" s="9">
        <f>-VLOOKUP($B48,'[1]Detailed COVID Calculations - 2'!$B$5:$AC$88,28,FALSE)</f>
        <v>-3.2692977589705499</v>
      </c>
      <c r="J48" s="41">
        <f t="shared" si="0"/>
        <v>0</v>
      </c>
    </row>
    <row r="49" spans="1:10" s="1" customFormat="1">
      <c r="A49" s="5"/>
      <c r="B49" s="31">
        <v>51</v>
      </c>
      <c r="C49" s="31">
        <v>55</v>
      </c>
      <c r="D49" s="63" t="s">
        <v>62</v>
      </c>
      <c r="E49" s="57" t="s">
        <v>63</v>
      </c>
      <c r="F49" s="32"/>
      <c r="G49" s="33"/>
      <c r="H49" s="9">
        <f>VLOOKUP(B49,'[1]6. Lives Saved with Mitigation'!$B$15:$I$81,8,FALSE)</f>
        <v>0</v>
      </c>
      <c r="I49" s="9">
        <f>-VLOOKUP($B49,'[1]Detailed COVID Calculations - 2'!$B$5:$AC$88,28,FALSE)</f>
        <v>-6.3695108656999402</v>
      </c>
      <c r="J49" s="41">
        <f t="shared" si="0"/>
        <v>0</v>
      </c>
    </row>
    <row r="50" spans="1:10" s="1" customFormat="1">
      <c r="A50" s="5" t="str">
        <f>IF(VLOOKUP(B50,'[1]1. Select Services'!$A$6:$E$77,5,FALSE)="x","x","")</f>
        <v>x</v>
      </c>
      <c r="B50" s="31">
        <v>52</v>
      </c>
      <c r="C50" s="31">
        <v>56</v>
      </c>
      <c r="D50" s="63"/>
      <c r="E50" s="57" t="s">
        <v>64</v>
      </c>
      <c r="F50" s="32"/>
      <c r="G50" s="33"/>
      <c r="H50" s="9">
        <f>VLOOKUP(B50,'[1]6. Lives Saved with Mitigation'!$B$15:$I$81,8,FALSE)</f>
        <v>0</v>
      </c>
      <c r="I50" s="9">
        <f>-VLOOKUP($B50,'[1]Detailed COVID Calculations - 2'!$B$5:$AC$88,28,FALSE)</f>
        <v>-16.5316953493735</v>
      </c>
      <c r="J50" s="41">
        <f t="shared" si="0"/>
        <v>0</v>
      </c>
    </row>
    <row r="51" spans="1:10" s="1" customFormat="1">
      <c r="A51" s="5"/>
      <c r="B51" s="31"/>
      <c r="C51" s="31"/>
      <c r="D51" s="63"/>
      <c r="E51" s="64" t="s">
        <v>65</v>
      </c>
      <c r="F51" s="34"/>
      <c r="G51" s="35"/>
      <c r="H51" s="9"/>
      <c r="I51" s="9"/>
      <c r="J51" s="41"/>
    </row>
    <row r="52" spans="1:10" s="1" customFormat="1">
      <c r="A52" s="5" t="str">
        <f>IF(VLOOKUP(B52,'[1]1. Select Services'!$A$6:$E$77,5,FALSE)="x","x","")</f>
        <v>x</v>
      </c>
      <c r="B52" s="31">
        <v>53</v>
      </c>
      <c r="C52" s="31">
        <v>57</v>
      </c>
      <c r="D52" s="63"/>
      <c r="E52" s="62" t="s">
        <v>66</v>
      </c>
      <c r="F52" s="36"/>
      <c r="G52" s="37"/>
      <c r="H52" s="9">
        <f>VLOOKUP(B52,'[1]6. Lives Saved with Mitigation'!$B$15:$I$81,8,FALSE)</f>
        <v>60</v>
      </c>
      <c r="I52" s="9">
        <f>-VLOOKUP($B52,'[1]Detailed COVID Calculations - 2'!$B$5:$AC$88,28,FALSE)</f>
        <v>-16.338018583774101</v>
      </c>
      <c r="J52" s="41">
        <f t="shared" ref="J52:J70" si="1">IFERROR(H52/-I52,"NA")</f>
        <v>3.6724159476466798</v>
      </c>
    </row>
    <row r="53" spans="1:10" s="1" customFormat="1">
      <c r="A53" s="5" t="str">
        <f>IF(VLOOKUP(B53,'[1]1. Select Services'!$A$6:$E$77,5,FALSE)="x","x","")</f>
        <v>x</v>
      </c>
      <c r="B53" s="31">
        <v>54</v>
      </c>
      <c r="C53" s="31">
        <v>58</v>
      </c>
      <c r="D53" s="63"/>
      <c r="E53" s="62" t="s">
        <v>67</v>
      </c>
      <c r="F53" s="36"/>
      <c r="G53" s="37"/>
      <c r="H53" s="9">
        <f>VLOOKUP(B53,'[1]6. Lives Saved with Mitigation'!$B$15:$I$81,8,FALSE)</f>
        <v>63</v>
      </c>
      <c r="I53" s="9">
        <f>-VLOOKUP($B53,'[1]Detailed COVID Calculations - 2'!$B$5:$AC$88,28,FALSE)</f>
        <v>-16.338018583774101</v>
      </c>
      <c r="J53" s="41">
        <f t="shared" si="1"/>
        <v>3.8560367450290101</v>
      </c>
    </row>
    <row r="54" spans="1:10" s="1" customFormat="1">
      <c r="A54" s="5" t="str">
        <f>IF(VLOOKUP(B54,'[1]1. Select Services'!$A$6:$E$77,5,FALSE)="x","x","")</f>
        <v>x</v>
      </c>
      <c r="B54" s="31">
        <v>55</v>
      </c>
      <c r="C54" s="31">
        <v>59</v>
      </c>
      <c r="D54" s="63"/>
      <c r="E54" s="62" t="s">
        <v>68</v>
      </c>
      <c r="F54" s="36"/>
      <c r="G54" s="37"/>
      <c r="H54" s="9">
        <f>VLOOKUP(B54,'[1]6. Lives Saved with Mitigation'!$B$15:$I$81,8,FALSE)</f>
        <v>0</v>
      </c>
      <c r="I54" s="9">
        <f>-VLOOKUP($B54,'[1]Detailed COVID Calculations - 2'!$B$5:$AC$88,28,FALSE)</f>
        <v>-16.338018583774101</v>
      </c>
      <c r="J54" s="41">
        <f t="shared" si="1"/>
        <v>0</v>
      </c>
    </row>
    <row r="55" spans="1:10" s="1" customFormat="1">
      <c r="A55" s="5" t="str">
        <f>IF(VLOOKUP(B55,'[1]1. Select Services'!$A$6:$E$77,5,FALSE)="x","x","")</f>
        <v>x</v>
      </c>
      <c r="B55" s="31">
        <v>56</v>
      </c>
      <c r="C55" s="31">
        <v>60</v>
      </c>
      <c r="D55" s="63"/>
      <c r="E55" s="57" t="s">
        <v>69</v>
      </c>
      <c r="F55" s="32"/>
      <c r="G55" s="33"/>
      <c r="H55" s="9">
        <f>VLOOKUP(B55,'[1]6. Lives Saved with Mitigation'!$B$15:$I$81,8,FALSE)</f>
        <v>66</v>
      </c>
      <c r="I55" s="9">
        <f>-VLOOKUP($B55,'[1]Detailed COVID Calculations - 2'!$B$5:$AC$88,28,FALSE)</f>
        <v>-7.2006254638903</v>
      </c>
      <c r="J55" s="41">
        <f t="shared" si="1"/>
        <v>9.16587042764227</v>
      </c>
    </row>
    <row r="56" spans="1:10" s="1" customFormat="1">
      <c r="A56" s="5" t="str">
        <f>IF(VLOOKUP(B56,'[1]1. Select Services'!$A$6:$E$77,5,FALSE)="x","x","")</f>
        <v>x</v>
      </c>
      <c r="B56" s="31">
        <v>57</v>
      </c>
      <c r="C56" s="31">
        <v>61</v>
      </c>
      <c r="D56" s="63"/>
      <c r="E56" s="57" t="s">
        <v>70</v>
      </c>
      <c r="F56" s="32"/>
      <c r="G56" s="33"/>
      <c r="H56" s="9">
        <f>VLOOKUP(B56,'[1]6. Lives Saved with Mitigation'!$B$15:$I$81,8,FALSE)</f>
        <v>9</v>
      </c>
      <c r="I56" s="9">
        <f>-VLOOKUP($B56,'[1]Detailed COVID Calculations - 2'!$B$5:$AC$88,28,FALSE)</f>
        <v>-0.65108896047294895</v>
      </c>
      <c r="J56" s="41">
        <f t="shared" si="1"/>
        <v>13.822995852152699</v>
      </c>
    </row>
    <row r="57" spans="1:10" s="1" customFormat="1">
      <c r="A57" s="5" t="str">
        <f>IF(VLOOKUP(B57,'[1]1. Select Services'!$A$6:$E$77,5,FALSE)="x","x","")</f>
        <v>x</v>
      </c>
      <c r="B57" s="31">
        <v>58</v>
      </c>
      <c r="C57" s="31">
        <v>62</v>
      </c>
      <c r="D57" s="63"/>
      <c r="E57" s="57" t="s">
        <v>71</v>
      </c>
      <c r="F57" s="32"/>
      <c r="G57" s="33"/>
      <c r="H57" s="9">
        <f>VLOOKUP(B57,'[1]6. Lives Saved with Mitigation'!$B$15:$I$81,8,FALSE)</f>
        <v>0</v>
      </c>
      <c r="I57" s="9">
        <f>-VLOOKUP($B57,'[1]Detailed COVID Calculations - 2'!$B$5:$AC$88,28,FALSE)</f>
        <v>0</v>
      </c>
      <c r="J57" s="41" t="str">
        <f t="shared" si="1"/>
        <v>NA</v>
      </c>
    </row>
    <row r="58" spans="1:10" s="1" customFormat="1">
      <c r="A58" s="5"/>
      <c r="B58" s="31">
        <v>59</v>
      </c>
      <c r="C58" s="31">
        <v>63</v>
      </c>
      <c r="D58" s="63"/>
      <c r="E58" s="57" t="s">
        <v>72</v>
      </c>
      <c r="F58" s="32"/>
      <c r="G58" s="33"/>
      <c r="H58" s="9">
        <f>VLOOKUP(B58,'[1]6. Lives Saved with Mitigation'!$B$15:$I$81,8,FALSE)</f>
        <v>0</v>
      </c>
      <c r="I58" s="9">
        <f>-VLOOKUP($B58,'[1]Detailed COVID Calculations - 2'!$B$5:$AC$88,28,FALSE)</f>
        <v>0</v>
      </c>
      <c r="J58" s="41" t="str">
        <f t="shared" si="1"/>
        <v>NA</v>
      </c>
    </row>
    <row r="59" spans="1:10" s="1" customFormat="1">
      <c r="A59" s="5" t="str">
        <f>IF(VLOOKUP(B59,'[1]1. Select Services'!$A$6:$E$77,5,FALSE)="x","x","")</f>
        <v>x</v>
      </c>
      <c r="B59" s="31">
        <v>60</v>
      </c>
      <c r="C59" s="31">
        <v>64</v>
      </c>
      <c r="D59" s="63"/>
      <c r="E59" s="57" t="s">
        <v>73</v>
      </c>
      <c r="F59" s="32"/>
      <c r="G59" s="33"/>
      <c r="H59" s="9">
        <f>VLOOKUP(B59,'[1]6. Lives Saved with Mitigation'!$B$15:$I$81,8,FALSE)</f>
        <v>16</v>
      </c>
      <c r="I59" s="9">
        <f>-VLOOKUP($B59,'[1]Detailed COVID Calculations - 2'!$B$5:$AC$88,28,FALSE)</f>
        <v>-5.32911889126619</v>
      </c>
      <c r="J59" s="41">
        <f t="shared" si="1"/>
        <v>3.00237249842974</v>
      </c>
    </row>
    <row r="60" spans="1:10" s="1" customFormat="1">
      <c r="A60" s="5" t="str">
        <f>IF(VLOOKUP(B60,'[1]1. Select Services'!$A$6:$E$77,5,FALSE)="x","x","")</f>
        <v>x</v>
      </c>
      <c r="B60" s="38">
        <v>61</v>
      </c>
      <c r="C60" s="38">
        <v>47</v>
      </c>
      <c r="D60" s="63" t="s">
        <v>74</v>
      </c>
      <c r="E60" s="60" t="s">
        <v>75</v>
      </c>
      <c r="F60" s="39"/>
      <c r="G60" s="40"/>
      <c r="H60" s="9">
        <f>VLOOKUP(B60,'[1]6. Lives Saved with Mitigation'!$B$15:$I$81,8,FALSE)</f>
        <v>0</v>
      </c>
      <c r="I60" s="9">
        <f>-VLOOKUP($B60,'[1]Detailed COVID Calculations - 2'!$B$5:$AC$88,28,FALSE)</f>
        <v>0</v>
      </c>
      <c r="J60" s="41" t="str">
        <f t="shared" si="1"/>
        <v>NA</v>
      </c>
    </row>
    <row r="61" spans="1:10" s="1" customFormat="1">
      <c r="A61" s="5" t="str">
        <f>IF(VLOOKUP(B61,'[1]1. Select Services'!$A$6:$E$77,5,FALSE)="x","x","")</f>
        <v>x</v>
      </c>
      <c r="B61" s="38">
        <v>62</v>
      </c>
      <c r="C61" s="38">
        <v>48</v>
      </c>
      <c r="D61" s="63"/>
      <c r="E61" s="60" t="s">
        <v>76</v>
      </c>
      <c r="F61" s="39"/>
      <c r="G61" s="40"/>
      <c r="H61" s="9">
        <f>VLOOKUP(B61,'[1]6. Lives Saved with Mitigation'!$B$15:$I$81,8,FALSE)</f>
        <v>0</v>
      </c>
      <c r="I61" s="9">
        <f>-VLOOKUP($B61,'[1]Detailed COVID Calculations - 2'!$B$5:$AC$88,28,FALSE)</f>
        <v>0</v>
      </c>
      <c r="J61" s="41" t="str">
        <f t="shared" si="1"/>
        <v>NA</v>
      </c>
    </row>
    <row r="62" spans="1:10" s="1" customFormat="1">
      <c r="A62" s="5" t="str">
        <f>IF(VLOOKUP(B62,'[1]1. Select Services'!$A$6:$E$77,5,FALSE)="x","x","")</f>
        <v>x</v>
      </c>
      <c r="B62" s="38">
        <v>63</v>
      </c>
      <c r="C62" s="38">
        <v>71</v>
      </c>
      <c r="D62" s="63"/>
      <c r="E62" s="60" t="s">
        <v>77</v>
      </c>
      <c r="F62" s="39"/>
      <c r="G62" s="40"/>
      <c r="H62" s="9">
        <f>VLOOKUP(B62,'[1]6. Lives Saved with Mitigation'!$B$15:$I$81,8,FALSE)</f>
        <v>9</v>
      </c>
      <c r="I62" s="9">
        <f>-VLOOKUP($B62,'[1]Detailed COVID Calculations - 2'!$B$5:$AC$88,28,FALSE)</f>
        <v>-66.143090153101497</v>
      </c>
      <c r="J62" s="41">
        <f t="shared" si="1"/>
        <v>0.136068635123755</v>
      </c>
    </row>
    <row r="63" spans="1:10" s="1" customFormat="1">
      <c r="A63" s="5" t="str">
        <f>IF(VLOOKUP(B63,'[1]1. Select Services'!$A$6:$E$77,5,FALSE)="x","x","")</f>
        <v>x</v>
      </c>
      <c r="B63" s="38">
        <v>64</v>
      </c>
      <c r="C63" s="38">
        <v>72</v>
      </c>
      <c r="D63" s="63"/>
      <c r="E63" s="60" t="s">
        <v>78</v>
      </c>
      <c r="F63" s="39"/>
      <c r="G63" s="40"/>
      <c r="H63" s="9">
        <f>VLOOKUP(B63,'[1]6. Lives Saved with Mitigation'!$B$15:$I$81,8,FALSE)</f>
        <v>0</v>
      </c>
      <c r="I63" s="9">
        <f>-VLOOKUP($B63,'[1]Detailed COVID Calculations - 2'!$B$5:$AC$88,28,FALSE)</f>
        <v>0</v>
      </c>
      <c r="J63" s="41" t="str">
        <f t="shared" si="1"/>
        <v>NA</v>
      </c>
    </row>
    <row r="64" spans="1:10" s="1" customFormat="1">
      <c r="A64" s="5" t="str">
        <f>IF(VLOOKUP(B64,'[1]1. Select Services'!$A$6:$E$77,5,FALSE)="x","x","")</f>
        <v>x</v>
      </c>
      <c r="B64" s="38">
        <v>65</v>
      </c>
      <c r="C64" s="38">
        <v>73</v>
      </c>
      <c r="D64" s="63"/>
      <c r="E64" s="60" t="s">
        <v>79</v>
      </c>
      <c r="F64" s="39"/>
      <c r="G64" s="40"/>
      <c r="H64" s="9">
        <f>VLOOKUP(B64,'[1]6. Lives Saved with Mitigation'!$B$15:$I$81,8,FALSE)</f>
        <v>0</v>
      </c>
      <c r="I64" s="9">
        <f>-VLOOKUP($B64,'[1]Detailed COVID Calculations - 2'!$B$5:$AC$88,28,FALSE)</f>
        <v>-19.271518810121499</v>
      </c>
      <c r="J64" s="41">
        <f t="shared" si="1"/>
        <v>0</v>
      </c>
    </row>
    <row r="65" spans="1:10" s="1" customFormat="1">
      <c r="A65" s="5" t="str">
        <f>IF(VLOOKUP(B65,'[1]1. Select Services'!$A$6:$E$77,5,FALSE)="x","x","")</f>
        <v>x</v>
      </c>
      <c r="B65" s="38">
        <v>66</v>
      </c>
      <c r="C65" s="38">
        <v>74</v>
      </c>
      <c r="D65" s="63"/>
      <c r="E65" s="60" t="s">
        <v>80</v>
      </c>
      <c r="F65" s="39"/>
      <c r="G65" s="40"/>
      <c r="H65" s="9">
        <f>VLOOKUP(B65,'[1]6. Lives Saved with Mitigation'!$B$15:$I$81,8,FALSE)</f>
        <v>25</v>
      </c>
      <c r="I65" s="9">
        <f>-VLOOKUP($B65,'[1]Detailed COVID Calculations - 2'!$B$5:$AC$88,28,FALSE)</f>
        <v>-33.153174824523497</v>
      </c>
      <c r="J65" s="41">
        <f t="shared" si="1"/>
        <v>0.754075594036546</v>
      </c>
    </row>
    <row r="66" spans="1:10" s="1" customFormat="1">
      <c r="A66" s="5" t="str">
        <f>IF(VLOOKUP(B66,'[1]1. Select Services'!$A$6:$E$77,5,FALSE)="x","x","")</f>
        <v>x</v>
      </c>
      <c r="B66" s="38">
        <v>67</v>
      </c>
      <c r="C66" s="38">
        <v>75</v>
      </c>
      <c r="D66" s="63"/>
      <c r="E66" s="60" t="s">
        <v>81</v>
      </c>
      <c r="F66" s="39"/>
      <c r="G66" s="40"/>
      <c r="H66" s="9">
        <f>VLOOKUP(B66,'[1]6. Lives Saved with Mitigation'!$B$15:$I$81,8,FALSE)</f>
        <v>0</v>
      </c>
      <c r="I66" s="9">
        <f>-VLOOKUP($B66,'[1]Detailed COVID Calculations - 2'!$B$5:$AC$88,28,FALSE)</f>
        <v>0</v>
      </c>
      <c r="J66" s="41" t="str">
        <f t="shared" si="1"/>
        <v>NA</v>
      </c>
    </row>
    <row r="67" spans="1:10" s="1" customFormat="1">
      <c r="A67" s="5" t="str">
        <f>IF(VLOOKUP(B67,'[1]1. Select Services'!$A$6:$E$77,5,FALSE)="x","x","")</f>
        <v>x</v>
      </c>
      <c r="B67" s="38">
        <v>68</v>
      </c>
      <c r="C67" s="38">
        <v>76</v>
      </c>
      <c r="D67" s="63"/>
      <c r="E67" s="60" t="s">
        <v>82</v>
      </c>
      <c r="F67" s="39"/>
      <c r="G67" s="40"/>
      <c r="H67" s="9">
        <f>VLOOKUP(B67,'[1]6. Lives Saved with Mitigation'!$B$15:$I$81,8,FALSE)</f>
        <v>0</v>
      </c>
      <c r="I67" s="9">
        <f>-VLOOKUP($B67,'[1]Detailed COVID Calculations - 2'!$B$5:$AC$88,28,FALSE)</f>
        <v>-49.7931347328513</v>
      </c>
      <c r="J67" s="41">
        <f t="shared" si="1"/>
        <v>0</v>
      </c>
    </row>
    <row r="68" spans="1:10" s="1" customFormat="1">
      <c r="A68" s="5" t="str">
        <f>IF(VLOOKUP(B68,'[1]1. Select Services'!$A$6:$E$77,5,FALSE)="x","x","")</f>
        <v/>
      </c>
      <c r="B68" s="42">
        <v>69</v>
      </c>
      <c r="C68" s="42">
        <v>77</v>
      </c>
      <c r="D68" s="65" t="s">
        <v>83</v>
      </c>
      <c r="E68" s="66" t="s">
        <v>84</v>
      </c>
      <c r="F68" s="43"/>
      <c r="G68" s="44"/>
      <c r="H68" s="9">
        <f>VLOOKUP(B68,'[1]6. Lives Saved with Mitigation'!$B$15:$I$81,8,FALSE)</f>
        <v>0</v>
      </c>
      <c r="I68" s="9">
        <f>-VLOOKUP($B68,'[1]Detailed COVID Calculations - 2'!$B$5:$AC$88,28,FALSE)</f>
        <v>0</v>
      </c>
      <c r="J68" s="41" t="str">
        <f t="shared" si="1"/>
        <v>NA</v>
      </c>
    </row>
    <row r="69" spans="1:10" s="1" customFormat="1">
      <c r="A69" s="5" t="str">
        <f>IF(VLOOKUP(B69,'[1]1. Select Services'!$A$6:$E$77,5,FALSE)="x","x","")</f>
        <v/>
      </c>
      <c r="B69" s="42">
        <v>70</v>
      </c>
      <c r="C69" s="42">
        <v>78</v>
      </c>
      <c r="D69" s="65"/>
      <c r="E69" s="66" t="s">
        <v>85</v>
      </c>
      <c r="F69" s="43"/>
      <c r="G69" s="44"/>
      <c r="H69" s="9">
        <f>VLOOKUP(B69,'[1]6. Lives Saved with Mitigation'!$B$15:$I$81,8,FALSE)</f>
        <v>0</v>
      </c>
      <c r="I69" s="9">
        <f>-VLOOKUP($B69,'[1]Detailed COVID Calculations - 2'!$B$5:$AC$88,28,FALSE)</f>
        <v>0</v>
      </c>
      <c r="J69" s="41" t="str">
        <f t="shared" si="1"/>
        <v>NA</v>
      </c>
    </row>
    <row r="70" spans="1:10" s="1" customFormat="1">
      <c r="A70" s="5" t="str">
        <f>IF(VLOOKUP(B70,'[1]1. Select Services'!$A$6:$E$77,5,FALSE)="x","x","")</f>
        <v/>
      </c>
      <c r="B70" s="45">
        <v>71</v>
      </c>
      <c r="C70" s="46">
        <v>54</v>
      </c>
      <c r="D70" s="47"/>
      <c r="E70" s="57" t="s">
        <v>86</v>
      </c>
      <c r="F70" s="48"/>
      <c r="G70" s="49"/>
      <c r="H70" s="9">
        <f>VLOOKUP(B70,'[1]6. Lives Saved with Mitigation'!$B$15:$I$81,8,FALSE)</f>
        <v>0</v>
      </c>
      <c r="I70" s="9">
        <f>-VLOOKUP($B70,'[1]Detailed COVID Calculations - 2'!$B$5:$AC$88,28,FALSE)</f>
        <v>0</v>
      </c>
      <c r="J70" s="41" t="str">
        <f t="shared" si="1"/>
        <v>NA</v>
      </c>
    </row>
  </sheetData>
  <mergeCells count="7">
    <mergeCell ref="D60:D67"/>
    <mergeCell ref="D68:D69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2024-11-16T08:51:00Z</dcterms:created>
  <dcterms:modified xsi:type="dcterms:W3CDTF">2025-11-30T09:09:53Z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C5610CF8CA9640EDB86755F032A392FF_11</vt:lpwstr>
  </property>
  <property fmtid="{D5CDD505-2E9C-101B-9397-08002B2CF9AE}" pid="3" name="KSOProductBuildVer">
    <vt:lpwstr>2052-12.1.0.19302</vt:lpwstr>
  </property>
</Properties>
</file>