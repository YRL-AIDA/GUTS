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1" i="1" l="1"/>
  <c r="E91" i="1"/>
  <c r="F90" i="1"/>
  <c r="E90" i="1"/>
  <c r="F89" i="1"/>
  <c r="E89" i="1"/>
  <c r="F78" i="1"/>
  <c r="E78" i="1"/>
  <c r="F77" i="1"/>
  <c r="E77" i="1"/>
  <c r="F76" i="1"/>
  <c r="E76" i="1"/>
  <c r="F66" i="1"/>
  <c r="E66" i="1"/>
  <c r="F65" i="1"/>
  <c r="E65" i="1"/>
  <c r="F64" i="1"/>
  <c r="E64" i="1"/>
  <c r="F48" i="1"/>
  <c r="E48" i="1"/>
  <c r="F47" i="1"/>
  <c r="E47" i="1"/>
  <c r="F46" i="1"/>
  <c r="E46" i="1"/>
  <c r="F28" i="1"/>
  <c r="E28" i="1"/>
  <c r="F27" i="1"/>
  <c r="E27" i="1"/>
  <c r="F26" i="1"/>
  <c r="E26" i="1"/>
  <c r="F14" i="1"/>
  <c r="E14" i="1"/>
  <c r="F13" i="1"/>
  <c r="E13" i="1"/>
  <c r="F12" i="1"/>
  <c r="E12" i="1"/>
</calcChain>
</file>

<file path=xl/sharedStrings.xml><?xml version="1.0" encoding="utf-8"?>
<sst xmlns="http://schemas.openxmlformats.org/spreadsheetml/2006/main" count="255" uniqueCount="45">
  <si>
    <t>Animal</t>
  </si>
  <si>
    <t>Genotype</t>
  </si>
  <si>
    <t>Group</t>
  </si>
  <si>
    <t>Treatment</t>
  </si>
  <si>
    <t>Time Centre (s)</t>
  </si>
  <si>
    <t>Latency Centre (s)</t>
  </si>
  <si>
    <t>C1</t>
  </si>
  <si>
    <t>WT</t>
  </si>
  <si>
    <t>Control</t>
  </si>
  <si>
    <t>Vehicle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</si>
  <si>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</si>
  <si>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</si>
  <si>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</si>
  <si>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</si>
  <si>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</si>
  <si>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</si>
  <si>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</si>
  <si>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</si>
  <si>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</si>
  <si>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average</t>
  </si>
  <si>
    <t>stdv</t>
  </si>
  <si>
    <t>sterror</t>
  </si>
  <si>
    <t>C11</t>
  </si>
  <si>
    <t>Fluoxetine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</si>
  <si>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</si>
  <si>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</si>
  <si>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</si>
  <si>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</si>
  <si>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</si>
  <si>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</si>
  <si>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</si>
  <si>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</si>
  <si>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</si>
  <si>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Stress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</si>
  <si>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</si>
  <si>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</si>
  <si>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</si>
  <si>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</si>
  <si>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</si>
  <si>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</si>
  <si>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</si>
  <si>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</si>
  <si>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</si>
  <si>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</si>
  <si>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FGF2KO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</si>
</sst>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tabSelected="1" topLeftCell="A48" workbookViewId="0">
      <selection activeCell="A80" sqref="A80:A91"/>
    </sheetView>
  </sheetViews>
  <sheetFormatPr defaultColWidth="13" defaultRowHeight="15.5"/>
  <cols>
    <col min="1" max="4" width="13" style="1"/>
    <col min="5" max="5" width="19.08984375" style="1" customWidth="1"/>
    <col min="6" max="6" width="25.81640625" style="1" customWidth="1"/>
    <col min="7" max="7" width="25.36328125" style="1" customWidth="1"/>
    <col min="8" max="16384" width="13" style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7">
      <c r="A2" s="5" t="s">
        <v>6</v>
      </c>
      <c r="B2" s="2" t="s">
        <v>7</v>
      </c>
      <c r="C2" s="2" t="s">
        <v>8</v>
      </c>
      <c r="D2" s="2" t="s">
        <v>9</v>
      </c>
      <c r="E2" s="1">
        <v>40.299999999999997</v>
      </c>
      <c r="F2" s="1">
        <v>39.1</v>
      </c>
    </row>
    <row r="3" spans="1:7">
      <c r="A3" s="5" t="s">
        <v>10</v>
      </c>
      <c r="B3" s="2" t="s">
        <v>7</v>
      </c>
      <c r="C3" s="2" t="s">
        <v>8</v>
      </c>
      <c r="D3" s="2" t="s">
        <v>9</v>
      </c>
      <c r="E3" s="1">
        <v>11</v>
      </c>
      <c r="F3" s="1">
        <v>1.7</v>
      </c>
    </row>
    <row r="4" spans="1:7">
      <c r="A4" s="5" t="s">
        <v>11</v>
      </c>
      <c r="B4" s="2" t="s">
        <v>7</v>
      </c>
      <c r="C4" s="2" t="s">
        <v>8</v>
      </c>
      <c r="D4" s="2" t="s">
        <v>9</v>
      </c>
      <c r="E4" s="1">
        <v>58.4</v>
      </c>
      <c r="F4" s="1">
        <v>0</v>
      </c>
    </row>
    <row r="5" spans="1:7">
      <c r="A5" s="5" t="s">
        <v>12</v>
      </c>
      <c r="B5" s="2" t="s">
        <v>7</v>
      </c>
      <c r="C5" s="2" t="s">
        <v>8</v>
      </c>
      <c r="D5" s="2" t="s">
        <v>9</v>
      </c>
      <c r="E5" s="1">
        <v>22</v>
      </c>
      <c r="F5" s="1">
        <v>0</v>
      </c>
    </row>
    <row r="6" spans="1:7">
      <c r="A6" s="5" t="s">
        <v>13</v>
      </c>
      <c r="B6" s="2" t="s">
        <v>7</v>
      </c>
      <c r="C6" s="2" t="s">
        <v>8</v>
      </c>
      <c r="D6" s="2" t="s">
        <v>9</v>
      </c>
      <c r="E6" s="1">
        <v>35</v>
      </c>
      <c r="F6" s="1">
        <v>0</v>
      </c>
    </row>
    <row r="7" spans="1:7">
      <c r="A7" s="5" t="s">
        <v>14</v>
      </c>
      <c r="B7" s="2" t="s">
        <v>7</v>
      </c>
      <c r="C7" s="2" t="s">
        <v>8</v>
      </c>
      <c r="D7" s="2" t="s">
        <v>9</v>
      </c>
      <c r="E7" s="1">
        <v>29.5</v>
      </c>
      <c r="F7" s="1">
        <v>0</v>
      </c>
    </row>
    <row r="8" spans="1:7">
      <c r="A8" s="5" t="s">
        <v>15</v>
      </c>
      <c r="B8" s="2" t="s">
        <v>7</v>
      </c>
      <c r="C8" s="2" t="s">
        <v>8</v>
      </c>
      <c r="D8" s="2" t="s">
        <v>9</v>
      </c>
      <c r="E8" s="1">
        <v>51.9</v>
      </c>
      <c r="F8" s="1">
        <v>0</v>
      </c>
    </row>
    <row r="9" spans="1:7">
      <c r="A9" s="5" t="s">
        <v>16</v>
      </c>
      <c r="B9" s="2" t="s">
        <v>7</v>
      </c>
      <c r="C9" s="2" t="s">
        <v>8</v>
      </c>
      <c r="D9" s="2" t="s">
        <v>9</v>
      </c>
      <c r="E9" s="1">
        <v>32</v>
      </c>
      <c r="F9" s="1">
        <v>0</v>
      </c>
    </row>
    <row r="10" spans="1:7">
      <c r="A10" s="5" t="s">
        <v>17</v>
      </c>
      <c r="B10" s="2" t="s">
        <v>7</v>
      </c>
      <c r="C10" s="2" t="s">
        <v>8</v>
      </c>
      <c r="D10" s="2" t="s">
        <v>9</v>
      </c>
      <c r="E10" s="1">
        <v>43.3</v>
      </c>
      <c r="F10" s="1">
        <v>2</v>
      </c>
    </row>
    <row r="11" spans="1:7">
      <c r="A11" s="5" t="s">
        <v>18</v>
      </c>
      <c r="B11" s="2" t="s">
        <v>7</v>
      </c>
      <c r="C11" s="2" t="s">
        <v>8</v>
      </c>
      <c r="D11" s="2" t="s">
        <v>9</v>
      </c>
      <c r="E11" s="1">
        <v>49</v>
      </c>
      <c r="F11" s="1">
        <v>0</v>
      </c>
    </row>
    <row r="12" spans="1:7">
      <c r="A12" s="5" t="s">
        <v>19</v>
      </c>
      <c r="B12" s="2"/>
      <c r="C12" s="2"/>
      <c r="D12" s="2"/>
      <c r="E12" s="1">
        <f>AVERAGE(E2:E11)</f>
        <v>37.24</v>
      </c>
      <c r="F12" s="1">
        <f>AVERAGE(F2:F11)</f>
        <v>4.28</v>
      </c>
      <c r="G12" s="3"/>
    </row>
    <row r="13" spans="1:7">
      <c r="A13" s="5" t="s">
        <v>20</v>
      </c>
      <c r="B13" s="2"/>
      <c r="C13" s="2"/>
      <c r="D13" s="2"/>
      <c r="E13" s="1">
        <f>STDEV(E2:E11)</f>
        <v>14.3767713884431</v>
      </c>
      <c r="F13" s="1">
        <f>STDEV(F2:F11)</f>
        <v>12.258856209106799</v>
      </c>
      <c r="G13" s="3"/>
    </row>
    <row r="14" spans="1:7">
      <c r="A14" s="5" t="s">
        <v>21</v>
      </c>
      <c r="B14" s="2"/>
      <c r="C14" s="2"/>
      <c r="D14" s="2"/>
      <c r="E14" s="1">
        <f>E13/SQRT(10)</f>
        <v>4.54633429870215</v>
      </c>
      <c r="F14" s="1">
        <f>F13/SQRT(10)</f>
        <v>3.8765907129274799</v>
      </c>
      <c r="G14" s="3"/>
    </row>
    <row r="15" spans="1:7">
      <c r="A15" s="2"/>
      <c r="B15" s="2"/>
      <c r="C15" s="2"/>
      <c r="D15" s="2"/>
    </row>
    <row r="16" spans="1:7">
      <c r="A16" s="5" t="s">
        <v>22</v>
      </c>
      <c r="B16" s="2" t="s">
        <v>7</v>
      </c>
      <c r="C16" s="2" t="s">
        <v>8</v>
      </c>
      <c r="D16" s="2" t="s">
        <v>23</v>
      </c>
      <c r="E16" s="1">
        <v>30</v>
      </c>
      <c r="F16" s="1">
        <v>0</v>
      </c>
    </row>
    <row r="17" spans="1:6">
      <c r="A17" s="5" t="s">
        <v>24</v>
      </c>
      <c r="B17" s="2" t="s">
        <v>7</v>
      </c>
      <c r="C17" s="2" t="s">
        <v>8</v>
      </c>
      <c r="D17" s="2" t="s">
        <v>23</v>
      </c>
      <c r="E17" s="1">
        <v>34.5</v>
      </c>
      <c r="F17" s="1">
        <v>35.5</v>
      </c>
    </row>
    <row r="18" spans="1:6">
      <c r="A18" s="5" t="s">
        <v>25</v>
      </c>
      <c r="B18" s="2" t="s">
        <v>7</v>
      </c>
      <c r="C18" s="2" t="s">
        <v>8</v>
      </c>
      <c r="D18" s="2" t="s">
        <v>23</v>
      </c>
      <c r="E18" s="1">
        <v>25.5</v>
      </c>
      <c r="F18" s="1">
        <v>0</v>
      </c>
    </row>
    <row r="19" spans="1:6">
      <c r="A19" s="5" t="s">
        <v>26</v>
      </c>
      <c r="B19" s="2" t="s">
        <v>7</v>
      </c>
      <c r="C19" s="2" t="s">
        <v>8</v>
      </c>
      <c r="D19" s="2" t="s">
        <v>23</v>
      </c>
      <c r="E19" s="1">
        <v>32.1</v>
      </c>
      <c r="F19" s="1">
        <v>0</v>
      </c>
    </row>
    <row r="20" spans="1:6">
      <c r="A20" s="5" t="s">
        <v>27</v>
      </c>
      <c r="B20" s="2" t="s">
        <v>7</v>
      </c>
      <c r="C20" s="2" t="s">
        <v>8</v>
      </c>
      <c r="D20" s="2" t="s">
        <v>23</v>
      </c>
      <c r="E20" s="1">
        <v>39.5</v>
      </c>
      <c r="F20" s="1">
        <v>9.8000000000000007</v>
      </c>
    </row>
    <row r="21" spans="1:6">
      <c r="A21" s="5" t="s">
        <v>28</v>
      </c>
      <c r="B21" s="2" t="s">
        <v>7</v>
      </c>
      <c r="C21" s="2" t="s">
        <v>8</v>
      </c>
      <c r="D21" s="2" t="s">
        <v>23</v>
      </c>
      <c r="E21" s="1">
        <v>30.2</v>
      </c>
      <c r="F21" s="1">
        <v>0.8</v>
      </c>
    </row>
    <row r="22" spans="1:6">
      <c r="A22" s="5" t="s">
        <v>29</v>
      </c>
      <c r="B22" s="2" t="s">
        <v>7</v>
      </c>
      <c r="C22" s="2" t="s">
        <v>8</v>
      </c>
      <c r="D22" s="2" t="s">
        <v>23</v>
      </c>
      <c r="E22" s="1">
        <v>23.5</v>
      </c>
      <c r="F22" s="1">
        <v>2</v>
      </c>
    </row>
    <row r="23" spans="1:6">
      <c r="A23" s="5" t="s">
        <v>30</v>
      </c>
      <c r="B23" s="2" t="s">
        <v>7</v>
      </c>
      <c r="C23" s="2" t="s">
        <v>8</v>
      </c>
      <c r="D23" s="2" t="s">
        <v>23</v>
      </c>
      <c r="E23" s="1">
        <v>32</v>
      </c>
      <c r="F23" s="1">
        <v>0</v>
      </c>
    </row>
    <row r="24" spans="1:6">
      <c r="A24" s="5" t="s">
        <v>31</v>
      </c>
      <c r="B24" s="2" t="s">
        <v>7</v>
      </c>
      <c r="C24" s="2" t="s">
        <v>8</v>
      </c>
      <c r="D24" s="2" t="s">
        <v>23</v>
      </c>
      <c r="E24" s="1">
        <v>36.299999999999997</v>
      </c>
      <c r="F24" s="1">
        <v>0</v>
      </c>
    </row>
    <row r="25" spans="1:6">
      <c r="A25" s="5" t="s">
        <v>32</v>
      </c>
      <c r="B25" s="2" t="s">
        <v>7</v>
      </c>
      <c r="C25" s="2" t="s">
        <v>8</v>
      </c>
      <c r="D25" s="2" t="s">
        <v>23</v>
      </c>
      <c r="E25" s="1">
        <v>25.7</v>
      </c>
      <c r="F25" s="1">
        <v>25.8</v>
      </c>
    </row>
    <row r="26" spans="1:6">
      <c r="A26" s="5" t="s">
        <v>19</v>
      </c>
      <c r="B26" s="2"/>
      <c r="C26" s="2"/>
      <c r="D26" s="2"/>
      <c r="E26" s="1">
        <f>AVERAGE(E16:E25)</f>
        <v>30.93</v>
      </c>
      <c r="F26" s="1">
        <f>AVERAGE(F16:F25)</f>
        <v>7.39</v>
      </c>
    </row>
    <row r="27" spans="1:6">
      <c r="A27" s="5" t="s">
        <v>20</v>
      </c>
      <c r="B27" s="2"/>
      <c r="C27" s="2"/>
      <c r="D27" s="2"/>
      <c r="E27" s="1">
        <f>STDEV(E16:E25)</f>
        <v>5.0660196955356902</v>
      </c>
      <c r="F27" s="1">
        <f>STDEV(F16:F25)</f>
        <v>12.8255344268117</v>
      </c>
    </row>
    <row r="28" spans="1:6">
      <c r="A28" s="5" t="s">
        <v>21</v>
      </c>
      <c r="B28" s="2"/>
      <c r="C28" s="2"/>
      <c r="D28" s="2"/>
      <c r="E28" s="1">
        <f>E27/SQRT(10)</f>
        <v>1.60201609091655</v>
      </c>
      <c r="F28" s="1">
        <f>F27/SQRT(10)</f>
        <v>4.0557900997627199</v>
      </c>
    </row>
    <row r="29" spans="1:6">
      <c r="A29" s="2"/>
      <c r="B29" s="2"/>
      <c r="C29" s="2"/>
      <c r="D29" s="2"/>
    </row>
    <row r="30" spans="1:6">
      <c r="A30" s="5">
        <v>351</v>
      </c>
      <c r="B30" s="2" t="s">
        <v>7</v>
      </c>
      <c r="C30" s="2" t="s">
        <v>33</v>
      </c>
      <c r="D30" s="2" t="s">
        <v>9</v>
      </c>
      <c r="E30" s="1">
        <v>27.6</v>
      </c>
      <c r="F30" s="1">
        <v>20.100000000000001</v>
      </c>
    </row>
    <row r="31" spans="1:6">
      <c r="A31" s="5">
        <v>191</v>
      </c>
      <c r="B31" s="2" t="s">
        <v>7</v>
      </c>
      <c r="C31" s="2" t="s">
        <v>33</v>
      </c>
      <c r="D31" s="2" t="s">
        <v>9</v>
      </c>
      <c r="E31" s="1">
        <v>15.5</v>
      </c>
      <c r="F31" s="1">
        <v>68.7</v>
      </c>
    </row>
    <row r="32" spans="1:6">
      <c r="A32" s="5">
        <v>251</v>
      </c>
      <c r="B32" s="2" t="s">
        <v>7</v>
      </c>
      <c r="C32" s="2" t="s">
        <v>33</v>
      </c>
      <c r="D32" s="2" t="s">
        <v>9</v>
      </c>
      <c r="E32" s="1">
        <v>19</v>
      </c>
      <c r="F32" s="1">
        <v>52.7</v>
      </c>
    </row>
    <row r="33" spans="1:6">
      <c r="A33" s="5">
        <v>361</v>
      </c>
      <c r="B33" s="2" t="s">
        <v>7</v>
      </c>
      <c r="C33" s="2" t="s">
        <v>33</v>
      </c>
      <c r="D33" s="2" t="s">
        <v>9</v>
      </c>
      <c r="E33" s="1">
        <v>27.4</v>
      </c>
      <c r="F33" s="1">
        <v>12</v>
      </c>
    </row>
    <row r="34" spans="1:6">
      <c r="A34" s="5">
        <v>541</v>
      </c>
      <c r="B34" s="2" t="s">
        <v>7</v>
      </c>
      <c r="C34" s="2" t="s">
        <v>33</v>
      </c>
      <c r="D34" s="2" t="s">
        <v>9</v>
      </c>
      <c r="E34" s="1">
        <v>17.899999999999999</v>
      </c>
      <c r="F34" s="1">
        <v>56</v>
      </c>
    </row>
    <row r="35" spans="1:6">
      <c r="A35" s="5">
        <v>852</v>
      </c>
      <c r="B35" s="2" t="s">
        <v>7</v>
      </c>
      <c r="C35" s="2" t="s">
        <v>33</v>
      </c>
      <c r="D35" s="2" t="s">
        <v>9</v>
      </c>
      <c r="E35" s="1">
        <v>7.3</v>
      </c>
      <c r="F35" s="1">
        <v>30.5</v>
      </c>
    </row>
    <row r="36" spans="1:6">
      <c r="A36" s="5">
        <v>4163</v>
      </c>
      <c r="B36" s="2" t="s">
        <v>7</v>
      </c>
      <c r="C36" s="2" t="s">
        <v>33</v>
      </c>
      <c r="D36" s="2" t="s">
        <v>9</v>
      </c>
      <c r="E36" s="1">
        <v>13.9</v>
      </c>
      <c r="F36" s="1">
        <v>16</v>
      </c>
    </row>
    <row r="37" spans="1:6">
      <c r="A37" s="5">
        <v>4213</v>
      </c>
      <c r="B37" s="2" t="s">
        <v>7</v>
      </c>
      <c r="C37" s="2" t="s">
        <v>33</v>
      </c>
      <c r="D37" s="2" t="s">
        <v>9</v>
      </c>
      <c r="E37" s="1">
        <v>33.299999999999997</v>
      </c>
      <c r="F37" s="1">
        <v>19</v>
      </c>
    </row>
    <row r="38" spans="1:6">
      <c r="A38" s="5">
        <v>4223</v>
      </c>
      <c r="B38" s="2" t="s">
        <v>7</v>
      </c>
      <c r="C38" s="2" t="s">
        <v>33</v>
      </c>
      <c r="D38" s="2" t="s">
        <v>9</v>
      </c>
      <c r="E38" s="1">
        <v>17</v>
      </c>
      <c r="F38" s="1">
        <v>17.2</v>
      </c>
    </row>
    <row r="39" spans="1:6">
      <c r="A39" s="5">
        <v>4303</v>
      </c>
      <c r="B39" s="2" t="s">
        <v>7</v>
      </c>
      <c r="C39" s="2" t="s">
        <v>33</v>
      </c>
      <c r="D39" s="2" t="s">
        <v>9</v>
      </c>
      <c r="E39" s="1">
        <v>34.5</v>
      </c>
      <c r="F39" s="1">
        <v>15.8</v>
      </c>
    </row>
    <row r="40" spans="1:6">
      <c r="A40" s="5">
        <v>4323</v>
      </c>
      <c r="B40" s="2" t="s">
        <v>7</v>
      </c>
      <c r="C40" s="2" t="s">
        <v>33</v>
      </c>
      <c r="D40" s="2" t="s">
        <v>9</v>
      </c>
      <c r="E40" s="1">
        <v>17.100000000000001</v>
      </c>
      <c r="F40" s="1">
        <v>69.400000000000006</v>
      </c>
    </row>
    <row r="41" spans="1:6">
      <c r="A41" s="5" t="s">
        <v>34</v>
      </c>
      <c r="B41" s="2" t="s">
        <v>7</v>
      </c>
      <c r="C41" s="2" t="s">
        <v>33</v>
      </c>
      <c r="D41" s="2" t="s">
        <v>9</v>
      </c>
      <c r="E41" s="1">
        <v>23.8</v>
      </c>
      <c r="F41" s="1">
        <v>0</v>
      </c>
    </row>
    <row r="42" spans="1:6">
      <c r="A42" s="5" t="s">
        <v>35</v>
      </c>
      <c r="B42" s="2" t="s">
        <v>7</v>
      </c>
      <c r="C42" s="2" t="s">
        <v>33</v>
      </c>
      <c r="D42" s="2" t="s">
        <v>9</v>
      </c>
      <c r="E42" s="1">
        <v>9.9</v>
      </c>
      <c r="F42" s="1">
        <v>0</v>
      </c>
    </row>
    <row r="43" spans="1:6">
      <c r="A43" s="5" t="s">
        <v>36</v>
      </c>
      <c r="B43" s="2" t="s">
        <v>7</v>
      </c>
      <c r="C43" s="2" t="s">
        <v>33</v>
      </c>
      <c r="D43" s="2" t="s">
        <v>9</v>
      </c>
      <c r="E43" s="1">
        <v>27</v>
      </c>
      <c r="F43" s="1">
        <v>0</v>
      </c>
    </row>
    <row r="44" spans="1:6">
      <c r="A44" s="5" t="s">
        <v>37</v>
      </c>
      <c r="B44" s="2" t="s">
        <v>7</v>
      </c>
      <c r="C44" s="2" t="s">
        <v>33</v>
      </c>
      <c r="D44" s="2" t="s">
        <v>9</v>
      </c>
      <c r="E44" s="1">
        <v>27.8</v>
      </c>
      <c r="F44" s="1">
        <v>0</v>
      </c>
    </row>
    <row r="45" spans="1:6">
      <c r="A45" s="5" t="s">
        <v>38</v>
      </c>
      <c r="B45" s="2" t="s">
        <v>7</v>
      </c>
      <c r="C45" s="2" t="s">
        <v>33</v>
      </c>
      <c r="D45" s="2" t="s">
        <v>9</v>
      </c>
      <c r="E45" s="1">
        <v>30.6</v>
      </c>
      <c r="F45" s="1">
        <v>0</v>
      </c>
    </row>
    <row r="46" spans="1:6">
      <c r="A46" s="5" t="s">
        <v>19</v>
      </c>
      <c r="B46" s="2"/>
      <c r="C46" s="2"/>
      <c r="D46" s="2"/>
      <c r="E46" s="1">
        <f>AVERAGE(E30:E45)</f>
        <v>21.85</v>
      </c>
      <c r="F46" s="1">
        <f>AVERAGE(F30:F45)</f>
        <v>23.587499999999999</v>
      </c>
    </row>
    <row r="47" spans="1:6">
      <c r="A47" s="5" t="s">
        <v>20</v>
      </c>
      <c r="B47" s="2"/>
      <c r="C47" s="2"/>
      <c r="D47" s="2"/>
      <c r="E47" s="1">
        <f>STDEV(E30:E45)</f>
        <v>8.2668817176329092</v>
      </c>
      <c r="F47" s="1">
        <f>STDEV(F30:F45)</f>
        <v>24.749622892750001</v>
      </c>
    </row>
    <row r="48" spans="1:6">
      <c r="A48" s="5" t="s">
        <v>21</v>
      </c>
      <c r="B48" s="2"/>
      <c r="C48" s="2"/>
      <c r="D48" s="2"/>
      <c r="E48" s="1">
        <f>E47/SQRT(16)</f>
        <v>2.06672042940823</v>
      </c>
      <c r="F48" s="1">
        <f>F47/SQRT(16)</f>
        <v>6.1874057231874904</v>
      </c>
    </row>
    <row r="49" spans="1:6">
      <c r="A49" s="2"/>
      <c r="B49" s="2"/>
      <c r="C49" s="2"/>
      <c r="D49" s="2"/>
    </row>
    <row r="50" spans="1:6">
      <c r="A50" s="5">
        <v>211</v>
      </c>
      <c r="B50" s="2" t="s">
        <v>7</v>
      </c>
      <c r="C50" s="2" t="s">
        <v>33</v>
      </c>
      <c r="D50" s="2" t="s">
        <v>23</v>
      </c>
      <c r="E50" s="1">
        <v>10.7</v>
      </c>
      <c r="F50" s="1">
        <v>20</v>
      </c>
    </row>
    <row r="51" spans="1:6">
      <c r="A51" s="5">
        <v>291</v>
      </c>
      <c r="B51" s="2" t="s">
        <v>7</v>
      </c>
      <c r="C51" s="2" t="s">
        <v>33</v>
      </c>
      <c r="D51" s="2" t="s">
        <v>23</v>
      </c>
      <c r="E51" s="1">
        <v>10</v>
      </c>
      <c r="F51" s="1">
        <v>11.2</v>
      </c>
    </row>
    <row r="52" spans="1:6">
      <c r="A52" s="5">
        <v>111</v>
      </c>
      <c r="B52" s="2" t="s">
        <v>7</v>
      </c>
      <c r="C52" s="2" t="s">
        <v>33</v>
      </c>
      <c r="D52" s="2" t="s">
        <v>23</v>
      </c>
      <c r="E52" s="1">
        <v>13.9</v>
      </c>
      <c r="F52" s="1">
        <v>17.399999999999999</v>
      </c>
    </row>
    <row r="53" spans="1:6">
      <c r="A53" s="5">
        <v>11</v>
      </c>
      <c r="B53" s="2" t="s">
        <v>7</v>
      </c>
      <c r="C53" s="2" t="s">
        <v>33</v>
      </c>
      <c r="D53" s="2" t="s">
        <v>23</v>
      </c>
      <c r="E53" s="1">
        <v>18.2</v>
      </c>
      <c r="F53" s="1">
        <v>46</v>
      </c>
    </row>
    <row r="54" spans="1:6">
      <c r="A54" s="5">
        <v>672</v>
      </c>
      <c r="B54" s="2" t="s">
        <v>7</v>
      </c>
      <c r="C54" s="2" t="s">
        <v>33</v>
      </c>
      <c r="D54" s="2" t="s">
        <v>23</v>
      </c>
      <c r="E54" s="1">
        <v>12.5</v>
      </c>
      <c r="F54" s="1">
        <v>17.600000000000001</v>
      </c>
    </row>
    <row r="55" spans="1:6">
      <c r="A55" s="5">
        <v>4333</v>
      </c>
      <c r="B55" s="2" t="s">
        <v>7</v>
      </c>
      <c r="C55" s="2" t="s">
        <v>33</v>
      </c>
      <c r="D55" s="2" t="s">
        <v>23</v>
      </c>
      <c r="E55" s="1">
        <v>12.3</v>
      </c>
      <c r="F55" s="1">
        <v>47.9</v>
      </c>
    </row>
    <row r="56" spans="1:6">
      <c r="A56" s="5">
        <v>4353</v>
      </c>
      <c r="B56" s="2" t="s">
        <v>7</v>
      </c>
      <c r="C56" s="2" t="s">
        <v>33</v>
      </c>
      <c r="D56" s="2" t="s">
        <v>23</v>
      </c>
      <c r="E56" s="1">
        <v>8.1</v>
      </c>
      <c r="F56" s="1">
        <v>33.799999999999997</v>
      </c>
    </row>
    <row r="57" spans="1:6">
      <c r="A57" s="5">
        <v>4383</v>
      </c>
      <c r="B57" s="2" t="s">
        <v>7</v>
      </c>
      <c r="C57" s="2" t="s">
        <v>33</v>
      </c>
      <c r="D57" s="2" t="s">
        <v>23</v>
      </c>
      <c r="E57" s="1">
        <v>14.3</v>
      </c>
      <c r="F57" s="1">
        <v>94.6</v>
      </c>
    </row>
    <row r="58" spans="1:6">
      <c r="A58" s="5">
        <v>4393</v>
      </c>
      <c r="B58" s="2" t="s">
        <v>7</v>
      </c>
      <c r="C58" s="2" t="s">
        <v>33</v>
      </c>
      <c r="D58" s="2" t="s">
        <v>23</v>
      </c>
      <c r="E58" s="1">
        <v>24.4</v>
      </c>
      <c r="F58" s="1">
        <v>4.9000000000000004</v>
      </c>
    </row>
    <row r="59" spans="1:6">
      <c r="A59" s="5" t="s">
        <v>39</v>
      </c>
      <c r="B59" s="2" t="s">
        <v>7</v>
      </c>
      <c r="C59" s="2" t="s">
        <v>33</v>
      </c>
      <c r="D59" s="2" t="s">
        <v>23</v>
      </c>
      <c r="E59" s="1">
        <v>32.200000000000003</v>
      </c>
      <c r="F59" s="1">
        <v>0</v>
      </c>
    </row>
    <row r="60" spans="1:6">
      <c r="A60" s="5" t="s">
        <v>40</v>
      </c>
      <c r="B60" s="2" t="s">
        <v>7</v>
      </c>
      <c r="C60" s="2" t="s">
        <v>33</v>
      </c>
      <c r="D60" s="2" t="s">
        <v>23</v>
      </c>
      <c r="E60" s="1">
        <v>41.6</v>
      </c>
      <c r="F60" s="1">
        <v>0</v>
      </c>
    </row>
    <row r="61" spans="1:6">
      <c r="A61" s="5" t="s">
        <v>41</v>
      </c>
      <c r="B61" s="2" t="s">
        <v>7</v>
      </c>
      <c r="C61" s="2" t="s">
        <v>33</v>
      </c>
      <c r="D61" s="2" t="s">
        <v>23</v>
      </c>
      <c r="E61" s="1">
        <v>22.9</v>
      </c>
      <c r="F61" s="1">
        <v>0</v>
      </c>
    </row>
    <row r="62" spans="1:6">
      <c r="A62" s="5" t="s">
        <v>42</v>
      </c>
      <c r="B62" s="2" t="s">
        <v>7</v>
      </c>
      <c r="C62" s="2" t="s">
        <v>33</v>
      </c>
      <c r="D62" s="2" t="s">
        <v>23</v>
      </c>
      <c r="E62" s="1">
        <v>26.4</v>
      </c>
      <c r="F62" s="1">
        <v>13.2</v>
      </c>
    </row>
    <row r="63" spans="1:6">
      <c r="A63" s="5" t="s">
        <v>43</v>
      </c>
      <c r="B63" s="2" t="s">
        <v>7</v>
      </c>
      <c r="C63" s="2" t="s">
        <v>33</v>
      </c>
      <c r="D63" s="2" t="s">
        <v>23</v>
      </c>
      <c r="E63" s="1">
        <v>3.2</v>
      </c>
      <c r="F63" s="1">
        <v>41.1</v>
      </c>
    </row>
    <row r="64" spans="1:6">
      <c r="A64" s="5" t="s">
        <v>19</v>
      </c>
      <c r="B64" s="2"/>
      <c r="C64" s="2"/>
      <c r="D64" s="2"/>
      <c r="E64" s="1">
        <f>AVERAGE(E50:E63)</f>
        <v>17.907142857142901</v>
      </c>
      <c r="F64" s="1">
        <f>AVERAGE(F50:F63)</f>
        <v>24.8357142857143</v>
      </c>
    </row>
    <row r="65" spans="1:6">
      <c r="A65" s="5" t="s">
        <v>20</v>
      </c>
      <c r="B65" s="2"/>
      <c r="C65" s="2"/>
      <c r="D65" s="2"/>
      <c r="E65" s="1">
        <f>STDEV(E50:E63)</f>
        <v>10.457346647266601</v>
      </c>
      <c r="F65" s="1">
        <f>STDEV(F50:F63)</f>
        <v>26.1534703431306</v>
      </c>
    </row>
    <row r="66" spans="1:6">
      <c r="A66" s="5" t="s">
        <v>21</v>
      </c>
      <c r="B66" s="2"/>
      <c r="C66" s="2"/>
      <c r="D66" s="2"/>
      <c r="E66" s="1">
        <f>E65/SQRT(14)</f>
        <v>2.7948434520572101</v>
      </c>
      <c r="F66" s="1">
        <f>F65/SQRT(14)</f>
        <v>6.9898089642248404</v>
      </c>
    </row>
    <row r="67" spans="1:6">
      <c r="A67" s="2"/>
      <c r="B67" s="2"/>
      <c r="C67" s="2"/>
      <c r="D67" s="2"/>
    </row>
    <row r="68" spans="1:6">
      <c r="A68" s="5">
        <v>411</v>
      </c>
      <c r="B68" s="2" t="s">
        <v>44</v>
      </c>
      <c r="C68" s="2" t="s">
        <v>33</v>
      </c>
      <c r="D68" s="2" t="s">
        <v>9</v>
      </c>
      <c r="E68" s="1">
        <v>7</v>
      </c>
      <c r="F68" s="1">
        <v>213.5</v>
      </c>
    </row>
    <row r="69" spans="1:6">
      <c r="A69" s="5">
        <v>131</v>
      </c>
      <c r="B69" s="2" t="s">
        <v>44</v>
      </c>
      <c r="C69" s="2" t="s">
        <v>33</v>
      </c>
      <c r="D69" s="2" t="s">
        <v>9</v>
      </c>
      <c r="E69" s="1">
        <v>17.3</v>
      </c>
      <c r="F69" s="1">
        <v>22.1</v>
      </c>
    </row>
    <row r="70" spans="1:6">
      <c r="A70" s="5">
        <v>141</v>
      </c>
      <c r="B70" s="2" t="s">
        <v>44</v>
      </c>
      <c r="C70" s="2" t="s">
        <v>33</v>
      </c>
      <c r="D70" s="2" t="s">
        <v>9</v>
      </c>
      <c r="E70" s="1">
        <v>9.6999999999999993</v>
      </c>
      <c r="F70" s="1">
        <v>27.4</v>
      </c>
    </row>
    <row r="71" spans="1:6">
      <c r="A71" s="5">
        <v>151</v>
      </c>
      <c r="B71" s="2" t="s">
        <v>44</v>
      </c>
      <c r="C71" s="2" t="s">
        <v>33</v>
      </c>
      <c r="D71" s="2" t="s">
        <v>9</v>
      </c>
      <c r="E71" s="1">
        <v>19.399999999999999</v>
      </c>
      <c r="F71" s="1">
        <v>58</v>
      </c>
    </row>
    <row r="72" spans="1:6">
      <c r="A72" s="5">
        <v>802</v>
      </c>
      <c r="B72" s="2" t="s">
        <v>44</v>
      </c>
      <c r="C72" s="2" t="s">
        <v>33</v>
      </c>
      <c r="D72" s="2" t="s">
        <v>9</v>
      </c>
      <c r="E72" s="1">
        <v>15.6</v>
      </c>
      <c r="F72" s="1">
        <v>27.8</v>
      </c>
    </row>
    <row r="73" spans="1:6">
      <c r="A73" s="5">
        <v>812</v>
      </c>
      <c r="B73" s="2" t="s">
        <v>44</v>
      </c>
      <c r="C73" s="2" t="s">
        <v>33</v>
      </c>
      <c r="D73" s="2" t="s">
        <v>9</v>
      </c>
      <c r="E73" s="1">
        <v>13.5</v>
      </c>
      <c r="F73" s="1">
        <v>28</v>
      </c>
    </row>
    <row r="74" spans="1:6">
      <c r="A74" s="5">
        <v>4043</v>
      </c>
      <c r="B74" s="2" t="s">
        <v>44</v>
      </c>
      <c r="C74" s="2" t="s">
        <v>33</v>
      </c>
      <c r="D74" s="2" t="s">
        <v>9</v>
      </c>
      <c r="E74" s="1">
        <v>6.7</v>
      </c>
      <c r="F74" s="1">
        <v>32.1</v>
      </c>
    </row>
    <row r="75" spans="1:6">
      <c r="A75" s="5">
        <v>4113</v>
      </c>
      <c r="B75" s="2" t="s">
        <v>44</v>
      </c>
      <c r="C75" s="2" t="s">
        <v>33</v>
      </c>
      <c r="D75" s="2" t="s">
        <v>9</v>
      </c>
      <c r="E75" s="1">
        <v>25.4</v>
      </c>
      <c r="F75" s="1">
        <v>51.8</v>
      </c>
    </row>
    <row r="76" spans="1:6">
      <c r="A76" s="5" t="s">
        <v>19</v>
      </c>
      <c r="B76" s="2"/>
      <c r="C76" s="2"/>
      <c r="D76" s="2"/>
      <c r="E76" s="1">
        <f>AVERAGE(E68:E75)</f>
        <v>14.324999999999999</v>
      </c>
      <c r="F76" s="1">
        <f>AVERAGE(F68:F75)</f>
        <v>57.587499999999999</v>
      </c>
    </row>
    <row r="77" spans="1:6">
      <c r="A77" s="5" t="s">
        <v>20</v>
      </c>
      <c r="B77" s="2"/>
      <c r="C77" s="2"/>
      <c r="D77" s="2"/>
      <c r="E77" s="1">
        <f>STDEV(E68:E75)</f>
        <v>6.4670041639960996</v>
      </c>
      <c r="F77" s="1">
        <f>STDEV(F68:F75)</f>
        <v>64.282133432015399</v>
      </c>
    </row>
    <row r="78" spans="1:6">
      <c r="A78" s="5" t="s">
        <v>21</v>
      </c>
      <c r="B78" s="2"/>
      <c r="C78" s="2"/>
      <c r="D78" s="2"/>
      <c r="E78" s="1">
        <f>E77/SQRT(8)</f>
        <v>2.2864312491616401</v>
      </c>
      <c r="F78" s="1">
        <f>F77/SQRT(8)</f>
        <v>22.727166229458302</v>
      </c>
    </row>
    <row r="79" spans="1:6">
      <c r="A79" s="2"/>
      <c r="B79" s="2"/>
      <c r="C79" s="2"/>
      <c r="D79" s="2"/>
    </row>
    <row r="80" spans="1:6">
      <c r="A80" s="5">
        <v>121</v>
      </c>
      <c r="B80" s="2" t="s">
        <v>44</v>
      </c>
      <c r="C80" s="2" t="s">
        <v>33</v>
      </c>
      <c r="D80" s="2" t="s">
        <v>23</v>
      </c>
      <c r="E80" s="1">
        <v>10.4</v>
      </c>
      <c r="F80" s="1">
        <v>72</v>
      </c>
    </row>
    <row r="81" spans="1:6">
      <c r="A81" s="5">
        <v>201</v>
      </c>
      <c r="B81" s="2" t="s">
        <v>44</v>
      </c>
      <c r="C81" s="2" t="s">
        <v>33</v>
      </c>
      <c r="D81" s="2" t="s">
        <v>23</v>
      </c>
      <c r="E81" s="1">
        <v>19.600000000000001</v>
      </c>
      <c r="F81" s="1">
        <v>14</v>
      </c>
    </row>
    <row r="82" spans="1:6">
      <c r="A82" s="5">
        <v>181</v>
      </c>
      <c r="B82" s="2" t="s">
        <v>44</v>
      </c>
      <c r="C82" s="2" t="s">
        <v>33</v>
      </c>
      <c r="D82" s="2" t="s">
        <v>23</v>
      </c>
      <c r="E82" s="1">
        <v>21.3</v>
      </c>
      <c r="F82" s="1">
        <v>8.8000000000000007</v>
      </c>
    </row>
    <row r="83" spans="1:6">
      <c r="A83" s="5">
        <v>391</v>
      </c>
      <c r="B83" s="2" t="s">
        <v>44</v>
      </c>
      <c r="C83" s="2" t="s">
        <v>33</v>
      </c>
      <c r="D83" s="2" t="s">
        <v>23</v>
      </c>
      <c r="E83" s="1">
        <v>10.4</v>
      </c>
      <c r="F83" s="1">
        <v>66.900000000000006</v>
      </c>
    </row>
    <row r="84" spans="1:6">
      <c r="A84" s="5">
        <v>702</v>
      </c>
      <c r="B84" s="2" t="s">
        <v>44</v>
      </c>
      <c r="C84" s="2" t="s">
        <v>33</v>
      </c>
      <c r="D84" s="2" t="s">
        <v>23</v>
      </c>
      <c r="E84" s="1">
        <v>10.7</v>
      </c>
      <c r="F84" s="1">
        <v>17.899999999999999</v>
      </c>
    </row>
    <row r="85" spans="1:6">
      <c r="A85" s="5">
        <v>642</v>
      </c>
      <c r="B85" s="2" t="s">
        <v>44</v>
      </c>
      <c r="C85" s="2" t="s">
        <v>33</v>
      </c>
      <c r="D85" s="2" t="s">
        <v>23</v>
      </c>
      <c r="E85" s="1">
        <v>13.1</v>
      </c>
      <c r="F85" s="1">
        <v>51</v>
      </c>
    </row>
    <row r="86" spans="1:6">
      <c r="A86" s="5">
        <v>4153</v>
      </c>
      <c r="B86" s="2" t="s">
        <v>44</v>
      </c>
      <c r="C86" s="2" t="s">
        <v>33</v>
      </c>
      <c r="D86" s="2" t="s">
        <v>23</v>
      </c>
      <c r="E86" s="1">
        <v>26.4</v>
      </c>
      <c r="F86" s="1">
        <v>44.3</v>
      </c>
    </row>
    <row r="87" spans="1:6">
      <c r="A87" s="5">
        <v>4313</v>
      </c>
      <c r="B87" s="2" t="s">
        <v>44</v>
      </c>
      <c r="C87" s="2" t="s">
        <v>33</v>
      </c>
      <c r="D87" s="2" t="s">
        <v>23</v>
      </c>
      <c r="E87" s="1">
        <v>7.8</v>
      </c>
      <c r="F87" s="1">
        <v>54</v>
      </c>
    </row>
    <row r="88" spans="1:6">
      <c r="A88" s="5">
        <v>4783</v>
      </c>
      <c r="B88" s="2" t="s">
        <v>44</v>
      </c>
      <c r="C88" s="2" t="s">
        <v>33</v>
      </c>
      <c r="D88" s="2" t="s">
        <v>23</v>
      </c>
      <c r="E88" s="1">
        <v>24.1</v>
      </c>
      <c r="F88" s="1">
        <v>49.7</v>
      </c>
    </row>
    <row r="89" spans="1:6">
      <c r="A89" s="5" t="s">
        <v>19</v>
      </c>
      <c r="E89" s="1">
        <f>AVERAGE(E80:E88)</f>
        <v>15.977777777777799</v>
      </c>
      <c r="F89" s="1">
        <f>AVERAGE(F80:F88)</f>
        <v>42.066666666666698</v>
      </c>
    </row>
    <row r="90" spans="1:6">
      <c r="A90" s="5" t="s">
        <v>20</v>
      </c>
      <c r="E90" s="1">
        <f>STDEV(E80:E88)</f>
        <v>6.9035820009937199</v>
      </c>
      <c r="F90" s="1">
        <f>STDEV(F80:F88)</f>
        <v>23.1208780110099</v>
      </c>
    </row>
    <row r="91" spans="1:6">
      <c r="A91" s="5" t="s">
        <v>21</v>
      </c>
      <c r="E91" s="1">
        <f>E90/SQRT(9)</f>
        <v>2.3011940003312401</v>
      </c>
      <c r="F91" s="1">
        <f>F90/SQRT(9)</f>
        <v>7.7069593370032896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2024-11-23T11:08:00Z</dcterms:created>
  <dcterms:modified xsi:type="dcterms:W3CDTF">2025-11-27T15:27:02Z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EFDC3B6CB28B4499A845B75151A0892A_11</vt:lpwstr>
  </property>
  <property fmtid="{D5CDD505-2E9C-101B-9397-08002B2CF9AE}" pid="3" name="KSOProductBuildVer">
    <vt:lpwstr>2052-12.1.0.19302</vt:lpwstr>
  </property>
</Properties>
</file>