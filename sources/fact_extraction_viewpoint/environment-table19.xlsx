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3" sheetId="1" r:id="rId1"/>
  </sheets>
  <definedNames>
    <definedName name="_xlnm.Print_Area" localSheetId="0">'Table 3'!$A$1:$F$230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9" i="1" l="1"/>
  <c r="E229" i="1"/>
  <c r="D229" i="1"/>
  <c r="C229" i="1"/>
  <c r="F228" i="1"/>
  <c r="E228" i="1"/>
  <c r="D228" i="1"/>
  <c r="C228" i="1"/>
  <c r="F227" i="1"/>
  <c r="E227" i="1"/>
  <c r="D227" i="1"/>
  <c r="C227" i="1"/>
  <c r="F226" i="1"/>
  <c r="E226" i="1"/>
  <c r="D226" i="1"/>
  <c r="C226" i="1"/>
  <c r="F225" i="1"/>
  <c r="B225" i="1"/>
  <c r="F224" i="1"/>
  <c r="F223" i="1"/>
  <c r="F222" i="1"/>
  <c r="F221" i="1"/>
  <c r="F214" i="1"/>
  <c r="E214" i="1"/>
  <c r="D214" i="1"/>
  <c r="C214" i="1"/>
  <c r="F213" i="1"/>
  <c r="B213" i="1"/>
  <c r="F212" i="1"/>
  <c r="F211" i="1"/>
  <c r="F210" i="1"/>
  <c r="F209" i="1"/>
  <c r="F208" i="1"/>
  <c r="E208" i="1"/>
  <c r="D208" i="1"/>
  <c r="C208" i="1"/>
  <c r="F207" i="1"/>
  <c r="B207" i="1"/>
  <c r="F206" i="1"/>
  <c r="F205" i="1"/>
  <c r="F204" i="1"/>
  <c r="F203" i="1"/>
  <c r="F202" i="1"/>
  <c r="E202" i="1"/>
  <c r="D202" i="1"/>
  <c r="C202" i="1"/>
  <c r="F201" i="1"/>
  <c r="B201" i="1"/>
  <c r="F200" i="1"/>
  <c r="F199" i="1"/>
  <c r="F198" i="1"/>
  <c r="F197" i="1"/>
  <c r="F196" i="1"/>
  <c r="E196" i="1"/>
  <c r="D196" i="1"/>
  <c r="C196" i="1"/>
  <c r="F195" i="1"/>
  <c r="B195" i="1"/>
  <c r="F194" i="1"/>
  <c r="F193" i="1"/>
  <c r="F192" i="1"/>
  <c r="F191" i="1"/>
  <c r="F190" i="1"/>
  <c r="E190" i="1"/>
  <c r="D190" i="1"/>
  <c r="C190" i="1"/>
  <c r="F189" i="1"/>
  <c r="B189" i="1"/>
  <c r="F188" i="1"/>
  <c r="F187" i="1"/>
  <c r="F186" i="1"/>
  <c r="F185" i="1"/>
  <c r="F184" i="1"/>
  <c r="E184" i="1"/>
  <c r="D184" i="1"/>
  <c r="C184" i="1"/>
  <c r="F183" i="1"/>
  <c r="B183" i="1"/>
  <c r="F182" i="1"/>
  <c r="F181" i="1"/>
  <c r="F180" i="1"/>
  <c r="F179" i="1"/>
  <c r="F178" i="1"/>
  <c r="E178" i="1"/>
  <c r="D178" i="1"/>
  <c r="C178" i="1"/>
  <c r="F177" i="1"/>
  <c r="B177" i="1"/>
  <c r="F176" i="1"/>
  <c r="F175" i="1"/>
  <c r="F174" i="1"/>
  <c r="F173" i="1"/>
  <c r="F172" i="1"/>
  <c r="E172" i="1"/>
  <c r="D172" i="1"/>
  <c r="C172" i="1"/>
  <c r="F171" i="1"/>
  <c r="B171" i="1"/>
  <c r="F170" i="1"/>
  <c r="F169" i="1"/>
  <c r="F168" i="1"/>
  <c r="F167" i="1"/>
  <c r="F161" i="1"/>
  <c r="E161" i="1"/>
  <c r="D161" i="1"/>
  <c r="C161" i="1"/>
  <c r="F160" i="1"/>
  <c r="B160" i="1"/>
  <c r="F159" i="1"/>
  <c r="F158" i="1"/>
  <c r="F157" i="1"/>
  <c r="F156" i="1"/>
  <c r="F155" i="1"/>
  <c r="E155" i="1"/>
  <c r="D155" i="1"/>
  <c r="C155" i="1"/>
  <c r="F154" i="1"/>
  <c r="B154" i="1"/>
  <c r="F153" i="1"/>
  <c r="F152" i="1"/>
  <c r="F151" i="1"/>
  <c r="F150" i="1"/>
  <c r="F143" i="1"/>
  <c r="E143" i="1"/>
  <c r="D143" i="1"/>
  <c r="C143" i="1"/>
  <c r="F142" i="1"/>
  <c r="B142" i="1"/>
  <c r="F141" i="1"/>
  <c r="F140" i="1"/>
  <c r="F139" i="1"/>
  <c r="F138" i="1"/>
  <c r="F131" i="1"/>
  <c r="E131" i="1"/>
  <c r="D131" i="1"/>
  <c r="C131" i="1"/>
  <c r="F130" i="1"/>
  <c r="B130" i="1"/>
  <c r="F129" i="1"/>
  <c r="F128" i="1"/>
  <c r="F127" i="1"/>
  <c r="F126" i="1"/>
  <c r="F125" i="1"/>
  <c r="E125" i="1"/>
  <c r="D125" i="1"/>
  <c r="C125" i="1"/>
  <c r="F124" i="1"/>
  <c r="B124" i="1"/>
  <c r="F123" i="1"/>
  <c r="F122" i="1"/>
  <c r="F121" i="1"/>
  <c r="F120" i="1"/>
  <c r="F119" i="1"/>
  <c r="E119" i="1"/>
  <c r="D119" i="1"/>
  <c r="C119" i="1"/>
  <c r="F118" i="1"/>
  <c r="B118" i="1"/>
  <c r="F117" i="1"/>
  <c r="F116" i="1"/>
  <c r="F115" i="1"/>
  <c r="F114" i="1"/>
  <c r="F113" i="1"/>
  <c r="E113" i="1"/>
  <c r="D113" i="1"/>
  <c r="C113" i="1"/>
  <c r="F112" i="1"/>
  <c r="B112" i="1"/>
  <c r="F111" i="1"/>
  <c r="F110" i="1"/>
  <c r="F109" i="1"/>
  <c r="F108" i="1"/>
  <c r="F107" i="1"/>
  <c r="E107" i="1"/>
  <c r="D107" i="1"/>
  <c r="C107" i="1"/>
  <c r="F106" i="1"/>
  <c r="B106" i="1"/>
  <c r="F105" i="1"/>
  <c r="F104" i="1"/>
  <c r="F103" i="1"/>
  <c r="F102" i="1"/>
  <c r="F101" i="1"/>
  <c r="E101" i="1"/>
  <c r="D101" i="1"/>
  <c r="C101" i="1"/>
  <c r="F100" i="1"/>
  <c r="B100" i="1"/>
  <c r="F99" i="1"/>
  <c r="F98" i="1"/>
  <c r="F97" i="1"/>
  <c r="F96" i="1"/>
  <c r="F95" i="1"/>
  <c r="E95" i="1"/>
  <c r="D95" i="1"/>
  <c r="C95" i="1"/>
  <c r="F94" i="1"/>
  <c r="B94" i="1"/>
  <c r="F93" i="1"/>
  <c r="F92" i="1"/>
  <c r="F91" i="1"/>
  <c r="F90" i="1"/>
  <c r="F89" i="1"/>
  <c r="E89" i="1"/>
  <c r="D89" i="1"/>
  <c r="C89" i="1"/>
  <c r="F88" i="1"/>
  <c r="B88" i="1"/>
  <c r="F87" i="1"/>
  <c r="F86" i="1"/>
  <c r="F85" i="1"/>
  <c r="F84" i="1"/>
  <c r="F78" i="1"/>
  <c r="E78" i="1"/>
  <c r="D78" i="1"/>
  <c r="C78" i="1"/>
  <c r="F77" i="1"/>
  <c r="B77" i="1"/>
  <c r="F76" i="1"/>
  <c r="F75" i="1"/>
  <c r="F74" i="1"/>
  <c r="F73" i="1"/>
  <c r="F72" i="1"/>
  <c r="E72" i="1"/>
  <c r="D72" i="1"/>
  <c r="C72" i="1"/>
  <c r="F71" i="1"/>
  <c r="B71" i="1"/>
  <c r="F70" i="1"/>
  <c r="F69" i="1"/>
  <c r="F68" i="1"/>
  <c r="F67" i="1"/>
  <c r="F60" i="1"/>
  <c r="E60" i="1"/>
  <c r="D60" i="1"/>
  <c r="C60" i="1"/>
  <c r="F59" i="1"/>
  <c r="B59" i="1"/>
  <c r="F58" i="1"/>
  <c r="F57" i="1"/>
  <c r="F56" i="1"/>
  <c r="F55" i="1"/>
  <c r="F54" i="1"/>
  <c r="E54" i="1"/>
  <c r="D54" i="1"/>
  <c r="C54" i="1"/>
  <c r="F53" i="1"/>
  <c r="B53" i="1"/>
  <c r="F52" i="1"/>
  <c r="F51" i="1"/>
  <c r="F50" i="1"/>
  <c r="F49" i="1"/>
  <c r="F48" i="1"/>
  <c r="E48" i="1"/>
  <c r="D48" i="1"/>
  <c r="C48" i="1"/>
  <c r="F47" i="1"/>
  <c r="B47" i="1"/>
  <c r="F46" i="1"/>
  <c r="F45" i="1"/>
  <c r="F44" i="1"/>
  <c r="F43" i="1"/>
  <c r="F42" i="1"/>
  <c r="E42" i="1"/>
  <c r="D42" i="1"/>
  <c r="C42" i="1"/>
  <c r="F41" i="1"/>
  <c r="B41" i="1"/>
  <c r="F40" i="1"/>
  <c r="F39" i="1"/>
  <c r="F38" i="1"/>
  <c r="F37" i="1"/>
  <c r="F36" i="1"/>
  <c r="E36" i="1"/>
  <c r="D36" i="1"/>
  <c r="C36" i="1"/>
  <c r="F35" i="1"/>
  <c r="B35" i="1"/>
  <c r="F34" i="1"/>
  <c r="F33" i="1"/>
  <c r="F32" i="1"/>
  <c r="F31" i="1"/>
  <c r="F30" i="1"/>
  <c r="E30" i="1"/>
  <c r="D30" i="1"/>
  <c r="C30" i="1"/>
  <c r="F29" i="1"/>
  <c r="B29" i="1"/>
  <c r="F28" i="1"/>
  <c r="F27" i="1"/>
  <c r="F26" i="1"/>
  <c r="F25" i="1"/>
  <c r="F24" i="1"/>
  <c r="E24" i="1"/>
  <c r="D24" i="1"/>
  <c r="C24" i="1"/>
  <c r="F23" i="1"/>
  <c r="B23" i="1"/>
  <c r="F22" i="1"/>
  <c r="F21" i="1"/>
  <c r="F20" i="1"/>
  <c r="F19" i="1"/>
  <c r="F18" i="1"/>
  <c r="E18" i="1"/>
  <c r="D18" i="1"/>
  <c r="C18" i="1"/>
  <c r="F17" i="1"/>
  <c r="B17" i="1"/>
  <c r="F16" i="1"/>
  <c r="F15" i="1"/>
  <c r="F14" i="1"/>
  <c r="F13" i="1"/>
  <c r="F12" i="1"/>
  <c r="E12" i="1"/>
  <c r="D12" i="1"/>
  <c r="C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<sst xmlns="http://schemas.openxmlformats.org/spreadsheetml/2006/main" count="535" uniqueCount="59">
  <si>
    <t xml:space="preserve">Table 3 Scientific procedures by species of animal, primary purpose and genetic status </t>
  </si>
  <si>
    <t>Great Britain 2011</t>
  </si>
  <si>
    <t>Number of procedures</t>
  </si>
  <si>
    <t>Species of animal</t>
  </si>
  <si>
    <t>Primary purpose of procedure</t>
  </si>
  <si>
    <t>Genetic status</t>
  </si>
  <si>
    <t>Total</t>
  </si>
  <si>
    <t>Normal animal</t>
  </si>
  <si>
    <t>Animal with harmful genetic defect</t>
  </si>
  <si>
    <t>Genetically modified animal</t>
  </si>
  <si>
    <t>Mouse</t>
  </si>
  <si>
    <t>Fundamental biological research</t>
  </si>
  <si>
    <t xml:space="preserve">Applied studies </t>
  </si>
  <si>
    <t>Safety</t>
  </si>
  <si>
    <t>Other  uses</t>
  </si>
  <si>
    <t>Breeding of GM or HM</t>
  </si>
  <si>
    <t>Rat</t>
  </si>
  <si>
    <t>Guinea pig</t>
  </si>
  <si>
    <t>-</t>
  </si>
  <si>
    <t>Hamster</t>
  </si>
  <si>
    <t>Gerbil</t>
  </si>
  <si>
    <t>Other rodent</t>
  </si>
  <si>
    <t>Rabbit</t>
  </si>
  <si>
    <t>Cat</t>
  </si>
  <si>
    <t>Dog - Beagle</t>
  </si>
  <si>
    <t>Dog - Greyhound</t>
  </si>
  <si>
    <t>Breeding</t>
  </si>
  <si>
    <t>Dog - Other</t>
  </si>
  <si>
    <t>Ferret</t>
  </si>
  <si>
    <t>Great Britain 2010</t>
  </si>
  <si>
    <t>Other carnivore</t>
  </si>
  <si>
    <t>Horse, Donkey etc</t>
  </si>
  <si>
    <t>Pig</t>
  </si>
  <si>
    <t>Goat</t>
  </si>
  <si>
    <t>Sheep</t>
  </si>
  <si>
    <t>Cattle</t>
  </si>
  <si>
    <t>Deer</t>
  </si>
  <si>
    <t>Other ungulate</t>
  </si>
  <si>
    <t>Prosimian</t>
  </si>
  <si>
    <t>Marmoset, Tamarin</t>
  </si>
  <si>
    <t>Squirrel, Owl or Spider monkey</t>
  </si>
  <si>
    <t>Macaque</t>
  </si>
  <si>
    <t>Other mammal</t>
  </si>
  <si>
    <t>Domestic fowl</t>
  </si>
  <si>
    <t>Turkey</t>
  </si>
  <si>
    <r>
      <rPr>
        <b/>
        <sz val="14"/>
        <rFont val="Arial"/>
        <charset val="134"/>
      </rPr>
      <t xml:space="preserve">Quail </t>
    </r>
    <r>
      <rPr>
        <sz val="12"/>
        <rFont val="Arial"/>
        <charset val="134"/>
      </rPr>
      <t>(</t>
    </r>
    <r>
      <rPr>
        <i/>
        <sz val="12"/>
        <rFont val="Arial"/>
        <charset val="134"/>
      </rPr>
      <t>Coturnix coturnix</t>
    </r>
    <r>
      <rPr>
        <sz val="12"/>
        <rFont val="Arial"/>
        <charset val="134"/>
      </rPr>
      <t>)</t>
    </r>
  </si>
  <si>
    <t>Quail (spp. other than</t>
  </si>
  <si>
    <r>
      <rPr>
        <b/>
        <sz val="12"/>
        <rFont val="Arial"/>
        <charset val="134"/>
      </rPr>
      <t xml:space="preserve"> </t>
    </r>
    <r>
      <rPr>
        <sz val="12"/>
        <rFont val="Arial"/>
        <charset val="134"/>
      </rPr>
      <t xml:space="preserve"> </t>
    </r>
    <r>
      <rPr>
        <i/>
        <sz val="12"/>
        <rFont val="Arial"/>
        <charset val="134"/>
      </rPr>
      <t>Coturnix coturnix</t>
    </r>
    <r>
      <rPr>
        <b/>
        <sz val="14"/>
        <rFont val="Arial"/>
        <charset val="134"/>
      </rPr>
      <t>)</t>
    </r>
  </si>
  <si>
    <t>Other bird</t>
  </si>
  <si>
    <t>Reptile</t>
  </si>
  <si>
    <t>Amphibian</t>
  </si>
  <si>
    <t>Fish</t>
  </si>
  <si>
    <t>Cephalopod</t>
  </si>
  <si>
    <t>All species</t>
  </si>
  <si>
    <t>TOTAL</t>
  </si>
  <si>
    <t>Increase on 2010</t>
  </si>
  <si>
    <t>Percentage change from 2010</t>
  </si>
  <si>
    <t>Percentage of total for 2011</t>
  </si>
  <si>
    <t>2010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</si>
</sst>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8" formatCode="_-* #,##0_-;\-* #,##0_-;_-* &quot;-&quot;_-;_-@_-"/>
    <numFmt numFmtId="169" formatCode="#,##0_ ;[Red]\-#,##0\ "/>
    <numFmt numFmtId="170" formatCode="0.0%;[Red]\-0.0%"/>
    <numFmt numFmtId="171" formatCode="0%;[Red]\-0%"/>
  </numFmts>
  <fonts count="13">
    <font>
      <sz val="10"/>
      <name val="Arial"/>
      <charset val="134"/>
    </font>
    <font>
      <sz val="18"/>
      <name val="Arial"/>
      <charset val="134"/>
    </font>
    <font>
      <sz val="12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b/>
      <sz val="14"/>
      <name val="Arial"/>
      <charset val="134"/>
    </font>
    <font>
      <sz val="12"/>
      <color indexed="51"/>
      <name val="Arial"/>
      <charset val="134"/>
    </font>
    <font>
      <sz val="14"/>
      <color indexed="8"/>
      <name val="Arial"/>
      <charset val="134"/>
    </font>
    <font>
      <sz val="14"/>
      <color indexed="51"/>
      <name val="Arial"/>
      <charset val="134"/>
    </font>
    <font>
      <i/>
      <sz val="12"/>
      <name val="Arial"/>
      <charset val="134"/>
    </font>
    <font>
      <sz val="10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0" fontId="12" fillId="0" borderId="0"/>
  </cellStyleXfs>
  <cellXfs count="90">
    <xf numFmtId="0" fontId="0" fillId="0" borderId="0" xfId="0"/>
    <xf numFmtId="0" fontId="1" fillId="0" borderId="0" xfId="2" applyFont="1" applyFill="1"/>
    <xf numFmtId="0" fontId="2" fillId="0" borderId="0" xfId="2" applyFont="1" applyFill="1"/>
    <xf numFmtId="0" fontId="3" fillId="0" borderId="0" xfId="2" applyFont="1" applyFill="1"/>
    <xf numFmtId="0" fontId="3" fillId="0" borderId="0" xfId="2" applyFont="1" applyFill="1" applyAlignment="1">
      <alignment horizontal="right"/>
    </xf>
    <xf numFmtId="0" fontId="12" fillId="0" borderId="0" xfId="2" applyFill="1"/>
    <xf numFmtId="0" fontId="4" fillId="0" borderId="0" xfId="2" applyFont="1" applyFill="1"/>
    <xf numFmtId="0" fontId="5" fillId="0" borderId="0" xfId="2" applyFont="1" applyFill="1"/>
    <xf numFmtId="0" fontId="1" fillId="0" borderId="0" xfId="2" applyFont="1" applyFill="1" applyAlignment="1">
      <alignment horizontal="right"/>
    </xf>
    <xf numFmtId="0" fontId="1" fillId="0" borderId="0" xfId="2" applyFont="1" applyFill="1" applyBorder="1" applyAlignment="1">
      <alignment horizontal="right"/>
    </xf>
    <xf numFmtId="0" fontId="6" fillId="0" borderId="0" xfId="2" applyFont="1" applyFill="1"/>
    <xf numFmtId="0" fontId="7" fillId="0" borderId="0" xfId="2" applyFont="1" applyFill="1"/>
    <xf numFmtId="0" fontId="3" fillId="0" borderId="0" xfId="2" applyFont="1" applyFill="1" applyBorder="1" applyAlignment="1">
      <alignment horizontal="right"/>
    </xf>
    <xf numFmtId="0" fontId="2" fillId="0" borderId="0" xfId="2" applyFont="1" applyFill="1" applyAlignment="1">
      <alignment horizontal="right"/>
    </xf>
    <xf numFmtId="0" fontId="6" fillId="0" borderId="0" xfId="2" applyFont="1" applyFill="1" applyAlignment="1">
      <alignment horizontal="right"/>
    </xf>
    <xf numFmtId="0" fontId="6" fillId="0" borderId="0" xfId="2" applyFont="1" applyFill="1" applyBorder="1" applyAlignment="1">
      <alignment horizontal="right"/>
    </xf>
    <xf numFmtId="0" fontId="7" fillId="2" borderId="1" xfId="2" applyFont="1" applyFill="1" applyBorder="1" applyAlignment="1"/>
    <xf numFmtId="0" fontId="7" fillId="2" borderId="1" xfId="2" applyFont="1" applyFill="1" applyBorder="1" applyAlignment="1">
      <alignment horizontal="right"/>
    </xf>
    <xf numFmtId="0" fontId="3" fillId="2" borderId="5" xfId="2" applyFont="1" applyFill="1" applyBorder="1" applyAlignment="1">
      <alignment vertical="top"/>
    </xf>
    <xf numFmtId="0" fontId="3" fillId="2" borderId="6" xfId="2" applyFont="1" applyFill="1" applyBorder="1" applyAlignment="1">
      <alignment horizontal="right" vertical="top" wrapText="1"/>
    </xf>
    <xf numFmtId="0" fontId="3" fillId="2" borderId="5" xfId="2" applyFont="1" applyFill="1" applyBorder="1" applyAlignment="1">
      <alignment horizontal="right" vertical="top" wrapText="1"/>
    </xf>
    <xf numFmtId="0" fontId="2" fillId="0" borderId="7" xfId="2" applyFont="1" applyFill="1" applyBorder="1" applyAlignment="1"/>
    <xf numFmtId="168" fontId="3" fillId="0" borderId="8" xfId="2" applyNumberFormat="1" applyFont="1" applyFill="1" applyBorder="1" applyAlignment="1">
      <alignment horizontal="right"/>
    </xf>
    <xf numFmtId="168" fontId="7" fillId="0" borderId="8" xfId="2" applyNumberFormat="1" applyFont="1" applyFill="1" applyBorder="1" applyAlignment="1">
      <alignment horizontal="right"/>
    </xf>
    <xf numFmtId="0" fontId="2" fillId="3" borderId="7" xfId="2" applyFont="1" applyFill="1" applyBorder="1" applyAlignment="1"/>
    <xf numFmtId="168" fontId="3" fillId="3" borderId="8" xfId="2" applyNumberFormat="1" applyFont="1" applyFill="1" applyBorder="1" applyAlignment="1">
      <alignment horizontal="right"/>
    </xf>
    <xf numFmtId="168" fontId="7" fillId="3" borderId="8" xfId="2" applyNumberFormat="1" applyFont="1" applyFill="1" applyBorder="1" applyAlignment="1">
      <alignment horizontal="right"/>
    </xf>
    <xf numFmtId="0" fontId="7" fillId="2" borderId="2" xfId="2" applyFont="1" applyFill="1" applyBorder="1" applyAlignment="1"/>
    <xf numFmtId="168" fontId="7" fillId="2" borderId="6" xfId="2" applyNumberFormat="1" applyFont="1" applyFill="1" applyBorder="1" applyAlignment="1">
      <alignment horizontal="right"/>
    </xf>
    <xf numFmtId="0" fontId="7" fillId="2" borderId="7" xfId="2" applyFont="1" applyFill="1" applyBorder="1" applyAlignment="1">
      <alignment horizontal="left"/>
    </xf>
    <xf numFmtId="0" fontId="3" fillId="2" borderId="7" xfId="2" applyFont="1" applyFill="1" applyBorder="1" applyAlignment="1"/>
    <xf numFmtId="0" fontId="3" fillId="2" borderId="9" xfId="2" applyFont="1" applyFill="1" applyBorder="1" applyAlignment="1"/>
    <xf numFmtId="0" fontId="3" fillId="2" borderId="7" xfId="2" applyFont="1" applyFill="1" applyBorder="1" applyAlignment="1">
      <alignment horizontal="left"/>
    </xf>
    <xf numFmtId="0" fontId="3" fillId="2" borderId="7" xfId="0" applyFont="1" applyFill="1" applyBorder="1"/>
    <xf numFmtId="0" fontId="3" fillId="0" borderId="7" xfId="2" applyFont="1" applyFill="1" applyBorder="1" applyAlignment="1"/>
    <xf numFmtId="0" fontId="3" fillId="0" borderId="2" xfId="2" applyFont="1" applyFill="1" applyBorder="1" applyAlignment="1"/>
    <xf numFmtId="0" fontId="7" fillId="2" borderId="10" xfId="2" applyFont="1" applyFill="1" applyBorder="1" applyAlignment="1">
      <alignment horizontal="left"/>
    </xf>
    <xf numFmtId="0" fontId="2" fillId="0" borderId="10" xfId="2" applyFont="1" applyFill="1" applyBorder="1" applyAlignment="1"/>
    <xf numFmtId="168" fontId="3" fillId="0" borderId="1" xfId="2" applyNumberFormat="1" applyFont="1" applyFill="1" applyBorder="1" applyAlignment="1">
      <alignment horizontal="right"/>
    </xf>
    <xf numFmtId="168" fontId="7" fillId="0" borderId="1" xfId="2" applyNumberFormat="1" applyFont="1" applyFill="1" applyBorder="1" applyAlignment="1">
      <alignment horizontal="right"/>
    </xf>
    <xf numFmtId="0" fontId="3" fillId="0" borderId="0" xfId="2" applyFont="1" applyFill="1" applyAlignment="1">
      <alignment horizontal="left"/>
    </xf>
    <xf numFmtId="168" fontId="7" fillId="0" borderId="7" xfId="2" applyNumberFormat="1" applyFont="1" applyFill="1" applyBorder="1" applyAlignment="1">
      <alignment horizontal="right"/>
    </xf>
    <xf numFmtId="0" fontId="3" fillId="0" borderId="0" xfId="2" applyFont="1" applyFill="1" applyBorder="1" applyAlignment="1"/>
    <xf numFmtId="0" fontId="3" fillId="0" borderId="0" xfId="0" applyFont="1" applyFill="1"/>
    <xf numFmtId="0" fontId="3" fillId="0" borderId="11" xfId="2" applyFont="1" applyFill="1" applyBorder="1" applyAlignment="1"/>
    <xf numFmtId="168" fontId="3" fillId="0" borderId="6" xfId="2" applyNumberFormat="1" applyFont="1" applyFill="1" applyBorder="1" applyAlignment="1">
      <alignment horizontal="right"/>
    </xf>
    <xf numFmtId="168" fontId="7" fillId="0" borderId="2" xfId="2" applyNumberFormat="1" applyFont="1" applyFill="1" applyBorder="1" applyAlignment="1">
      <alignment horizontal="right"/>
    </xf>
    <xf numFmtId="0" fontId="6" fillId="2" borderId="8" xfId="2" applyFont="1" applyFill="1" applyBorder="1" applyAlignment="1">
      <alignment horizontal="left"/>
    </xf>
    <xf numFmtId="0" fontId="3" fillId="2" borderId="8" xfId="2" applyFont="1" applyFill="1" applyBorder="1" applyAlignment="1">
      <alignment horizontal="left"/>
    </xf>
    <xf numFmtId="0" fontId="3" fillId="2" borderId="8" xfId="2" applyFont="1" applyFill="1" applyBorder="1" applyAlignment="1"/>
    <xf numFmtId="0" fontId="3" fillId="2" borderId="5" xfId="2" applyFont="1" applyFill="1" applyBorder="1" applyAlignment="1"/>
    <xf numFmtId="0" fontId="3" fillId="2" borderId="8" xfId="0" applyFont="1" applyFill="1" applyBorder="1"/>
    <xf numFmtId="0" fontId="7" fillId="2" borderId="6" xfId="2" applyFont="1" applyFill="1" applyBorder="1" applyAlignment="1">
      <alignment vertical="center"/>
    </xf>
    <xf numFmtId="169" fontId="3" fillId="0" borderId="6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170" fontId="9" fillId="0" borderId="6" xfId="0" applyNumberFormat="1" applyFont="1" applyFill="1" applyBorder="1" applyAlignment="1">
      <alignment horizontal="right" vertical="center"/>
    </xf>
    <xf numFmtId="171" fontId="9" fillId="0" borderId="6" xfId="0" applyNumberFormat="1" applyFont="1" applyFill="1" applyBorder="1" applyAlignment="1">
      <alignment horizontal="right" vertical="center"/>
    </xf>
    <xf numFmtId="0" fontId="10" fillId="0" borderId="0" xfId="2" applyFont="1" applyFill="1"/>
    <xf numFmtId="9" fontId="3" fillId="0" borderId="6" xfId="1" applyNumberFormat="1" applyFont="1" applyBorder="1" applyAlignment="1">
      <alignment horizontal="right" vertical="center"/>
    </xf>
    <xf numFmtId="168" fontId="3" fillId="0" borderId="4" xfId="2" applyNumberFormat="1" applyFont="1" applyFill="1" applyBorder="1" applyAlignment="1">
      <alignment vertical="center"/>
    </xf>
    <xf numFmtId="168" fontId="3" fillId="0" borderId="6" xfId="2" applyNumberFormat="1" applyFont="1" applyFill="1" applyBorder="1" applyAlignment="1">
      <alignment vertical="center"/>
    </xf>
    <xf numFmtId="168" fontId="3" fillId="0" borderId="0" xfId="2" applyNumberFormat="1" applyFont="1" applyFill="1" applyAlignment="1">
      <alignment horizontal="right"/>
    </xf>
    <xf numFmtId="168" fontId="3" fillId="0" borderId="0" xfId="2" applyNumberFormat="1" applyFont="1" applyFill="1" applyBorder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2" borderId="7" xfId="2" applyFont="1" applyFill="1" applyBorder="1" applyAlignment="1">
      <alignment horizontal="center"/>
    </xf>
    <xf numFmtId="0" fontId="7" fillId="2" borderId="9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left" wrapText="1"/>
    </xf>
    <xf numFmtId="0" fontId="0" fillId="0" borderId="8" xfId="0" applyBorder="1" applyAlignment="1"/>
    <xf numFmtId="0" fontId="7" fillId="2" borderId="1" xfId="2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4" fillId="5" borderId="0" xfId="2" applyFont="1" applyFill="1"/>
    <xf numFmtId="0" fontId="2" fillId="6" borderId="0" xfId="2" applyFont="1" applyFill="1"/>
    <xf numFmtId="0" fontId="2" fillId="6" borderId="0" xfId="2" applyFont="1" applyFill="1" applyAlignment="1">
      <alignment horizontal="right"/>
    </xf>
    <xf numFmtId="0" fontId="6" fillId="6" borderId="0" xfId="2" applyFont="1" applyFill="1" applyAlignment="1">
      <alignment horizontal="right"/>
    </xf>
    <xf numFmtId="0" fontId="6" fillId="6" borderId="0" xfId="2" applyFont="1" applyFill="1" applyBorder="1" applyAlignment="1">
      <alignment horizontal="right"/>
    </xf>
    <xf numFmtId="0" fontId="7" fillId="6" borderId="1" xfId="2" applyFont="1" applyFill="1" applyBorder="1" applyAlignment="1"/>
    <xf numFmtId="0" fontId="3" fillId="6" borderId="5" xfId="2" applyFont="1" applyFill="1" applyBorder="1" applyAlignment="1">
      <alignment vertical="top"/>
    </xf>
    <xf numFmtId="0" fontId="7" fillId="6" borderId="1" xfId="2" applyFont="1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7" fillId="6" borderId="2" xfId="2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7" fillId="6" borderId="1" xfId="2" applyFont="1" applyFill="1" applyBorder="1" applyAlignment="1">
      <alignment horizontal="right"/>
    </xf>
    <xf numFmtId="0" fontId="3" fillId="6" borderId="5" xfId="2" applyFont="1" applyFill="1" applyBorder="1" applyAlignment="1">
      <alignment horizontal="right" vertical="top" wrapText="1"/>
    </xf>
    <xf numFmtId="0" fontId="3" fillId="4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left"/>
    </xf>
    <xf numFmtId="0" fontId="7" fillId="4" borderId="0" xfId="2" applyFont="1" applyFill="1" applyAlignment="1">
      <alignment horizontal="center"/>
    </xf>
    <xf numFmtId="0" fontId="7" fillId="4" borderId="11" xfId="2" applyFont="1" applyFill="1" applyBorder="1" applyAlignment="1">
      <alignment horizontal="center"/>
    </xf>
  </cellXfs>
  <cellStyles count="3">
    <cellStyle name="Normal_newtab3 (4)_1" xfId="2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F425"/>
  <sheetViews>
    <sheetView showGridLines="0" tabSelected="1" topLeftCell="A203" zoomScaleSheetLayoutView="75" workbookViewId="0">
      <selection activeCell="C221" sqref="C221"/>
    </sheetView>
  </sheetViews>
  <sheetFormatPr defaultColWidth="9.08984375" defaultRowHeight="17.5"/>
  <cols>
    <col min="1" max="1" width="29.54296875" style="3" customWidth="1"/>
    <col min="2" max="2" width="39.36328125" style="3" customWidth="1"/>
    <col min="3" max="4" width="17.90625" style="4" customWidth="1"/>
    <col min="5" max="5" width="18" style="4" customWidth="1"/>
    <col min="6" max="6" width="17.6328125" style="4" customWidth="1"/>
    <col min="7" max="256" width="9.08984375" style="5"/>
    <col min="257" max="257" width="29.54296875" style="5" customWidth="1"/>
    <col min="258" max="258" width="39.36328125" style="5" customWidth="1"/>
    <col min="259" max="260" width="17.90625" style="5" customWidth="1"/>
    <col min="261" max="261" width="18" style="5" customWidth="1"/>
    <col min="262" max="262" width="17.6328125" style="5" customWidth="1"/>
    <col min="263" max="512" width="9.08984375" style="5"/>
    <col min="513" max="513" width="29.54296875" style="5" customWidth="1"/>
    <col min="514" max="514" width="39.36328125" style="5" customWidth="1"/>
    <col min="515" max="516" width="17.90625" style="5" customWidth="1"/>
    <col min="517" max="517" width="18" style="5" customWidth="1"/>
    <col min="518" max="518" width="17.6328125" style="5" customWidth="1"/>
    <col min="519" max="768" width="9.08984375" style="5"/>
    <col min="769" max="769" width="29.54296875" style="5" customWidth="1"/>
    <col min="770" max="770" width="39.36328125" style="5" customWidth="1"/>
    <col min="771" max="772" width="17.90625" style="5" customWidth="1"/>
    <col min="773" max="773" width="18" style="5" customWidth="1"/>
    <col min="774" max="774" width="17.6328125" style="5" customWidth="1"/>
    <col min="775" max="1024" width="9.08984375" style="5"/>
    <col min="1025" max="1025" width="29.54296875" style="5" customWidth="1"/>
    <col min="1026" max="1026" width="39.36328125" style="5" customWidth="1"/>
    <col min="1027" max="1028" width="17.90625" style="5" customWidth="1"/>
    <col min="1029" max="1029" width="18" style="5" customWidth="1"/>
    <col min="1030" max="1030" width="17.6328125" style="5" customWidth="1"/>
    <col min="1031" max="1280" width="9.08984375" style="5"/>
    <col min="1281" max="1281" width="29.54296875" style="5" customWidth="1"/>
    <col min="1282" max="1282" width="39.36328125" style="5" customWidth="1"/>
    <col min="1283" max="1284" width="17.90625" style="5" customWidth="1"/>
    <col min="1285" max="1285" width="18" style="5" customWidth="1"/>
    <col min="1286" max="1286" width="17.6328125" style="5" customWidth="1"/>
    <col min="1287" max="1536" width="9.08984375" style="5"/>
    <col min="1537" max="1537" width="29.54296875" style="5" customWidth="1"/>
    <col min="1538" max="1538" width="39.36328125" style="5" customWidth="1"/>
    <col min="1539" max="1540" width="17.90625" style="5" customWidth="1"/>
    <col min="1541" max="1541" width="18" style="5" customWidth="1"/>
    <col min="1542" max="1542" width="17.6328125" style="5" customWidth="1"/>
    <col min="1543" max="1792" width="9.08984375" style="5"/>
    <col min="1793" max="1793" width="29.54296875" style="5" customWidth="1"/>
    <col min="1794" max="1794" width="39.36328125" style="5" customWidth="1"/>
    <col min="1795" max="1796" width="17.90625" style="5" customWidth="1"/>
    <col min="1797" max="1797" width="18" style="5" customWidth="1"/>
    <col min="1798" max="1798" width="17.6328125" style="5" customWidth="1"/>
    <col min="1799" max="2048" width="9.08984375" style="5"/>
    <col min="2049" max="2049" width="29.54296875" style="5" customWidth="1"/>
    <col min="2050" max="2050" width="39.36328125" style="5" customWidth="1"/>
    <col min="2051" max="2052" width="17.90625" style="5" customWidth="1"/>
    <col min="2053" max="2053" width="18" style="5" customWidth="1"/>
    <col min="2054" max="2054" width="17.6328125" style="5" customWidth="1"/>
    <col min="2055" max="2304" width="9.08984375" style="5"/>
    <col min="2305" max="2305" width="29.54296875" style="5" customWidth="1"/>
    <col min="2306" max="2306" width="39.36328125" style="5" customWidth="1"/>
    <col min="2307" max="2308" width="17.90625" style="5" customWidth="1"/>
    <col min="2309" max="2309" width="18" style="5" customWidth="1"/>
    <col min="2310" max="2310" width="17.6328125" style="5" customWidth="1"/>
    <col min="2311" max="2560" width="9.08984375" style="5"/>
    <col min="2561" max="2561" width="29.54296875" style="5" customWidth="1"/>
    <col min="2562" max="2562" width="39.36328125" style="5" customWidth="1"/>
    <col min="2563" max="2564" width="17.90625" style="5" customWidth="1"/>
    <col min="2565" max="2565" width="18" style="5" customWidth="1"/>
    <col min="2566" max="2566" width="17.6328125" style="5" customWidth="1"/>
    <col min="2567" max="2816" width="9.08984375" style="5"/>
    <col min="2817" max="2817" width="29.54296875" style="5" customWidth="1"/>
    <col min="2818" max="2818" width="39.36328125" style="5" customWidth="1"/>
    <col min="2819" max="2820" width="17.90625" style="5" customWidth="1"/>
    <col min="2821" max="2821" width="18" style="5" customWidth="1"/>
    <col min="2822" max="2822" width="17.6328125" style="5" customWidth="1"/>
    <col min="2823" max="3072" width="9.08984375" style="5"/>
    <col min="3073" max="3073" width="29.54296875" style="5" customWidth="1"/>
    <col min="3074" max="3074" width="39.36328125" style="5" customWidth="1"/>
    <col min="3075" max="3076" width="17.90625" style="5" customWidth="1"/>
    <col min="3077" max="3077" width="18" style="5" customWidth="1"/>
    <col min="3078" max="3078" width="17.6328125" style="5" customWidth="1"/>
    <col min="3079" max="3328" width="9.08984375" style="5"/>
    <col min="3329" max="3329" width="29.54296875" style="5" customWidth="1"/>
    <col min="3330" max="3330" width="39.36328125" style="5" customWidth="1"/>
    <col min="3331" max="3332" width="17.90625" style="5" customWidth="1"/>
    <col min="3333" max="3333" width="18" style="5" customWidth="1"/>
    <col min="3334" max="3334" width="17.6328125" style="5" customWidth="1"/>
    <col min="3335" max="3584" width="9.08984375" style="5"/>
    <col min="3585" max="3585" width="29.54296875" style="5" customWidth="1"/>
    <col min="3586" max="3586" width="39.36328125" style="5" customWidth="1"/>
    <col min="3587" max="3588" width="17.90625" style="5" customWidth="1"/>
    <col min="3589" max="3589" width="18" style="5" customWidth="1"/>
    <col min="3590" max="3590" width="17.6328125" style="5" customWidth="1"/>
    <col min="3591" max="3840" width="9.08984375" style="5"/>
    <col min="3841" max="3841" width="29.54296875" style="5" customWidth="1"/>
    <col min="3842" max="3842" width="39.36328125" style="5" customWidth="1"/>
    <col min="3843" max="3844" width="17.90625" style="5" customWidth="1"/>
    <col min="3845" max="3845" width="18" style="5" customWidth="1"/>
    <col min="3846" max="3846" width="17.6328125" style="5" customWidth="1"/>
    <col min="3847" max="4096" width="9.08984375" style="5"/>
    <col min="4097" max="4097" width="29.54296875" style="5" customWidth="1"/>
    <col min="4098" max="4098" width="39.36328125" style="5" customWidth="1"/>
    <col min="4099" max="4100" width="17.90625" style="5" customWidth="1"/>
    <col min="4101" max="4101" width="18" style="5" customWidth="1"/>
    <col min="4102" max="4102" width="17.6328125" style="5" customWidth="1"/>
    <col min="4103" max="4352" width="9.08984375" style="5"/>
    <col min="4353" max="4353" width="29.54296875" style="5" customWidth="1"/>
    <col min="4354" max="4354" width="39.36328125" style="5" customWidth="1"/>
    <col min="4355" max="4356" width="17.90625" style="5" customWidth="1"/>
    <col min="4357" max="4357" width="18" style="5" customWidth="1"/>
    <col min="4358" max="4358" width="17.6328125" style="5" customWidth="1"/>
    <col min="4359" max="4608" width="9.08984375" style="5"/>
    <col min="4609" max="4609" width="29.54296875" style="5" customWidth="1"/>
    <col min="4610" max="4610" width="39.36328125" style="5" customWidth="1"/>
    <col min="4611" max="4612" width="17.90625" style="5" customWidth="1"/>
    <col min="4613" max="4613" width="18" style="5" customWidth="1"/>
    <col min="4614" max="4614" width="17.6328125" style="5" customWidth="1"/>
    <col min="4615" max="4864" width="9.08984375" style="5"/>
    <col min="4865" max="4865" width="29.54296875" style="5" customWidth="1"/>
    <col min="4866" max="4866" width="39.36328125" style="5" customWidth="1"/>
    <col min="4867" max="4868" width="17.90625" style="5" customWidth="1"/>
    <col min="4869" max="4869" width="18" style="5" customWidth="1"/>
    <col min="4870" max="4870" width="17.6328125" style="5" customWidth="1"/>
    <col min="4871" max="5120" width="9.08984375" style="5"/>
    <col min="5121" max="5121" width="29.54296875" style="5" customWidth="1"/>
    <col min="5122" max="5122" width="39.36328125" style="5" customWidth="1"/>
    <col min="5123" max="5124" width="17.90625" style="5" customWidth="1"/>
    <col min="5125" max="5125" width="18" style="5" customWidth="1"/>
    <col min="5126" max="5126" width="17.6328125" style="5" customWidth="1"/>
    <col min="5127" max="5376" width="9.08984375" style="5"/>
    <col min="5377" max="5377" width="29.54296875" style="5" customWidth="1"/>
    <col min="5378" max="5378" width="39.36328125" style="5" customWidth="1"/>
    <col min="5379" max="5380" width="17.90625" style="5" customWidth="1"/>
    <col min="5381" max="5381" width="18" style="5" customWidth="1"/>
    <col min="5382" max="5382" width="17.6328125" style="5" customWidth="1"/>
    <col min="5383" max="5632" width="9.08984375" style="5"/>
    <col min="5633" max="5633" width="29.54296875" style="5" customWidth="1"/>
    <col min="5634" max="5634" width="39.36328125" style="5" customWidth="1"/>
    <col min="5635" max="5636" width="17.90625" style="5" customWidth="1"/>
    <col min="5637" max="5637" width="18" style="5" customWidth="1"/>
    <col min="5638" max="5638" width="17.6328125" style="5" customWidth="1"/>
    <col min="5639" max="5888" width="9.08984375" style="5"/>
    <col min="5889" max="5889" width="29.54296875" style="5" customWidth="1"/>
    <col min="5890" max="5890" width="39.36328125" style="5" customWidth="1"/>
    <col min="5891" max="5892" width="17.90625" style="5" customWidth="1"/>
    <col min="5893" max="5893" width="18" style="5" customWidth="1"/>
    <col min="5894" max="5894" width="17.6328125" style="5" customWidth="1"/>
    <col min="5895" max="6144" width="9.08984375" style="5"/>
    <col min="6145" max="6145" width="29.54296875" style="5" customWidth="1"/>
    <col min="6146" max="6146" width="39.36328125" style="5" customWidth="1"/>
    <col min="6147" max="6148" width="17.90625" style="5" customWidth="1"/>
    <col min="6149" max="6149" width="18" style="5" customWidth="1"/>
    <col min="6150" max="6150" width="17.6328125" style="5" customWidth="1"/>
    <col min="6151" max="6400" width="9.08984375" style="5"/>
    <col min="6401" max="6401" width="29.54296875" style="5" customWidth="1"/>
    <col min="6402" max="6402" width="39.36328125" style="5" customWidth="1"/>
    <col min="6403" max="6404" width="17.90625" style="5" customWidth="1"/>
    <col min="6405" max="6405" width="18" style="5" customWidth="1"/>
    <col min="6406" max="6406" width="17.6328125" style="5" customWidth="1"/>
    <col min="6407" max="6656" width="9.08984375" style="5"/>
    <col min="6657" max="6657" width="29.54296875" style="5" customWidth="1"/>
    <col min="6658" max="6658" width="39.36328125" style="5" customWidth="1"/>
    <col min="6659" max="6660" width="17.90625" style="5" customWidth="1"/>
    <col min="6661" max="6661" width="18" style="5" customWidth="1"/>
    <col min="6662" max="6662" width="17.6328125" style="5" customWidth="1"/>
    <col min="6663" max="6912" width="9.08984375" style="5"/>
    <col min="6913" max="6913" width="29.54296875" style="5" customWidth="1"/>
    <col min="6914" max="6914" width="39.36328125" style="5" customWidth="1"/>
    <col min="6915" max="6916" width="17.90625" style="5" customWidth="1"/>
    <col min="6917" max="6917" width="18" style="5" customWidth="1"/>
    <col min="6918" max="6918" width="17.6328125" style="5" customWidth="1"/>
    <col min="6919" max="7168" width="9.08984375" style="5"/>
    <col min="7169" max="7169" width="29.54296875" style="5" customWidth="1"/>
    <col min="7170" max="7170" width="39.36328125" style="5" customWidth="1"/>
    <col min="7171" max="7172" width="17.90625" style="5" customWidth="1"/>
    <col min="7173" max="7173" width="18" style="5" customWidth="1"/>
    <col min="7174" max="7174" width="17.6328125" style="5" customWidth="1"/>
    <col min="7175" max="7424" width="9.08984375" style="5"/>
    <col min="7425" max="7425" width="29.54296875" style="5" customWidth="1"/>
    <col min="7426" max="7426" width="39.36328125" style="5" customWidth="1"/>
    <col min="7427" max="7428" width="17.90625" style="5" customWidth="1"/>
    <col min="7429" max="7429" width="18" style="5" customWidth="1"/>
    <col min="7430" max="7430" width="17.6328125" style="5" customWidth="1"/>
    <col min="7431" max="7680" width="9.08984375" style="5"/>
    <col min="7681" max="7681" width="29.54296875" style="5" customWidth="1"/>
    <col min="7682" max="7682" width="39.36328125" style="5" customWidth="1"/>
    <col min="7683" max="7684" width="17.90625" style="5" customWidth="1"/>
    <col min="7685" max="7685" width="18" style="5" customWidth="1"/>
    <col min="7686" max="7686" width="17.6328125" style="5" customWidth="1"/>
    <col min="7687" max="7936" width="9.08984375" style="5"/>
    <col min="7937" max="7937" width="29.54296875" style="5" customWidth="1"/>
    <col min="7938" max="7938" width="39.36328125" style="5" customWidth="1"/>
    <col min="7939" max="7940" width="17.90625" style="5" customWidth="1"/>
    <col min="7941" max="7941" width="18" style="5" customWidth="1"/>
    <col min="7942" max="7942" width="17.6328125" style="5" customWidth="1"/>
    <col min="7943" max="8192" width="9.08984375" style="5"/>
    <col min="8193" max="8193" width="29.54296875" style="5" customWidth="1"/>
    <col min="8194" max="8194" width="39.36328125" style="5" customWidth="1"/>
    <col min="8195" max="8196" width="17.90625" style="5" customWidth="1"/>
    <col min="8197" max="8197" width="18" style="5" customWidth="1"/>
    <col min="8198" max="8198" width="17.6328125" style="5" customWidth="1"/>
    <col min="8199" max="8448" width="9.08984375" style="5"/>
    <col min="8449" max="8449" width="29.54296875" style="5" customWidth="1"/>
    <col min="8450" max="8450" width="39.36328125" style="5" customWidth="1"/>
    <col min="8451" max="8452" width="17.90625" style="5" customWidth="1"/>
    <col min="8453" max="8453" width="18" style="5" customWidth="1"/>
    <col min="8454" max="8454" width="17.6328125" style="5" customWidth="1"/>
    <col min="8455" max="8704" width="9.08984375" style="5"/>
    <col min="8705" max="8705" width="29.54296875" style="5" customWidth="1"/>
    <col min="8706" max="8706" width="39.36328125" style="5" customWidth="1"/>
    <col min="8707" max="8708" width="17.90625" style="5" customWidth="1"/>
    <col min="8709" max="8709" width="18" style="5" customWidth="1"/>
    <col min="8710" max="8710" width="17.6328125" style="5" customWidth="1"/>
    <col min="8711" max="8960" width="9.08984375" style="5"/>
    <col min="8961" max="8961" width="29.54296875" style="5" customWidth="1"/>
    <col min="8962" max="8962" width="39.36328125" style="5" customWidth="1"/>
    <col min="8963" max="8964" width="17.90625" style="5" customWidth="1"/>
    <col min="8965" max="8965" width="18" style="5" customWidth="1"/>
    <col min="8966" max="8966" width="17.6328125" style="5" customWidth="1"/>
    <col min="8967" max="9216" width="9.08984375" style="5"/>
    <col min="9217" max="9217" width="29.54296875" style="5" customWidth="1"/>
    <col min="9218" max="9218" width="39.36328125" style="5" customWidth="1"/>
    <col min="9219" max="9220" width="17.90625" style="5" customWidth="1"/>
    <col min="9221" max="9221" width="18" style="5" customWidth="1"/>
    <col min="9222" max="9222" width="17.6328125" style="5" customWidth="1"/>
    <col min="9223" max="9472" width="9.08984375" style="5"/>
    <col min="9473" max="9473" width="29.54296875" style="5" customWidth="1"/>
    <col min="9474" max="9474" width="39.36328125" style="5" customWidth="1"/>
    <col min="9475" max="9476" width="17.90625" style="5" customWidth="1"/>
    <col min="9477" max="9477" width="18" style="5" customWidth="1"/>
    <col min="9478" max="9478" width="17.6328125" style="5" customWidth="1"/>
    <col min="9479" max="9728" width="9.08984375" style="5"/>
    <col min="9729" max="9729" width="29.54296875" style="5" customWidth="1"/>
    <col min="9730" max="9730" width="39.36328125" style="5" customWidth="1"/>
    <col min="9731" max="9732" width="17.90625" style="5" customWidth="1"/>
    <col min="9733" max="9733" width="18" style="5" customWidth="1"/>
    <col min="9734" max="9734" width="17.6328125" style="5" customWidth="1"/>
    <col min="9735" max="9984" width="9.08984375" style="5"/>
    <col min="9985" max="9985" width="29.54296875" style="5" customWidth="1"/>
    <col min="9986" max="9986" width="39.36328125" style="5" customWidth="1"/>
    <col min="9987" max="9988" width="17.90625" style="5" customWidth="1"/>
    <col min="9989" max="9989" width="18" style="5" customWidth="1"/>
    <col min="9990" max="9990" width="17.6328125" style="5" customWidth="1"/>
    <col min="9991" max="10240" width="9.08984375" style="5"/>
    <col min="10241" max="10241" width="29.54296875" style="5" customWidth="1"/>
    <col min="10242" max="10242" width="39.36328125" style="5" customWidth="1"/>
    <col min="10243" max="10244" width="17.90625" style="5" customWidth="1"/>
    <col min="10245" max="10245" width="18" style="5" customWidth="1"/>
    <col min="10246" max="10246" width="17.6328125" style="5" customWidth="1"/>
    <col min="10247" max="10496" width="9.08984375" style="5"/>
    <col min="10497" max="10497" width="29.54296875" style="5" customWidth="1"/>
    <col min="10498" max="10498" width="39.36328125" style="5" customWidth="1"/>
    <col min="10499" max="10500" width="17.90625" style="5" customWidth="1"/>
    <col min="10501" max="10501" width="18" style="5" customWidth="1"/>
    <col min="10502" max="10502" width="17.6328125" style="5" customWidth="1"/>
    <col min="10503" max="10752" width="9.08984375" style="5"/>
    <col min="10753" max="10753" width="29.54296875" style="5" customWidth="1"/>
    <col min="10754" max="10754" width="39.36328125" style="5" customWidth="1"/>
    <col min="10755" max="10756" width="17.90625" style="5" customWidth="1"/>
    <col min="10757" max="10757" width="18" style="5" customWidth="1"/>
    <col min="10758" max="10758" width="17.6328125" style="5" customWidth="1"/>
    <col min="10759" max="11008" width="9.08984375" style="5"/>
    <col min="11009" max="11009" width="29.54296875" style="5" customWidth="1"/>
    <col min="11010" max="11010" width="39.36328125" style="5" customWidth="1"/>
    <col min="11011" max="11012" width="17.90625" style="5" customWidth="1"/>
    <col min="11013" max="11013" width="18" style="5" customWidth="1"/>
    <col min="11014" max="11014" width="17.6328125" style="5" customWidth="1"/>
    <col min="11015" max="11264" width="9.08984375" style="5"/>
    <col min="11265" max="11265" width="29.54296875" style="5" customWidth="1"/>
    <col min="11266" max="11266" width="39.36328125" style="5" customWidth="1"/>
    <col min="11267" max="11268" width="17.90625" style="5" customWidth="1"/>
    <col min="11269" max="11269" width="18" style="5" customWidth="1"/>
    <col min="11270" max="11270" width="17.6328125" style="5" customWidth="1"/>
    <col min="11271" max="11520" width="9.08984375" style="5"/>
    <col min="11521" max="11521" width="29.54296875" style="5" customWidth="1"/>
    <col min="11522" max="11522" width="39.36328125" style="5" customWidth="1"/>
    <col min="11523" max="11524" width="17.90625" style="5" customWidth="1"/>
    <col min="11525" max="11525" width="18" style="5" customWidth="1"/>
    <col min="11526" max="11526" width="17.6328125" style="5" customWidth="1"/>
    <col min="11527" max="11776" width="9.08984375" style="5"/>
    <col min="11777" max="11777" width="29.54296875" style="5" customWidth="1"/>
    <col min="11778" max="11778" width="39.36328125" style="5" customWidth="1"/>
    <col min="11779" max="11780" width="17.90625" style="5" customWidth="1"/>
    <col min="11781" max="11781" width="18" style="5" customWidth="1"/>
    <col min="11782" max="11782" width="17.6328125" style="5" customWidth="1"/>
    <col min="11783" max="12032" width="9.08984375" style="5"/>
    <col min="12033" max="12033" width="29.54296875" style="5" customWidth="1"/>
    <col min="12034" max="12034" width="39.36328125" style="5" customWidth="1"/>
    <col min="12035" max="12036" width="17.90625" style="5" customWidth="1"/>
    <col min="12037" max="12037" width="18" style="5" customWidth="1"/>
    <col min="12038" max="12038" width="17.6328125" style="5" customWidth="1"/>
    <col min="12039" max="12288" width="9.08984375" style="5"/>
    <col min="12289" max="12289" width="29.54296875" style="5" customWidth="1"/>
    <col min="12290" max="12290" width="39.36328125" style="5" customWidth="1"/>
    <col min="12291" max="12292" width="17.90625" style="5" customWidth="1"/>
    <col min="12293" max="12293" width="18" style="5" customWidth="1"/>
    <col min="12294" max="12294" width="17.6328125" style="5" customWidth="1"/>
    <col min="12295" max="12544" width="9.08984375" style="5"/>
    <col min="12545" max="12545" width="29.54296875" style="5" customWidth="1"/>
    <col min="12546" max="12546" width="39.36328125" style="5" customWidth="1"/>
    <col min="12547" max="12548" width="17.90625" style="5" customWidth="1"/>
    <col min="12549" max="12549" width="18" style="5" customWidth="1"/>
    <col min="12550" max="12550" width="17.6328125" style="5" customWidth="1"/>
    <col min="12551" max="12800" width="9.08984375" style="5"/>
    <col min="12801" max="12801" width="29.54296875" style="5" customWidth="1"/>
    <col min="12802" max="12802" width="39.36328125" style="5" customWidth="1"/>
    <col min="12803" max="12804" width="17.90625" style="5" customWidth="1"/>
    <col min="12805" max="12805" width="18" style="5" customWidth="1"/>
    <col min="12806" max="12806" width="17.6328125" style="5" customWidth="1"/>
    <col min="12807" max="13056" width="9.08984375" style="5"/>
    <col min="13057" max="13057" width="29.54296875" style="5" customWidth="1"/>
    <col min="13058" max="13058" width="39.36328125" style="5" customWidth="1"/>
    <col min="13059" max="13060" width="17.90625" style="5" customWidth="1"/>
    <col min="13061" max="13061" width="18" style="5" customWidth="1"/>
    <col min="13062" max="13062" width="17.6328125" style="5" customWidth="1"/>
    <col min="13063" max="13312" width="9.08984375" style="5"/>
    <col min="13313" max="13313" width="29.54296875" style="5" customWidth="1"/>
    <col min="13314" max="13314" width="39.36328125" style="5" customWidth="1"/>
    <col min="13315" max="13316" width="17.90625" style="5" customWidth="1"/>
    <col min="13317" max="13317" width="18" style="5" customWidth="1"/>
    <col min="13318" max="13318" width="17.6328125" style="5" customWidth="1"/>
    <col min="13319" max="13568" width="9.08984375" style="5"/>
    <col min="13569" max="13569" width="29.54296875" style="5" customWidth="1"/>
    <col min="13570" max="13570" width="39.36328125" style="5" customWidth="1"/>
    <col min="13571" max="13572" width="17.90625" style="5" customWidth="1"/>
    <col min="13573" max="13573" width="18" style="5" customWidth="1"/>
    <col min="13574" max="13574" width="17.6328125" style="5" customWidth="1"/>
    <col min="13575" max="13824" width="9.08984375" style="5"/>
    <col min="13825" max="13825" width="29.54296875" style="5" customWidth="1"/>
    <col min="13826" max="13826" width="39.36328125" style="5" customWidth="1"/>
    <col min="13827" max="13828" width="17.90625" style="5" customWidth="1"/>
    <col min="13829" max="13829" width="18" style="5" customWidth="1"/>
    <col min="13830" max="13830" width="17.6328125" style="5" customWidth="1"/>
    <col min="13831" max="14080" width="9.08984375" style="5"/>
    <col min="14081" max="14081" width="29.54296875" style="5" customWidth="1"/>
    <col min="14082" max="14082" width="39.36328125" style="5" customWidth="1"/>
    <col min="14083" max="14084" width="17.90625" style="5" customWidth="1"/>
    <col min="14085" max="14085" width="18" style="5" customWidth="1"/>
    <col min="14086" max="14086" width="17.6328125" style="5" customWidth="1"/>
    <col min="14087" max="14336" width="9.08984375" style="5"/>
    <col min="14337" max="14337" width="29.54296875" style="5" customWidth="1"/>
    <col min="14338" max="14338" width="39.36328125" style="5" customWidth="1"/>
    <col min="14339" max="14340" width="17.90625" style="5" customWidth="1"/>
    <col min="14341" max="14341" width="18" style="5" customWidth="1"/>
    <col min="14342" max="14342" width="17.6328125" style="5" customWidth="1"/>
    <col min="14343" max="14592" width="9.08984375" style="5"/>
    <col min="14593" max="14593" width="29.54296875" style="5" customWidth="1"/>
    <col min="14594" max="14594" width="39.36328125" style="5" customWidth="1"/>
    <col min="14595" max="14596" width="17.90625" style="5" customWidth="1"/>
    <col min="14597" max="14597" width="18" style="5" customWidth="1"/>
    <col min="14598" max="14598" width="17.6328125" style="5" customWidth="1"/>
    <col min="14599" max="14848" width="9.08984375" style="5"/>
    <col min="14849" max="14849" width="29.54296875" style="5" customWidth="1"/>
    <col min="14850" max="14850" width="39.36328125" style="5" customWidth="1"/>
    <col min="14851" max="14852" width="17.90625" style="5" customWidth="1"/>
    <col min="14853" max="14853" width="18" style="5" customWidth="1"/>
    <col min="14854" max="14854" width="17.6328125" style="5" customWidth="1"/>
    <col min="14855" max="15104" width="9.08984375" style="5"/>
    <col min="15105" max="15105" width="29.54296875" style="5" customWidth="1"/>
    <col min="15106" max="15106" width="39.36328125" style="5" customWidth="1"/>
    <col min="15107" max="15108" width="17.90625" style="5" customWidth="1"/>
    <col min="15109" max="15109" width="18" style="5" customWidth="1"/>
    <col min="15110" max="15110" width="17.6328125" style="5" customWidth="1"/>
    <col min="15111" max="15360" width="9.08984375" style="5"/>
    <col min="15361" max="15361" width="29.54296875" style="5" customWidth="1"/>
    <col min="15362" max="15362" width="39.36328125" style="5" customWidth="1"/>
    <col min="15363" max="15364" width="17.90625" style="5" customWidth="1"/>
    <col min="15365" max="15365" width="18" style="5" customWidth="1"/>
    <col min="15366" max="15366" width="17.6328125" style="5" customWidth="1"/>
    <col min="15367" max="15616" width="9.08984375" style="5"/>
    <col min="15617" max="15617" width="29.54296875" style="5" customWidth="1"/>
    <col min="15618" max="15618" width="39.36328125" style="5" customWidth="1"/>
    <col min="15619" max="15620" width="17.90625" style="5" customWidth="1"/>
    <col min="15621" max="15621" width="18" style="5" customWidth="1"/>
    <col min="15622" max="15622" width="17.6328125" style="5" customWidth="1"/>
    <col min="15623" max="15872" width="9.08984375" style="5"/>
    <col min="15873" max="15873" width="29.54296875" style="5" customWidth="1"/>
    <col min="15874" max="15874" width="39.36328125" style="5" customWidth="1"/>
    <col min="15875" max="15876" width="17.90625" style="5" customWidth="1"/>
    <col min="15877" max="15877" width="18" style="5" customWidth="1"/>
    <col min="15878" max="15878" width="17.6328125" style="5" customWidth="1"/>
    <col min="15879" max="16128" width="9.08984375" style="5"/>
    <col min="16129" max="16129" width="29.54296875" style="5" customWidth="1"/>
    <col min="16130" max="16130" width="39.36328125" style="5" customWidth="1"/>
    <col min="16131" max="16132" width="17.90625" style="5" customWidth="1"/>
    <col min="16133" max="16133" width="18" style="5" customWidth="1"/>
    <col min="16134" max="16134" width="17.6328125" style="5" customWidth="1"/>
    <col min="16135" max="16384" width="9.08984375" style="5"/>
  </cols>
  <sheetData>
    <row r="1" spans="1:6" s="1" customFormat="1" ht="23">
      <c r="A1" s="72" t="s">
        <v>0</v>
      </c>
      <c r="B1" s="7"/>
      <c r="C1" s="8"/>
      <c r="D1" s="8"/>
      <c r="E1" s="8"/>
      <c r="F1" s="9"/>
    </row>
    <row r="2" spans="1:6" ht="18">
      <c r="A2" s="10"/>
      <c r="B2" s="11"/>
      <c r="F2" s="12"/>
    </row>
    <row r="3" spans="1:6" ht="12.75" customHeight="1">
      <c r="A3" s="11"/>
      <c r="B3" s="11"/>
      <c r="F3" s="12"/>
    </row>
    <row r="4" spans="1:6" s="2" customFormat="1" ht="15.5">
      <c r="A4" s="10" t="s">
        <v>1</v>
      </c>
      <c r="B4" s="73"/>
      <c r="C4" s="74"/>
      <c r="D4" s="74"/>
      <c r="E4" s="75"/>
      <c r="F4" s="76" t="s">
        <v>2</v>
      </c>
    </row>
    <row r="5" spans="1:6" ht="20.149999999999999" customHeight="1">
      <c r="A5" s="77" t="s">
        <v>3</v>
      </c>
      <c r="B5" s="79" t="s">
        <v>4</v>
      </c>
      <c r="C5" s="81" t="s">
        <v>5</v>
      </c>
      <c r="D5" s="82"/>
      <c r="E5" s="83"/>
      <c r="F5" s="84" t="s">
        <v>6</v>
      </c>
    </row>
    <row r="6" spans="1:6" ht="72.75" customHeight="1">
      <c r="A6" s="78"/>
      <c r="B6" s="80"/>
      <c r="C6" s="19" t="s">
        <v>7</v>
      </c>
      <c r="D6" s="19" t="s">
        <v>8</v>
      </c>
      <c r="E6" s="19" t="s">
        <v>9</v>
      </c>
      <c r="F6" s="85"/>
    </row>
    <row r="7" spans="1:6" ht="15.9" customHeight="1">
      <c r="A7" s="66" t="s">
        <v>10</v>
      </c>
      <c r="B7" s="21" t="s">
        <v>11</v>
      </c>
      <c r="C7" s="22">
        <v>338273</v>
      </c>
      <c r="D7" s="22">
        <v>51767</v>
      </c>
      <c r="E7" s="22">
        <v>474142</v>
      </c>
      <c r="F7" s="23">
        <f>SUM(C7:E7)</f>
        <v>864182</v>
      </c>
    </row>
    <row r="8" spans="1:6" ht="15.9" customHeight="1">
      <c r="A8" s="66"/>
      <c r="B8" s="24" t="s">
        <v>12</v>
      </c>
      <c r="C8" s="25">
        <v>262283</v>
      </c>
      <c r="D8" s="25">
        <v>39139</v>
      </c>
      <c r="E8" s="25">
        <v>31494</v>
      </c>
      <c r="F8" s="26">
        <f>SUM(C8:E8)</f>
        <v>332916</v>
      </c>
    </row>
    <row r="9" spans="1:6" ht="15.9" customHeight="1">
      <c r="A9" s="66"/>
      <c r="B9" s="21" t="s">
        <v>13</v>
      </c>
      <c r="C9" s="22">
        <v>17591</v>
      </c>
      <c r="D9" s="22">
        <v>0</v>
      </c>
      <c r="E9" s="22">
        <v>185</v>
      </c>
      <c r="F9" s="23">
        <f>SUM(C9:E9)</f>
        <v>17776</v>
      </c>
    </row>
    <row r="10" spans="1:6" ht="15.9" customHeight="1">
      <c r="A10" s="66"/>
      <c r="B10" s="24" t="s">
        <v>14</v>
      </c>
      <c r="C10" s="25">
        <v>3555</v>
      </c>
      <c r="D10" s="25">
        <v>0</v>
      </c>
      <c r="E10" s="25">
        <v>1781</v>
      </c>
      <c r="F10" s="26">
        <f>SUM(C10:E10)</f>
        <v>5336</v>
      </c>
    </row>
    <row r="11" spans="1:6" ht="15.9" customHeight="1">
      <c r="A11" s="66"/>
      <c r="B11" s="21" t="s">
        <v>15</v>
      </c>
      <c r="C11" s="22">
        <v>207155</v>
      </c>
      <c r="D11" s="22">
        <v>231612</v>
      </c>
      <c r="E11" s="22">
        <v>1020786</v>
      </c>
      <c r="F11" s="23">
        <f>SUM(C11:E11)</f>
        <v>1459553</v>
      </c>
    </row>
    <row r="12" spans="1:6" ht="15.9" customHeight="1">
      <c r="A12" s="67"/>
      <c r="B12" s="27" t="s">
        <v>6</v>
      </c>
      <c r="C12" s="28">
        <f>SUM(C7:C11)</f>
        <v>828857</v>
      </c>
      <c r="D12" s="28">
        <f>SUM(D7:D11)</f>
        <v>322518</v>
      </c>
      <c r="E12" s="28">
        <f>SUM(E7:E11)</f>
        <v>1528388</v>
      </c>
      <c r="F12" s="28">
        <f>SUM(F7:F11)</f>
        <v>2679763</v>
      </c>
    </row>
    <row r="13" spans="1:6" ht="15.9" customHeight="1">
      <c r="A13" s="66" t="s">
        <v>16</v>
      </c>
      <c r="B13" s="21" t="s">
        <v>11</v>
      </c>
      <c r="C13" s="22">
        <v>82249</v>
      </c>
      <c r="D13" s="22">
        <v>1874</v>
      </c>
      <c r="E13" s="22">
        <v>2368</v>
      </c>
      <c r="F13" s="23">
        <f>SUM(C13:E13)</f>
        <v>86491</v>
      </c>
    </row>
    <row r="14" spans="1:6" ht="15.9" customHeight="1">
      <c r="A14" s="66"/>
      <c r="B14" s="24" t="s">
        <v>12</v>
      </c>
      <c r="C14" s="25">
        <v>136637</v>
      </c>
      <c r="D14" s="25">
        <v>1235</v>
      </c>
      <c r="E14" s="25">
        <v>0</v>
      </c>
      <c r="F14" s="26">
        <f>SUM(C14:E14)</f>
        <v>137872</v>
      </c>
    </row>
    <row r="15" spans="1:6" ht="15.9" customHeight="1">
      <c r="A15" s="66"/>
      <c r="B15" s="21" t="s">
        <v>13</v>
      </c>
      <c r="C15" s="22">
        <v>33064</v>
      </c>
      <c r="D15" s="22">
        <v>0</v>
      </c>
      <c r="E15" s="22">
        <v>0</v>
      </c>
      <c r="F15" s="23">
        <f>SUM(C15:E15)</f>
        <v>33064</v>
      </c>
    </row>
    <row r="16" spans="1:6" ht="15.9" customHeight="1">
      <c r="A16" s="66"/>
      <c r="B16" s="24" t="s">
        <v>14</v>
      </c>
      <c r="C16" s="25">
        <v>1171</v>
      </c>
      <c r="D16" s="25">
        <v>0</v>
      </c>
      <c r="E16" s="25">
        <v>0</v>
      </c>
      <c r="F16" s="26">
        <f>SUM(C16:E16)</f>
        <v>1171</v>
      </c>
    </row>
    <row r="17" spans="1:6" ht="15.9" customHeight="1">
      <c r="A17" s="66"/>
      <c r="B17" s="21" t="str">
        <f>$B$11</f>
        <v>Breeding of GM or HM</v>
      </c>
      <c r="C17" s="22">
        <v>2506</v>
      </c>
      <c r="D17" s="22">
        <v>8285</v>
      </c>
      <c r="E17" s="22">
        <v>2146</v>
      </c>
      <c r="F17" s="23">
        <f>SUM(C17:E17)</f>
        <v>12937</v>
      </c>
    </row>
    <row r="18" spans="1:6" ht="15.9" customHeight="1">
      <c r="A18" s="67"/>
      <c r="B18" s="27" t="s">
        <v>6</v>
      </c>
      <c r="C18" s="28">
        <f>SUM(C13:C17)</f>
        <v>255627</v>
      </c>
      <c r="D18" s="28">
        <f>SUM(D13:D17)</f>
        <v>11394</v>
      </c>
      <c r="E18" s="28">
        <f>SUM(E13:E17)</f>
        <v>4514</v>
      </c>
      <c r="F18" s="28">
        <f>SUM(F13:F17)</f>
        <v>271535</v>
      </c>
    </row>
    <row r="19" spans="1:6" ht="15.9" hidden="1" customHeight="1">
      <c r="A19" s="29" t="s">
        <v>17</v>
      </c>
      <c r="B19" s="21" t="s">
        <v>11</v>
      </c>
      <c r="C19" s="22">
        <v>1336</v>
      </c>
      <c r="D19" s="22" t="s">
        <v>18</v>
      </c>
      <c r="E19" s="22" t="s">
        <v>18</v>
      </c>
      <c r="F19" s="23">
        <f>SUM(C19:E19)</f>
        <v>1336</v>
      </c>
    </row>
    <row r="20" spans="1:6" ht="15.9" hidden="1" customHeight="1">
      <c r="A20" s="30"/>
      <c r="B20" s="24" t="s">
        <v>12</v>
      </c>
      <c r="C20" s="25">
        <v>11999</v>
      </c>
      <c r="D20" s="25" t="s">
        <v>18</v>
      </c>
      <c r="E20" s="25" t="s">
        <v>18</v>
      </c>
      <c r="F20" s="26">
        <f>SUM(C20:E20)</f>
        <v>11999</v>
      </c>
    </row>
    <row r="21" spans="1:6" ht="15.9" hidden="1" customHeight="1">
      <c r="A21" s="30"/>
      <c r="B21" s="21" t="s">
        <v>13</v>
      </c>
      <c r="C21" s="22">
        <v>39</v>
      </c>
      <c r="D21" s="22" t="s">
        <v>18</v>
      </c>
      <c r="E21" s="22" t="s">
        <v>18</v>
      </c>
      <c r="F21" s="23">
        <f>SUM(C21:E21)</f>
        <v>39</v>
      </c>
    </row>
    <row r="22" spans="1:6" ht="15.9" hidden="1" customHeight="1">
      <c r="A22" s="30"/>
      <c r="B22" s="24" t="s">
        <v>14</v>
      </c>
      <c r="C22" s="25">
        <v>286</v>
      </c>
      <c r="D22" s="25" t="s">
        <v>18</v>
      </c>
      <c r="E22" s="25" t="s">
        <v>18</v>
      </c>
      <c r="F22" s="26">
        <f>SUM(C22:E22)</f>
        <v>286</v>
      </c>
    </row>
    <row r="23" spans="1:6" ht="15.9" hidden="1" customHeight="1">
      <c r="A23" s="30"/>
      <c r="B23" s="21" t="str">
        <f>$B$11</f>
        <v>Breeding of GM or HM</v>
      </c>
      <c r="C23" s="22" t="s">
        <v>18</v>
      </c>
      <c r="D23" s="22" t="s">
        <v>18</v>
      </c>
      <c r="E23" s="22" t="s">
        <v>18</v>
      </c>
      <c r="F23" s="23">
        <f>SUM(C23:E23)</f>
        <v>0</v>
      </c>
    </row>
    <row r="24" spans="1:6" ht="15.9" hidden="1" customHeight="1">
      <c r="A24" s="31"/>
      <c r="B24" s="27" t="s">
        <v>6</v>
      </c>
      <c r="C24" s="28">
        <f>SUM(C19:C23)</f>
        <v>13660</v>
      </c>
      <c r="D24" s="28">
        <f>SUM(D19:D23)</f>
        <v>0</v>
      </c>
      <c r="E24" s="28">
        <f>SUM(E19:E23)</f>
        <v>0</v>
      </c>
      <c r="F24" s="28">
        <f>SUM(F19:F23)</f>
        <v>13660</v>
      </c>
    </row>
    <row r="25" spans="1:6" ht="15.9" hidden="1" customHeight="1">
      <c r="A25" s="29" t="s">
        <v>19</v>
      </c>
      <c r="B25" s="21" t="s">
        <v>11</v>
      </c>
      <c r="C25" s="22">
        <v>853</v>
      </c>
      <c r="D25" s="22" t="s">
        <v>18</v>
      </c>
      <c r="E25" s="22" t="s">
        <v>18</v>
      </c>
      <c r="F25" s="23">
        <f>SUM(C25:E25)</f>
        <v>853</v>
      </c>
    </row>
    <row r="26" spans="1:6" ht="15.9" hidden="1" customHeight="1">
      <c r="A26" s="30"/>
      <c r="B26" s="24" t="s">
        <v>12</v>
      </c>
      <c r="C26" s="25">
        <v>3229</v>
      </c>
      <c r="D26" s="25" t="s">
        <v>18</v>
      </c>
      <c r="E26" s="25" t="s">
        <v>18</v>
      </c>
      <c r="F26" s="26">
        <f>SUM(C26:E26)</f>
        <v>3229</v>
      </c>
    </row>
    <row r="27" spans="1:6" ht="15.9" hidden="1" customHeight="1">
      <c r="A27" s="30"/>
      <c r="B27" s="21" t="s">
        <v>13</v>
      </c>
      <c r="C27" s="22">
        <v>61</v>
      </c>
      <c r="D27" s="22" t="s">
        <v>18</v>
      </c>
      <c r="E27" s="22" t="s">
        <v>18</v>
      </c>
      <c r="F27" s="23">
        <f>SUM(C27:E27)</f>
        <v>61</v>
      </c>
    </row>
    <row r="28" spans="1:6" ht="15.9" hidden="1" customHeight="1">
      <c r="A28" s="30"/>
      <c r="B28" s="24" t="s">
        <v>14</v>
      </c>
      <c r="C28" s="25" t="s">
        <v>18</v>
      </c>
      <c r="D28" s="25" t="s">
        <v>18</v>
      </c>
      <c r="E28" s="25" t="s">
        <v>18</v>
      </c>
      <c r="F28" s="26">
        <f>SUM(C28:E28)</f>
        <v>0</v>
      </c>
    </row>
    <row r="29" spans="1:6" ht="15.9" hidden="1" customHeight="1">
      <c r="A29" s="30"/>
      <c r="B29" s="21" t="str">
        <f>$B$11</f>
        <v>Breeding of GM or HM</v>
      </c>
      <c r="C29" s="22" t="s">
        <v>18</v>
      </c>
      <c r="D29" s="22" t="s">
        <v>18</v>
      </c>
      <c r="E29" s="22" t="s">
        <v>18</v>
      </c>
      <c r="F29" s="23">
        <f>SUM(C29:E29)</f>
        <v>0</v>
      </c>
    </row>
    <row r="30" spans="1:6" ht="15.9" hidden="1" customHeight="1">
      <c r="A30" s="31"/>
      <c r="B30" s="27" t="s">
        <v>6</v>
      </c>
      <c r="C30" s="28">
        <f>SUM(C25:C29)</f>
        <v>4143</v>
      </c>
      <c r="D30" s="28">
        <f>SUM(D25:D29)</f>
        <v>0</v>
      </c>
      <c r="E30" s="28">
        <f>SUM(E25:E29)</f>
        <v>0</v>
      </c>
      <c r="F30" s="28">
        <f>SUM(F25:F29)</f>
        <v>4143</v>
      </c>
    </row>
    <row r="31" spans="1:6" ht="15.9" hidden="1" customHeight="1">
      <c r="A31" s="29" t="s">
        <v>20</v>
      </c>
      <c r="B31" s="21" t="s">
        <v>11</v>
      </c>
      <c r="C31" s="22">
        <v>560</v>
      </c>
      <c r="D31" s="22" t="s">
        <v>18</v>
      </c>
      <c r="E31" s="22" t="s">
        <v>18</v>
      </c>
      <c r="F31" s="23">
        <f>SUM(C31:E31)</f>
        <v>560</v>
      </c>
    </row>
    <row r="32" spans="1:6" ht="15.9" hidden="1" customHeight="1">
      <c r="A32" s="32"/>
      <c r="B32" s="24" t="s">
        <v>12</v>
      </c>
      <c r="C32" s="25" t="s">
        <v>18</v>
      </c>
      <c r="D32" s="25" t="s">
        <v>18</v>
      </c>
      <c r="E32" s="25" t="s">
        <v>18</v>
      </c>
      <c r="F32" s="26">
        <f>SUM(C32:E32)</f>
        <v>0</v>
      </c>
    </row>
    <row r="33" spans="1:6" ht="15.9" hidden="1" customHeight="1">
      <c r="A33" s="30"/>
      <c r="B33" s="21" t="s">
        <v>13</v>
      </c>
      <c r="C33" s="22" t="s">
        <v>18</v>
      </c>
      <c r="D33" s="22" t="s">
        <v>18</v>
      </c>
      <c r="E33" s="22" t="s">
        <v>18</v>
      </c>
      <c r="F33" s="23">
        <f>SUM(C33:E33)</f>
        <v>0</v>
      </c>
    </row>
    <row r="34" spans="1:6" ht="15.9" hidden="1" customHeight="1">
      <c r="A34" s="33"/>
      <c r="B34" s="24" t="s">
        <v>14</v>
      </c>
      <c r="C34" s="25" t="s">
        <v>18</v>
      </c>
      <c r="D34" s="25" t="s">
        <v>18</v>
      </c>
      <c r="E34" s="25" t="s">
        <v>18</v>
      </c>
      <c r="F34" s="26">
        <f>SUM(C34:E34)</f>
        <v>0</v>
      </c>
    </row>
    <row r="35" spans="1:6" ht="15.9" hidden="1" customHeight="1">
      <c r="A35" s="30"/>
      <c r="B35" s="21" t="str">
        <f>$B$11</f>
        <v>Breeding of GM or HM</v>
      </c>
      <c r="C35" s="22" t="s">
        <v>18</v>
      </c>
      <c r="D35" s="22" t="s">
        <v>18</v>
      </c>
      <c r="E35" s="22" t="s">
        <v>18</v>
      </c>
      <c r="F35" s="23">
        <f>SUM(C35:E35)</f>
        <v>0</v>
      </c>
    </row>
    <row r="36" spans="1:6" ht="15.9" hidden="1" customHeight="1">
      <c r="A36" s="31"/>
      <c r="B36" s="27" t="s">
        <v>6</v>
      </c>
      <c r="C36" s="28">
        <f>SUM(C31:C35)</f>
        <v>560</v>
      </c>
      <c r="D36" s="28">
        <f>SUM(D31:D35)</f>
        <v>0</v>
      </c>
      <c r="E36" s="28">
        <f>SUM(E31:E35)</f>
        <v>0</v>
      </c>
      <c r="F36" s="28">
        <f>SUM(F31:F35)</f>
        <v>560</v>
      </c>
    </row>
    <row r="37" spans="1:6" ht="15.9" hidden="1" customHeight="1">
      <c r="A37" s="29" t="s">
        <v>21</v>
      </c>
      <c r="B37" s="21" t="s">
        <v>11</v>
      </c>
      <c r="C37" s="22">
        <v>909</v>
      </c>
      <c r="D37" s="22" t="s">
        <v>18</v>
      </c>
      <c r="E37" s="22" t="s">
        <v>18</v>
      </c>
      <c r="F37" s="23">
        <f>SUM(C37:E37)</f>
        <v>909</v>
      </c>
    </row>
    <row r="38" spans="1:6" ht="15.9" hidden="1" customHeight="1">
      <c r="A38" s="32"/>
      <c r="B38" s="24" t="s">
        <v>12</v>
      </c>
      <c r="C38" s="25">
        <v>69</v>
      </c>
      <c r="D38" s="25" t="s">
        <v>18</v>
      </c>
      <c r="E38" s="25" t="s">
        <v>18</v>
      </c>
      <c r="F38" s="26">
        <f>SUM(C38:E38)</f>
        <v>69</v>
      </c>
    </row>
    <row r="39" spans="1:6" ht="15.9" hidden="1" customHeight="1">
      <c r="A39" s="32"/>
      <c r="B39" s="21" t="s">
        <v>13</v>
      </c>
      <c r="C39" s="22">
        <v>566</v>
      </c>
      <c r="D39" s="22" t="s">
        <v>18</v>
      </c>
      <c r="E39" s="22" t="s">
        <v>18</v>
      </c>
      <c r="F39" s="23">
        <f>SUM(C39:E39)</f>
        <v>566</v>
      </c>
    </row>
    <row r="40" spans="1:6" ht="15.9" hidden="1" customHeight="1">
      <c r="A40" s="30"/>
      <c r="B40" s="24" t="s">
        <v>14</v>
      </c>
      <c r="C40" s="25" t="s">
        <v>18</v>
      </c>
      <c r="D40" s="25" t="s">
        <v>18</v>
      </c>
      <c r="E40" s="25" t="s">
        <v>18</v>
      </c>
      <c r="F40" s="26">
        <f>SUM(C40:E40)</f>
        <v>0</v>
      </c>
    </row>
    <row r="41" spans="1:6" ht="15.9" hidden="1" customHeight="1">
      <c r="A41" s="30"/>
      <c r="B41" s="21" t="str">
        <f>$B$11</f>
        <v>Breeding of GM or HM</v>
      </c>
      <c r="C41" s="22" t="s">
        <v>18</v>
      </c>
      <c r="D41" s="22" t="s">
        <v>18</v>
      </c>
      <c r="E41" s="22" t="s">
        <v>18</v>
      </c>
      <c r="F41" s="23">
        <f>SUM(C41:E41)</f>
        <v>0</v>
      </c>
    </row>
    <row r="42" spans="1:6" ht="15.9" hidden="1" customHeight="1">
      <c r="A42" s="31"/>
      <c r="B42" s="27" t="s">
        <v>6</v>
      </c>
      <c r="C42" s="28">
        <f>SUM(C37:C41)</f>
        <v>1544</v>
      </c>
      <c r="D42" s="28">
        <f>SUM(D37:D41)</f>
        <v>0</v>
      </c>
      <c r="E42" s="28">
        <f>SUM(E37:E41)</f>
        <v>0</v>
      </c>
      <c r="F42" s="28">
        <f>SUM(F37:F41)</f>
        <v>1544</v>
      </c>
    </row>
    <row r="43" spans="1:6" ht="15.9" customHeight="1">
      <c r="A43" s="66" t="s">
        <v>22</v>
      </c>
      <c r="B43" s="21" t="s">
        <v>11</v>
      </c>
      <c r="C43" s="22">
        <v>1467</v>
      </c>
      <c r="D43" s="22">
        <v>0</v>
      </c>
      <c r="E43" s="22">
        <v>0</v>
      </c>
      <c r="F43" s="23">
        <f>SUM(C43:E43)</f>
        <v>1467</v>
      </c>
    </row>
    <row r="44" spans="1:6" ht="15.9" customHeight="1">
      <c r="A44" s="66"/>
      <c r="B44" s="24" t="s">
        <v>12</v>
      </c>
      <c r="C44" s="25">
        <v>10719</v>
      </c>
      <c r="D44" s="25">
        <v>0</v>
      </c>
      <c r="E44" s="25">
        <v>0</v>
      </c>
      <c r="F44" s="26">
        <f>SUM(C44:E44)</f>
        <v>10719</v>
      </c>
    </row>
    <row r="45" spans="1:6" ht="15.9" customHeight="1">
      <c r="A45" s="66"/>
      <c r="B45" s="21" t="s">
        <v>13</v>
      </c>
      <c r="C45" s="22">
        <v>1767</v>
      </c>
      <c r="D45" s="22">
        <v>0</v>
      </c>
      <c r="E45" s="22">
        <v>0</v>
      </c>
      <c r="F45" s="23">
        <f>SUM(C45:E45)</f>
        <v>1767</v>
      </c>
    </row>
    <row r="46" spans="1:6" ht="15.9" customHeight="1">
      <c r="A46" s="66"/>
      <c r="B46" s="24" t="s">
        <v>14</v>
      </c>
      <c r="C46" s="25">
        <v>1482</v>
      </c>
      <c r="D46" s="25">
        <v>0</v>
      </c>
      <c r="E46" s="25">
        <v>0</v>
      </c>
      <c r="F46" s="26">
        <f>SUM(C46:E46)</f>
        <v>1482</v>
      </c>
    </row>
    <row r="47" spans="1:6" ht="15.9" customHeight="1">
      <c r="A47" s="66"/>
      <c r="B47" s="21" t="str">
        <f>$B$11</f>
        <v>Breeding of GM or HM</v>
      </c>
      <c r="C47" s="22">
        <v>13</v>
      </c>
      <c r="D47" s="22">
        <v>0</v>
      </c>
      <c r="E47" s="22">
        <v>13</v>
      </c>
      <c r="F47" s="23">
        <f>SUM(C47:E47)</f>
        <v>26</v>
      </c>
    </row>
    <row r="48" spans="1:6" ht="15.9" customHeight="1">
      <c r="A48" s="67"/>
      <c r="B48" s="27" t="s">
        <v>6</v>
      </c>
      <c r="C48" s="28">
        <f>SUM(C43:C47)</f>
        <v>15448</v>
      </c>
      <c r="D48" s="28">
        <f>SUM(D43:D47)</f>
        <v>0</v>
      </c>
      <c r="E48" s="28">
        <f>SUM(E43:E47)</f>
        <v>13</v>
      </c>
      <c r="F48" s="28">
        <f>SUM(F43:F47)</f>
        <v>15461</v>
      </c>
    </row>
    <row r="49" spans="1:6" ht="15.9" hidden="1" customHeight="1">
      <c r="A49" s="29" t="s">
        <v>23</v>
      </c>
      <c r="B49" s="21" t="s">
        <v>11</v>
      </c>
      <c r="C49" s="22">
        <v>13</v>
      </c>
      <c r="D49" s="22" t="s">
        <v>18</v>
      </c>
      <c r="E49" s="22" t="s">
        <v>18</v>
      </c>
      <c r="F49" s="23">
        <f>SUM(C49:E49)</f>
        <v>13</v>
      </c>
    </row>
    <row r="50" spans="1:6" ht="15.9" hidden="1" customHeight="1">
      <c r="A50" s="32"/>
      <c r="B50" s="24" t="s">
        <v>12</v>
      </c>
      <c r="C50" s="25">
        <v>174</v>
      </c>
      <c r="D50" s="25" t="s">
        <v>18</v>
      </c>
      <c r="E50" s="25" t="s">
        <v>18</v>
      </c>
      <c r="F50" s="26">
        <f>SUM(C50:E50)</f>
        <v>174</v>
      </c>
    </row>
    <row r="51" spans="1:6" ht="15.9" hidden="1" customHeight="1">
      <c r="A51" s="30"/>
      <c r="B51" s="21" t="s">
        <v>13</v>
      </c>
      <c r="C51" s="22" t="s">
        <v>18</v>
      </c>
      <c r="D51" s="22" t="s">
        <v>18</v>
      </c>
      <c r="E51" s="22" t="s">
        <v>18</v>
      </c>
      <c r="F51" s="23">
        <f>SUM(C51:E51)</f>
        <v>0</v>
      </c>
    </row>
    <row r="52" spans="1:6" ht="15.9" hidden="1" customHeight="1">
      <c r="A52" s="30"/>
      <c r="B52" s="24" t="s">
        <v>14</v>
      </c>
      <c r="C52" s="25" t="s">
        <v>18</v>
      </c>
      <c r="D52" s="25" t="s">
        <v>18</v>
      </c>
      <c r="E52" s="25" t="s">
        <v>18</v>
      </c>
      <c r="F52" s="26">
        <f>SUM(C52:E52)</f>
        <v>0</v>
      </c>
    </row>
    <row r="53" spans="1:6" ht="15.9" hidden="1" customHeight="1">
      <c r="A53" s="30"/>
      <c r="B53" s="21" t="str">
        <f>$B$11</f>
        <v>Breeding of GM or HM</v>
      </c>
      <c r="C53" s="22" t="s">
        <v>18</v>
      </c>
      <c r="D53" s="22" t="s">
        <v>18</v>
      </c>
      <c r="E53" s="22" t="s">
        <v>18</v>
      </c>
      <c r="F53" s="23">
        <f>SUM(C53:E53)</f>
        <v>0</v>
      </c>
    </row>
    <row r="54" spans="1:6" ht="15.9" hidden="1" customHeight="1">
      <c r="A54" s="31"/>
      <c r="B54" s="27" t="s">
        <v>6</v>
      </c>
      <c r="C54" s="28">
        <f>SUM(C49:C53)</f>
        <v>187</v>
      </c>
      <c r="D54" s="28">
        <f>SUM(D49:D53)</f>
        <v>0</v>
      </c>
      <c r="E54" s="28">
        <f>SUM(E49:E53)</f>
        <v>0</v>
      </c>
      <c r="F54" s="28">
        <f>SUM(F49:F53)</f>
        <v>187</v>
      </c>
    </row>
    <row r="55" spans="1:6" ht="15.9" hidden="1" customHeight="1">
      <c r="A55" s="29" t="s">
        <v>24</v>
      </c>
      <c r="B55" s="21" t="s">
        <v>11</v>
      </c>
      <c r="C55" s="22">
        <v>285</v>
      </c>
      <c r="D55" s="22" t="s">
        <v>18</v>
      </c>
      <c r="E55" s="22" t="s">
        <v>18</v>
      </c>
      <c r="F55" s="23">
        <f>SUM(C55:E55)</f>
        <v>285</v>
      </c>
    </row>
    <row r="56" spans="1:6" ht="15.9" hidden="1" customHeight="1">
      <c r="A56" s="32"/>
      <c r="B56" s="24" t="s">
        <v>12</v>
      </c>
      <c r="C56" s="25">
        <v>5317</v>
      </c>
      <c r="D56" s="25" t="s">
        <v>18</v>
      </c>
      <c r="E56" s="25" t="s">
        <v>18</v>
      </c>
      <c r="F56" s="26">
        <f>SUM(C56:E56)</f>
        <v>5317</v>
      </c>
    </row>
    <row r="57" spans="1:6" ht="15.9" hidden="1" customHeight="1">
      <c r="A57" s="30"/>
      <c r="B57" s="21" t="s">
        <v>13</v>
      </c>
      <c r="C57" s="22">
        <v>93</v>
      </c>
      <c r="D57" s="22" t="s">
        <v>18</v>
      </c>
      <c r="E57" s="22" t="s">
        <v>18</v>
      </c>
      <c r="F57" s="23">
        <f>SUM(C57:E57)</f>
        <v>93</v>
      </c>
    </row>
    <row r="58" spans="1:6" ht="15.9" hidden="1" customHeight="1">
      <c r="A58" s="30"/>
      <c r="B58" s="24" t="s">
        <v>14</v>
      </c>
      <c r="C58" s="25" t="s">
        <v>18</v>
      </c>
      <c r="D58" s="25" t="s">
        <v>18</v>
      </c>
      <c r="E58" s="25" t="s">
        <v>18</v>
      </c>
      <c r="F58" s="26">
        <f>SUM(C58:E58)</f>
        <v>0</v>
      </c>
    </row>
    <row r="59" spans="1:6" ht="15.9" hidden="1" customHeight="1">
      <c r="A59" s="30"/>
      <c r="B59" s="21" t="str">
        <f>$B$11</f>
        <v>Breeding of GM or HM</v>
      </c>
      <c r="C59" s="22" t="s">
        <v>18</v>
      </c>
      <c r="D59" s="22" t="s">
        <v>18</v>
      </c>
      <c r="E59" s="22" t="s">
        <v>18</v>
      </c>
      <c r="F59" s="23">
        <f>SUM(C59:E59)</f>
        <v>0</v>
      </c>
    </row>
    <row r="60" spans="1:6" ht="15.9" hidden="1" customHeight="1">
      <c r="A60" s="31"/>
      <c r="B60" s="27" t="s">
        <v>6</v>
      </c>
      <c r="C60" s="28">
        <f>SUM(C55:C59)</f>
        <v>5695</v>
      </c>
      <c r="D60" s="28">
        <f>SUM(D55:D59)</f>
        <v>0</v>
      </c>
      <c r="E60" s="28">
        <f>SUM(E55:E59)</f>
        <v>0</v>
      </c>
      <c r="F60" s="28">
        <f>SUM(F55:F59)</f>
        <v>5695</v>
      </c>
    </row>
    <row r="61" spans="1:6" ht="15.9" hidden="1" customHeight="1">
      <c r="A61" s="32" t="s">
        <v>25</v>
      </c>
      <c r="B61" s="34" t="s">
        <v>11</v>
      </c>
      <c r="C61" s="22"/>
      <c r="D61" s="22"/>
      <c r="E61" s="22"/>
      <c r="F61" s="23"/>
    </row>
    <row r="62" spans="1:6" ht="15.9" hidden="1" customHeight="1">
      <c r="A62" s="30"/>
      <c r="B62" s="34" t="s">
        <v>12</v>
      </c>
      <c r="C62" s="22"/>
      <c r="D62" s="22"/>
      <c r="E62" s="22"/>
      <c r="F62" s="23"/>
    </row>
    <row r="63" spans="1:6" ht="15.9" hidden="1" customHeight="1">
      <c r="A63" s="30"/>
      <c r="B63" s="34" t="s">
        <v>13</v>
      </c>
      <c r="C63" s="22"/>
      <c r="D63" s="22"/>
      <c r="E63" s="22"/>
      <c r="F63" s="23"/>
    </row>
    <row r="64" spans="1:6" ht="15.9" hidden="1" customHeight="1">
      <c r="A64" s="30"/>
      <c r="B64" s="34" t="s">
        <v>14</v>
      </c>
      <c r="C64" s="22"/>
      <c r="D64" s="22"/>
      <c r="E64" s="22"/>
      <c r="F64" s="23"/>
    </row>
    <row r="65" spans="1:6" ht="15.9" hidden="1" customHeight="1">
      <c r="A65" s="33"/>
      <c r="B65" s="34" t="s">
        <v>26</v>
      </c>
      <c r="C65" s="22"/>
      <c r="D65" s="22"/>
      <c r="E65" s="22"/>
      <c r="F65" s="23"/>
    </row>
    <row r="66" spans="1:6" ht="15.9" hidden="1" customHeight="1">
      <c r="A66" s="31"/>
      <c r="B66" s="35" t="s">
        <v>6</v>
      </c>
      <c r="C66" s="22"/>
      <c r="D66" s="22"/>
      <c r="E66" s="22"/>
      <c r="F66" s="23"/>
    </row>
    <row r="67" spans="1:6" ht="15.9" hidden="1" customHeight="1">
      <c r="A67" s="29" t="s">
        <v>27</v>
      </c>
      <c r="B67" s="21" t="s">
        <v>11</v>
      </c>
      <c r="C67" s="22" t="s">
        <v>18</v>
      </c>
      <c r="D67" s="22" t="s">
        <v>18</v>
      </c>
      <c r="E67" s="22" t="s">
        <v>18</v>
      </c>
      <c r="F67" s="23">
        <f>SUM(C67:E67)</f>
        <v>0</v>
      </c>
    </row>
    <row r="68" spans="1:6" ht="15.9" hidden="1" customHeight="1">
      <c r="A68" s="32"/>
      <c r="B68" s="24" t="s">
        <v>12</v>
      </c>
      <c r="C68" s="25">
        <v>86</v>
      </c>
      <c r="D68" s="25" t="s">
        <v>18</v>
      </c>
      <c r="E68" s="25" t="s">
        <v>18</v>
      </c>
      <c r="F68" s="26">
        <f>SUM(C68:E68)</f>
        <v>86</v>
      </c>
    </row>
    <row r="69" spans="1:6" ht="15.9" hidden="1" customHeight="1">
      <c r="A69" s="32"/>
      <c r="B69" s="21" t="s">
        <v>13</v>
      </c>
      <c r="C69" s="22">
        <v>1</v>
      </c>
      <c r="D69" s="22" t="s">
        <v>18</v>
      </c>
      <c r="E69" s="22" t="s">
        <v>18</v>
      </c>
      <c r="F69" s="23">
        <f>SUM(C69:E69)</f>
        <v>1</v>
      </c>
    </row>
    <row r="70" spans="1:6" ht="15.9" hidden="1" customHeight="1">
      <c r="A70" s="30"/>
      <c r="B70" s="24" t="s">
        <v>14</v>
      </c>
      <c r="C70" s="25" t="s">
        <v>18</v>
      </c>
      <c r="D70" s="25" t="s">
        <v>18</v>
      </c>
      <c r="E70" s="25" t="s">
        <v>18</v>
      </c>
      <c r="F70" s="26">
        <f>SUM(C70:E70)</f>
        <v>0</v>
      </c>
    </row>
    <row r="71" spans="1:6" ht="15.9" hidden="1" customHeight="1">
      <c r="A71" s="30"/>
      <c r="B71" s="21" t="str">
        <f>$B$11</f>
        <v>Breeding of GM or HM</v>
      </c>
      <c r="C71" s="22" t="s">
        <v>18</v>
      </c>
      <c r="D71" s="22" t="s">
        <v>18</v>
      </c>
      <c r="E71" s="22" t="s">
        <v>18</v>
      </c>
      <c r="F71" s="23">
        <f>SUM(C71:E71)</f>
        <v>0</v>
      </c>
    </row>
    <row r="72" spans="1:6" ht="15.9" hidden="1" customHeight="1">
      <c r="A72" s="31"/>
      <c r="B72" s="27" t="s">
        <v>6</v>
      </c>
      <c r="C72" s="28">
        <f>SUM(C67:C71)</f>
        <v>87</v>
      </c>
      <c r="D72" s="28">
        <f>SUM(D67:D71)</f>
        <v>0</v>
      </c>
      <c r="E72" s="28">
        <f>SUM(E67:E71)</f>
        <v>0</v>
      </c>
      <c r="F72" s="28">
        <f>SUM(F67:F71)</f>
        <v>87</v>
      </c>
    </row>
    <row r="73" spans="1:6" ht="15.9" hidden="1" customHeight="1">
      <c r="A73" s="36" t="s">
        <v>28</v>
      </c>
      <c r="B73" s="37" t="s">
        <v>11</v>
      </c>
      <c r="C73" s="38">
        <v>317</v>
      </c>
      <c r="D73" s="38" t="s">
        <v>18</v>
      </c>
      <c r="E73" s="38" t="s">
        <v>18</v>
      </c>
      <c r="F73" s="39">
        <f>SUM(C73:E73)</f>
        <v>317</v>
      </c>
    </row>
    <row r="74" spans="1:6" ht="15.75" hidden="1" customHeight="1">
      <c r="A74" s="32"/>
      <c r="B74" s="24" t="s">
        <v>12</v>
      </c>
      <c r="C74" s="25">
        <v>456</v>
      </c>
      <c r="D74" s="25" t="s">
        <v>18</v>
      </c>
      <c r="E74" s="25" t="s">
        <v>18</v>
      </c>
      <c r="F74" s="26">
        <f>SUM(C74:E74)</f>
        <v>456</v>
      </c>
    </row>
    <row r="75" spans="1:6" ht="15.9" hidden="1" customHeight="1">
      <c r="A75" s="32"/>
      <c r="B75" s="21" t="s">
        <v>13</v>
      </c>
      <c r="C75" s="22" t="s">
        <v>18</v>
      </c>
      <c r="D75" s="22" t="s">
        <v>18</v>
      </c>
      <c r="E75" s="22" t="s">
        <v>18</v>
      </c>
      <c r="F75" s="23">
        <f>SUM(C75:E75)</f>
        <v>0</v>
      </c>
    </row>
    <row r="76" spans="1:6" ht="15.9" hidden="1" customHeight="1">
      <c r="A76" s="30"/>
      <c r="B76" s="24" t="s">
        <v>14</v>
      </c>
      <c r="C76" s="25">
        <v>19</v>
      </c>
      <c r="D76" s="25" t="s">
        <v>18</v>
      </c>
      <c r="E76" s="25" t="s">
        <v>18</v>
      </c>
      <c r="F76" s="26">
        <f>SUM(C76:E76)</f>
        <v>19</v>
      </c>
    </row>
    <row r="77" spans="1:6" ht="15.9" hidden="1" customHeight="1">
      <c r="A77" s="30"/>
      <c r="B77" s="21" t="str">
        <f>$B$11</f>
        <v>Breeding of GM or HM</v>
      </c>
      <c r="C77" s="22" t="s">
        <v>18</v>
      </c>
      <c r="D77" s="22" t="s">
        <v>18</v>
      </c>
      <c r="E77" s="22" t="s">
        <v>18</v>
      </c>
      <c r="F77" s="23">
        <f>SUM(C77:E77)</f>
        <v>0</v>
      </c>
    </row>
    <row r="78" spans="1:6" ht="15.9" hidden="1" customHeight="1">
      <c r="A78" s="31"/>
      <c r="B78" s="27" t="s">
        <v>6</v>
      </c>
      <c r="C78" s="28">
        <f>SUM(C73:C77)</f>
        <v>792</v>
      </c>
      <c r="D78" s="28">
        <f>SUM(D73:D77)</f>
        <v>0</v>
      </c>
      <c r="E78" s="28">
        <f>SUM(E73:E77)</f>
        <v>0</v>
      </c>
      <c r="F78" s="28">
        <f>SUM(F73:F77)</f>
        <v>792</v>
      </c>
    </row>
    <row r="79" spans="1:6" ht="23.25" hidden="1" customHeight="1">
      <c r="A79" s="6" t="s">
        <v>0</v>
      </c>
      <c r="B79" s="7"/>
      <c r="C79" s="8"/>
      <c r="D79" s="8"/>
      <c r="E79" s="8"/>
      <c r="F79" s="9"/>
    </row>
    <row r="80" spans="1:6" ht="15.9" hidden="1" customHeight="1">
      <c r="A80" s="10"/>
      <c r="B80" s="11"/>
      <c r="F80" s="12"/>
    </row>
    <row r="81" spans="1:6" ht="15.9" hidden="1" customHeight="1">
      <c r="A81" s="10" t="s">
        <v>29</v>
      </c>
      <c r="B81" s="2"/>
      <c r="C81" s="13"/>
      <c r="D81" s="13"/>
      <c r="E81" s="14"/>
      <c r="F81" s="15" t="s">
        <v>2</v>
      </c>
    </row>
    <row r="82" spans="1:6" ht="20.149999999999999" hidden="1" customHeight="1">
      <c r="A82" s="16" t="s">
        <v>3</v>
      </c>
      <c r="B82" s="70" t="s">
        <v>4</v>
      </c>
      <c r="C82" s="63" t="s">
        <v>5</v>
      </c>
      <c r="D82" s="64"/>
      <c r="E82" s="65"/>
      <c r="F82" s="17" t="s">
        <v>6</v>
      </c>
    </row>
    <row r="83" spans="1:6" ht="72.900000000000006" hidden="1" customHeight="1">
      <c r="A83" s="18"/>
      <c r="B83" s="71"/>
      <c r="C83" s="19" t="s">
        <v>7</v>
      </c>
      <c r="D83" s="19" t="s">
        <v>8</v>
      </c>
      <c r="E83" s="19" t="s">
        <v>9</v>
      </c>
      <c r="F83" s="20"/>
    </row>
    <row r="84" spans="1:6" ht="15.9" hidden="1" customHeight="1">
      <c r="A84" s="36" t="s">
        <v>30</v>
      </c>
      <c r="B84" s="37" t="s">
        <v>11</v>
      </c>
      <c r="C84" s="38">
        <v>374</v>
      </c>
      <c r="D84" s="38" t="s">
        <v>18</v>
      </c>
      <c r="E84" s="38" t="s">
        <v>18</v>
      </c>
      <c r="F84" s="39">
        <f>SUM(C84:E84)</f>
        <v>374</v>
      </c>
    </row>
    <row r="85" spans="1:6" ht="15.9" hidden="1" customHeight="1">
      <c r="A85" s="32"/>
      <c r="B85" s="24" t="s">
        <v>12</v>
      </c>
      <c r="C85" s="25">
        <v>75</v>
      </c>
      <c r="D85" s="25" t="s">
        <v>18</v>
      </c>
      <c r="E85" s="25" t="s">
        <v>18</v>
      </c>
      <c r="F85" s="26">
        <f>SUM(C85:E85)</f>
        <v>75</v>
      </c>
    </row>
    <row r="86" spans="1:6" ht="15.9" hidden="1" customHeight="1">
      <c r="A86" s="32"/>
      <c r="B86" s="21" t="s">
        <v>13</v>
      </c>
      <c r="C86" s="22">
        <v>322</v>
      </c>
      <c r="D86" s="22" t="s">
        <v>18</v>
      </c>
      <c r="E86" s="22" t="s">
        <v>18</v>
      </c>
      <c r="F86" s="23">
        <f>SUM(C86:E86)</f>
        <v>322</v>
      </c>
    </row>
    <row r="87" spans="1:6" ht="15.9" hidden="1" customHeight="1">
      <c r="A87" s="30"/>
      <c r="B87" s="24" t="s">
        <v>14</v>
      </c>
      <c r="C87" s="25" t="s">
        <v>18</v>
      </c>
      <c r="D87" s="25" t="s">
        <v>18</v>
      </c>
      <c r="E87" s="25" t="s">
        <v>18</v>
      </c>
      <c r="F87" s="26">
        <f>SUM(C87:E87)</f>
        <v>0</v>
      </c>
    </row>
    <row r="88" spans="1:6" ht="15.9" hidden="1" customHeight="1">
      <c r="A88" s="30"/>
      <c r="B88" s="21" t="str">
        <f>$B$11</f>
        <v>Breeding of GM or HM</v>
      </c>
      <c r="C88" s="22" t="s">
        <v>18</v>
      </c>
      <c r="D88" s="22" t="s">
        <v>18</v>
      </c>
      <c r="E88" s="22" t="s">
        <v>18</v>
      </c>
      <c r="F88" s="23">
        <f>SUM(C88:E88)</f>
        <v>0</v>
      </c>
    </row>
    <row r="89" spans="1:6" ht="15.9" hidden="1" customHeight="1">
      <c r="A89" s="31"/>
      <c r="B89" s="27" t="s">
        <v>6</v>
      </c>
      <c r="C89" s="28">
        <f>SUM(C84:C88)</f>
        <v>771</v>
      </c>
      <c r="D89" s="28">
        <f>SUM(D84:D88)</f>
        <v>0</v>
      </c>
      <c r="E89" s="28">
        <f>SUM(E84:E88)</f>
        <v>0</v>
      </c>
      <c r="F89" s="28">
        <f>SUM(F84:F88)</f>
        <v>771</v>
      </c>
    </row>
    <row r="90" spans="1:6" ht="15.9" hidden="1" customHeight="1">
      <c r="A90" s="29" t="s">
        <v>31</v>
      </c>
      <c r="B90" s="21" t="s">
        <v>11</v>
      </c>
      <c r="C90" s="22">
        <v>130</v>
      </c>
      <c r="D90" s="22" t="s">
        <v>18</v>
      </c>
      <c r="E90" s="22" t="s">
        <v>18</v>
      </c>
      <c r="F90" s="23">
        <f>SUM(C90:E90)</f>
        <v>130</v>
      </c>
    </row>
    <row r="91" spans="1:6" ht="15.9" hidden="1" customHeight="1">
      <c r="A91" s="32"/>
      <c r="B91" s="24" t="s">
        <v>12</v>
      </c>
      <c r="C91" s="25">
        <v>153</v>
      </c>
      <c r="D91" s="25" t="s">
        <v>18</v>
      </c>
      <c r="E91" s="25" t="s">
        <v>18</v>
      </c>
      <c r="F91" s="26">
        <f>SUM(C91:E91)</f>
        <v>153</v>
      </c>
    </row>
    <row r="92" spans="1:6" ht="15.9" hidden="1" customHeight="1">
      <c r="A92" s="32"/>
      <c r="B92" s="21" t="s">
        <v>13</v>
      </c>
      <c r="C92" s="22">
        <v>32</v>
      </c>
      <c r="D92" s="22" t="s">
        <v>18</v>
      </c>
      <c r="E92" s="22" t="s">
        <v>18</v>
      </c>
      <c r="F92" s="23">
        <f>SUM(C92:E92)</f>
        <v>32</v>
      </c>
    </row>
    <row r="93" spans="1:6" ht="15.9" hidden="1" customHeight="1">
      <c r="A93" s="30"/>
      <c r="B93" s="24" t="s">
        <v>14</v>
      </c>
      <c r="C93" s="25">
        <v>8009</v>
      </c>
      <c r="D93" s="25" t="s">
        <v>18</v>
      </c>
      <c r="E93" s="25" t="s">
        <v>18</v>
      </c>
      <c r="F93" s="26">
        <f>SUM(C93:E93)</f>
        <v>8009</v>
      </c>
    </row>
    <row r="94" spans="1:6" ht="15.9" hidden="1" customHeight="1">
      <c r="A94" s="30"/>
      <c r="B94" s="21" t="str">
        <f>$B$11</f>
        <v>Breeding of GM or HM</v>
      </c>
      <c r="C94" s="22" t="s">
        <v>18</v>
      </c>
      <c r="D94" s="22" t="s">
        <v>18</v>
      </c>
      <c r="E94" s="22" t="s">
        <v>18</v>
      </c>
      <c r="F94" s="23">
        <f>SUM(C94:E94)</f>
        <v>0</v>
      </c>
    </row>
    <row r="95" spans="1:6" ht="15.9" hidden="1" customHeight="1">
      <c r="A95" s="31"/>
      <c r="B95" s="27" t="s">
        <v>6</v>
      </c>
      <c r="C95" s="28">
        <f>SUM(C90:C94)</f>
        <v>8324</v>
      </c>
      <c r="D95" s="28">
        <f>SUM(D90:D94)</f>
        <v>0</v>
      </c>
      <c r="E95" s="28">
        <f>SUM(E90:E94)</f>
        <v>0</v>
      </c>
      <c r="F95" s="28">
        <f>SUM(F90:F94)</f>
        <v>8324</v>
      </c>
    </row>
    <row r="96" spans="1:6" ht="15.9" hidden="1" customHeight="1">
      <c r="A96" s="29" t="s">
        <v>32</v>
      </c>
      <c r="B96" s="21" t="s">
        <v>11</v>
      </c>
      <c r="C96" s="22">
        <v>923</v>
      </c>
      <c r="D96" s="22" t="s">
        <v>18</v>
      </c>
      <c r="E96" s="22" t="s">
        <v>18</v>
      </c>
      <c r="F96" s="23">
        <f>SUM(C96:E96)</f>
        <v>923</v>
      </c>
    </row>
    <row r="97" spans="1:6" ht="15.9" hidden="1" customHeight="1">
      <c r="A97" s="30"/>
      <c r="B97" s="24" t="s">
        <v>12</v>
      </c>
      <c r="C97" s="25">
        <v>2243</v>
      </c>
      <c r="D97" s="25" t="s">
        <v>18</v>
      </c>
      <c r="E97" s="25" t="s">
        <v>18</v>
      </c>
      <c r="F97" s="26">
        <f>SUM(C97:E97)</f>
        <v>2243</v>
      </c>
    </row>
    <row r="98" spans="1:6" ht="15.9" hidden="1" customHeight="1">
      <c r="A98" s="30"/>
      <c r="B98" s="21" t="s">
        <v>13</v>
      </c>
      <c r="C98" s="22">
        <v>9</v>
      </c>
      <c r="D98" s="22" t="s">
        <v>18</v>
      </c>
      <c r="E98" s="22" t="s">
        <v>18</v>
      </c>
      <c r="F98" s="23">
        <f>SUM(C98:E98)</f>
        <v>9</v>
      </c>
    </row>
    <row r="99" spans="1:6" ht="15.9" hidden="1" customHeight="1">
      <c r="A99" s="30"/>
      <c r="B99" s="24" t="s">
        <v>14</v>
      </c>
      <c r="C99" s="25" t="s">
        <v>18</v>
      </c>
      <c r="D99" s="25" t="s">
        <v>18</v>
      </c>
      <c r="E99" s="25" t="s">
        <v>18</v>
      </c>
      <c r="F99" s="26">
        <f>SUM(C99:E99)</f>
        <v>0</v>
      </c>
    </row>
    <row r="100" spans="1:6" ht="15.9" hidden="1" customHeight="1">
      <c r="A100" s="30"/>
      <c r="B100" s="21" t="str">
        <f>$B$11</f>
        <v>Breeding of GM or HM</v>
      </c>
      <c r="C100" s="22" t="s">
        <v>18</v>
      </c>
      <c r="D100" s="22" t="s">
        <v>18</v>
      </c>
      <c r="E100" s="22" t="s">
        <v>18</v>
      </c>
      <c r="F100" s="23">
        <f>SUM(C100:E100)</f>
        <v>0</v>
      </c>
    </row>
    <row r="101" spans="1:6" ht="15.9" hidden="1" customHeight="1">
      <c r="A101" s="31"/>
      <c r="B101" s="27" t="s">
        <v>6</v>
      </c>
      <c r="C101" s="28">
        <f>SUM(C96:C100)</f>
        <v>3175</v>
      </c>
      <c r="D101" s="28">
        <f>SUM(D96:D100)</f>
        <v>0</v>
      </c>
      <c r="E101" s="28">
        <f>SUM(E96:E100)</f>
        <v>0</v>
      </c>
      <c r="F101" s="28">
        <f>SUM(F96:F100)</f>
        <v>3175</v>
      </c>
    </row>
    <row r="102" spans="1:6" ht="15.9" hidden="1" customHeight="1">
      <c r="A102" s="29" t="s">
        <v>33</v>
      </c>
      <c r="B102" s="21" t="s">
        <v>11</v>
      </c>
      <c r="C102" s="22">
        <v>1</v>
      </c>
      <c r="D102" s="22" t="s">
        <v>18</v>
      </c>
      <c r="E102" s="22" t="s">
        <v>18</v>
      </c>
      <c r="F102" s="23">
        <f>SUM(C102:E102)</f>
        <v>1</v>
      </c>
    </row>
    <row r="103" spans="1:6" ht="15.9" hidden="1" customHeight="1">
      <c r="A103" s="30"/>
      <c r="B103" s="24" t="s">
        <v>12</v>
      </c>
      <c r="C103" s="25">
        <v>6</v>
      </c>
      <c r="D103" s="25" t="s">
        <v>18</v>
      </c>
      <c r="E103" s="25" t="s">
        <v>18</v>
      </c>
      <c r="F103" s="26">
        <f>SUM(C103:E103)</f>
        <v>6</v>
      </c>
    </row>
    <row r="104" spans="1:6" ht="15.9" hidden="1" customHeight="1">
      <c r="A104" s="30"/>
      <c r="B104" s="21" t="s">
        <v>13</v>
      </c>
      <c r="C104" s="22">
        <v>10</v>
      </c>
      <c r="D104" s="22" t="s">
        <v>18</v>
      </c>
      <c r="E104" s="22" t="s">
        <v>18</v>
      </c>
      <c r="F104" s="23">
        <f>SUM(C104:E104)</f>
        <v>10</v>
      </c>
    </row>
    <row r="105" spans="1:6" ht="15.9" hidden="1" customHeight="1">
      <c r="A105" s="30"/>
      <c r="B105" s="24" t="s">
        <v>14</v>
      </c>
      <c r="C105" s="25">
        <v>10</v>
      </c>
      <c r="D105" s="25" t="s">
        <v>18</v>
      </c>
      <c r="E105" s="25" t="s">
        <v>18</v>
      </c>
      <c r="F105" s="26">
        <f>SUM(C105:E105)</f>
        <v>10</v>
      </c>
    </row>
    <row r="106" spans="1:6" ht="15.9" hidden="1" customHeight="1">
      <c r="A106" s="30"/>
      <c r="B106" s="21" t="str">
        <f>$B$11</f>
        <v>Breeding of GM or HM</v>
      </c>
      <c r="C106" s="22" t="s">
        <v>18</v>
      </c>
      <c r="D106" s="22" t="s">
        <v>18</v>
      </c>
      <c r="E106" s="22" t="s">
        <v>18</v>
      </c>
      <c r="F106" s="23">
        <f>SUM(C106:E106)</f>
        <v>0</v>
      </c>
    </row>
    <row r="107" spans="1:6" ht="15.9" hidden="1" customHeight="1">
      <c r="A107" s="31"/>
      <c r="B107" s="27" t="s">
        <v>6</v>
      </c>
      <c r="C107" s="28">
        <f>SUM(C102:C106)</f>
        <v>27</v>
      </c>
      <c r="D107" s="28">
        <f>SUM(D102:D106)</f>
        <v>0</v>
      </c>
      <c r="E107" s="28">
        <f>SUM(E102:E106)</f>
        <v>0</v>
      </c>
      <c r="F107" s="28">
        <f>SUM(F102:F106)</f>
        <v>27</v>
      </c>
    </row>
    <row r="108" spans="1:6" ht="15.9" customHeight="1">
      <c r="A108" s="66" t="s">
        <v>34</v>
      </c>
      <c r="B108" s="21" t="s">
        <v>11</v>
      </c>
      <c r="C108" s="22">
        <v>4304</v>
      </c>
      <c r="D108" s="22">
        <v>0</v>
      </c>
      <c r="E108" s="22">
        <v>2</v>
      </c>
      <c r="F108" s="23">
        <f>SUM(C108:E108)</f>
        <v>4306</v>
      </c>
    </row>
    <row r="109" spans="1:6" ht="15.9" customHeight="1">
      <c r="A109" s="66"/>
      <c r="B109" s="24" t="s">
        <v>12</v>
      </c>
      <c r="C109" s="25">
        <v>1962</v>
      </c>
      <c r="D109" s="25">
        <v>0</v>
      </c>
      <c r="E109" s="25">
        <v>0</v>
      </c>
      <c r="F109" s="26">
        <f>SUM(C109:E109)</f>
        <v>1962</v>
      </c>
    </row>
    <row r="110" spans="1:6" ht="15.9" customHeight="1">
      <c r="A110" s="66"/>
      <c r="B110" s="21" t="s">
        <v>13</v>
      </c>
      <c r="C110" s="22">
        <v>82</v>
      </c>
      <c r="D110" s="22">
        <v>0</v>
      </c>
      <c r="E110" s="22">
        <v>0</v>
      </c>
      <c r="F110" s="23">
        <f>SUM(C110:E110)</f>
        <v>82</v>
      </c>
    </row>
    <row r="111" spans="1:6" ht="15.9" customHeight="1">
      <c r="A111" s="66"/>
      <c r="B111" s="24" t="s">
        <v>14</v>
      </c>
      <c r="C111" s="25">
        <v>31183</v>
      </c>
      <c r="D111" s="25">
        <v>0</v>
      </c>
      <c r="E111" s="25">
        <v>0</v>
      </c>
      <c r="F111" s="26">
        <f>SUM(C111:E111)</f>
        <v>31183</v>
      </c>
    </row>
    <row r="112" spans="1:6" ht="15.9" customHeight="1">
      <c r="A112" s="66"/>
      <c r="B112" s="21" t="str">
        <f>$B$11</f>
        <v>Breeding of GM or HM</v>
      </c>
      <c r="C112" s="22">
        <v>177</v>
      </c>
      <c r="D112" s="22">
        <v>0</v>
      </c>
      <c r="E112" s="22">
        <v>4</v>
      </c>
      <c r="F112" s="23">
        <f>SUM(C112:E112)</f>
        <v>181</v>
      </c>
    </row>
    <row r="113" spans="1:6" ht="15.9" customHeight="1">
      <c r="A113" s="67"/>
      <c r="B113" s="27" t="s">
        <v>6</v>
      </c>
      <c r="C113" s="28">
        <f>SUM(C108:C112)</f>
        <v>37708</v>
      </c>
      <c r="D113" s="28">
        <f>SUM(D108:D112)</f>
        <v>0</v>
      </c>
      <c r="E113" s="28">
        <f>SUM(E108:E112)</f>
        <v>6</v>
      </c>
      <c r="F113" s="28">
        <f>SUM(F108:F112)</f>
        <v>37714</v>
      </c>
    </row>
    <row r="114" spans="1:6" ht="15.9" hidden="1" customHeight="1">
      <c r="A114" s="29" t="s">
        <v>35</v>
      </c>
      <c r="B114" s="21" t="s">
        <v>11</v>
      </c>
      <c r="C114" s="22">
        <v>2433</v>
      </c>
      <c r="D114" s="22" t="s">
        <v>18</v>
      </c>
      <c r="E114" s="22" t="s">
        <v>18</v>
      </c>
      <c r="F114" s="23">
        <f>SUM(C114:E114)</f>
        <v>2433</v>
      </c>
    </row>
    <row r="115" spans="1:6" ht="15.9" hidden="1" customHeight="1">
      <c r="A115" s="30"/>
      <c r="B115" s="24" t="s">
        <v>12</v>
      </c>
      <c r="C115" s="25">
        <v>1019</v>
      </c>
      <c r="D115" s="25" t="s">
        <v>18</v>
      </c>
      <c r="E115" s="25" t="s">
        <v>18</v>
      </c>
      <c r="F115" s="26">
        <f>SUM(C115:E115)</f>
        <v>1019</v>
      </c>
    </row>
    <row r="116" spans="1:6" ht="15.9" hidden="1" customHeight="1">
      <c r="A116" s="30"/>
      <c r="B116" s="21" t="s">
        <v>13</v>
      </c>
      <c r="C116" s="22">
        <v>121</v>
      </c>
      <c r="D116" s="22" t="s">
        <v>18</v>
      </c>
      <c r="E116" s="22" t="s">
        <v>18</v>
      </c>
      <c r="F116" s="23">
        <f>SUM(C116:E116)</f>
        <v>121</v>
      </c>
    </row>
    <row r="117" spans="1:6" ht="15.9" hidden="1" customHeight="1">
      <c r="A117" s="30"/>
      <c r="B117" s="24" t="s">
        <v>14</v>
      </c>
      <c r="C117" s="25">
        <v>12</v>
      </c>
      <c r="D117" s="25" t="s">
        <v>18</v>
      </c>
      <c r="E117" s="25" t="s">
        <v>18</v>
      </c>
      <c r="F117" s="26">
        <f>SUM(C117:E117)</f>
        <v>12</v>
      </c>
    </row>
    <row r="118" spans="1:6" ht="15.9" hidden="1" customHeight="1">
      <c r="A118" s="30"/>
      <c r="B118" s="21" t="str">
        <f>$B$11</f>
        <v>Breeding of GM or HM</v>
      </c>
      <c r="C118" s="22" t="s">
        <v>18</v>
      </c>
      <c r="D118" s="22" t="s">
        <v>18</v>
      </c>
      <c r="E118" s="22" t="s">
        <v>18</v>
      </c>
      <c r="F118" s="23">
        <f>SUM(C118:E118)</f>
        <v>0</v>
      </c>
    </row>
    <row r="119" spans="1:6" ht="15.9" hidden="1" customHeight="1">
      <c r="A119" s="31"/>
      <c r="B119" s="27" t="s">
        <v>6</v>
      </c>
      <c r="C119" s="28">
        <f>SUM(C114:C118)</f>
        <v>3585</v>
      </c>
      <c r="D119" s="28">
        <f>SUM(D114:D118)</f>
        <v>0</v>
      </c>
      <c r="E119" s="28">
        <f>SUM(E114:E118)</f>
        <v>0</v>
      </c>
      <c r="F119" s="28">
        <f>SUM(F114:F118)</f>
        <v>3585</v>
      </c>
    </row>
    <row r="120" spans="1:6" ht="15.9" hidden="1" customHeight="1">
      <c r="A120" s="29" t="s">
        <v>36</v>
      </c>
      <c r="B120" s="21" t="s">
        <v>11</v>
      </c>
      <c r="C120" s="22">
        <v>59</v>
      </c>
      <c r="D120" s="22" t="s">
        <v>18</v>
      </c>
      <c r="E120" s="22" t="s">
        <v>18</v>
      </c>
      <c r="F120" s="23">
        <f>SUM(C120:E120)</f>
        <v>59</v>
      </c>
    </row>
    <row r="121" spans="1:6" ht="15.9" hidden="1" customHeight="1">
      <c r="A121" s="32"/>
      <c r="B121" s="24" t="s">
        <v>12</v>
      </c>
      <c r="C121" s="25" t="s">
        <v>18</v>
      </c>
      <c r="D121" s="25" t="s">
        <v>18</v>
      </c>
      <c r="E121" s="25" t="s">
        <v>18</v>
      </c>
      <c r="F121" s="26">
        <f>SUM(C121:E121)</f>
        <v>0</v>
      </c>
    </row>
    <row r="122" spans="1:6" ht="15.9" hidden="1" customHeight="1">
      <c r="A122" s="32"/>
      <c r="B122" s="21" t="s">
        <v>13</v>
      </c>
      <c r="C122" s="22">
        <v>3</v>
      </c>
      <c r="D122" s="22" t="s">
        <v>18</v>
      </c>
      <c r="E122" s="22" t="s">
        <v>18</v>
      </c>
      <c r="F122" s="23">
        <f>SUM(C122:E122)</f>
        <v>3</v>
      </c>
    </row>
    <row r="123" spans="1:6" ht="15.9" hidden="1" customHeight="1">
      <c r="A123" s="32"/>
      <c r="B123" s="24" t="s">
        <v>14</v>
      </c>
      <c r="C123" s="25" t="s">
        <v>18</v>
      </c>
      <c r="D123" s="25" t="s">
        <v>18</v>
      </c>
      <c r="E123" s="25" t="s">
        <v>18</v>
      </c>
      <c r="F123" s="26">
        <f>SUM(C123:E123)</f>
        <v>0</v>
      </c>
    </row>
    <row r="124" spans="1:6" ht="15.9" hidden="1" customHeight="1">
      <c r="A124" s="30"/>
      <c r="B124" s="21" t="str">
        <f>$B$11</f>
        <v>Breeding of GM or HM</v>
      </c>
      <c r="C124" s="22" t="s">
        <v>18</v>
      </c>
      <c r="D124" s="22" t="s">
        <v>18</v>
      </c>
      <c r="E124" s="22" t="s">
        <v>18</v>
      </c>
      <c r="F124" s="23">
        <f>SUM(C124:E124)</f>
        <v>0</v>
      </c>
    </row>
    <row r="125" spans="1:6" ht="15.9" hidden="1" customHeight="1">
      <c r="A125" s="31"/>
      <c r="B125" s="27" t="s">
        <v>6</v>
      </c>
      <c r="C125" s="28">
        <f>SUM(C120:C124)</f>
        <v>62</v>
      </c>
      <c r="D125" s="28">
        <f>SUM(D120:D124)</f>
        <v>0</v>
      </c>
      <c r="E125" s="28">
        <f>SUM(E120:E124)</f>
        <v>0</v>
      </c>
      <c r="F125" s="28">
        <f>SUM(F120:F124)</f>
        <v>62</v>
      </c>
    </row>
    <row r="126" spans="1:6" ht="15.9" hidden="1" customHeight="1">
      <c r="A126" s="29" t="s">
        <v>37</v>
      </c>
      <c r="B126" s="21" t="s">
        <v>11</v>
      </c>
      <c r="C126" s="22" t="s">
        <v>18</v>
      </c>
      <c r="D126" s="22" t="s">
        <v>18</v>
      </c>
      <c r="E126" s="22" t="s">
        <v>18</v>
      </c>
      <c r="F126" s="23">
        <f>SUM(C126:E126)</f>
        <v>0</v>
      </c>
    </row>
    <row r="127" spans="1:6" ht="15.9" hidden="1" customHeight="1">
      <c r="A127" s="32"/>
      <c r="B127" s="24" t="s">
        <v>12</v>
      </c>
      <c r="C127" s="25" t="s">
        <v>18</v>
      </c>
      <c r="D127" s="25" t="s">
        <v>18</v>
      </c>
      <c r="E127" s="25" t="s">
        <v>18</v>
      </c>
      <c r="F127" s="26">
        <f>SUM(C127:E127)</f>
        <v>0</v>
      </c>
    </row>
    <row r="128" spans="1:6" ht="15.9" hidden="1" customHeight="1">
      <c r="A128" s="32"/>
      <c r="B128" s="21" t="s">
        <v>13</v>
      </c>
      <c r="C128" s="22">
        <v>11</v>
      </c>
      <c r="D128" s="22" t="s">
        <v>18</v>
      </c>
      <c r="E128" s="22" t="s">
        <v>18</v>
      </c>
      <c r="F128" s="23">
        <f>SUM(C128:E128)</f>
        <v>11</v>
      </c>
    </row>
    <row r="129" spans="1:6" ht="15.9" hidden="1" customHeight="1">
      <c r="A129" s="32"/>
      <c r="B129" s="24" t="s">
        <v>14</v>
      </c>
      <c r="C129" s="25" t="s">
        <v>18</v>
      </c>
      <c r="D129" s="25" t="s">
        <v>18</v>
      </c>
      <c r="E129" s="25" t="s">
        <v>18</v>
      </c>
      <c r="F129" s="26">
        <f>SUM(C129:E129)</f>
        <v>0</v>
      </c>
    </row>
    <row r="130" spans="1:6" ht="15.9" hidden="1" customHeight="1">
      <c r="A130" s="30"/>
      <c r="B130" s="21" t="str">
        <f>$B$11</f>
        <v>Breeding of GM or HM</v>
      </c>
      <c r="C130" s="22" t="s">
        <v>18</v>
      </c>
      <c r="D130" s="22" t="s">
        <v>18</v>
      </c>
      <c r="E130" s="22" t="s">
        <v>18</v>
      </c>
      <c r="F130" s="23">
        <f>SUM(C130:E130)</f>
        <v>0</v>
      </c>
    </row>
    <row r="131" spans="1:6" ht="15.9" hidden="1" customHeight="1">
      <c r="A131" s="31"/>
      <c r="B131" s="27" t="s">
        <v>6</v>
      </c>
      <c r="C131" s="28">
        <f>SUM(C126:C130)</f>
        <v>11</v>
      </c>
      <c r="D131" s="28">
        <f>SUM(D126:D130)</f>
        <v>0</v>
      </c>
      <c r="E131" s="28">
        <f>SUM(E126:E130)</f>
        <v>0</v>
      </c>
      <c r="F131" s="28">
        <f>SUM(F126:F130)</f>
        <v>11</v>
      </c>
    </row>
    <row r="132" spans="1:6" ht="15.9" hidden="1" customHeight="1">
      <c r="A132" s="32" t="s">
        <v>38</v>
      </c>
      <c r="B132" s="34" t="s">
        <v>11</v>
      </c>
      <c r="C132" s="22"/>
      <c r="D132" s="22"/>
      <c r="E132" s="22"/>
      <c r="F132" s="23"/>
    </row>
    <row r="133" spans="1:6" ht="15.9" hidden="1" customHeight="1">
      <c r="A133" s="32"/>
      <c r="B133" s="34" t="s">
        <v>12</v>
      </c>
      <c r="C133" s="22"/>
      <c r="D133" s="22"/>
      <c r="E133" s="22"/>
      <c r="F133" s="23"/>
    </row>
    <row r="134" spans="1:6" ht="15.9" hidden="1" customHeight="1">
      <c r="A134" s="32"/>
      <c r="B134" s="34" t="s">
        <v>13</v>
      </c>
      <c r="C134" s="22"/>
      <c r="D134" s="22"/>
      <c r="E134" s="22"/>
      <c r="F134" s="23"/>
    </row>
    <row r="135" spans="1:6" ht="15.9" hidden="1" customHeight="1">
      <c r="A135" s="30"/>
      <c r="B135" s="34" t="s">
        <v>14</v>
      </c>
      <c r="C135" s="22"/>
      <c r="D135" s="22"/>
      <c r="E135" s="22"/>
      <c r="F135" s="23"/>
    </row>
    <row r="136" spans="1:6" ht="15.9" hidden="1" customHeight="1">
      <c r="A136" s="30"/>
      <c r="B136" s="34" t="s">
        <v>26</v>
      </c>
      <c r="C136" s="22"/>
      <c r="D136" s="22"/>
      <c r="E136" s="22"/>
      <c r="F136" s="23"/>
    </row>
    <row r="137" spans="1:6" ht="15.9" hidden="1" customHeight="1">
      <c r="A137" s="31"/>
      <c r="B137" s="35" t="s">
        <v>6</v>
      </c>
      <c r="C137" s="22"/>
      <c r="D137" s="22"/>
      <c r="E137" s="22"/>
      <c r="F137" s="23"/>
    </row>
    <row r="138" spans="1:6" ht="15.9" hidden="1" customHeight="1">
      <c r="A138" s="29" t="s">
        <v>39</v>
      </c>
      <c r="B138" s="21" t="s">
        <v>11</v>
      </c>
      <c r="C138" s="22">
        <v>289</v>
      </c>
      <c r="D138" s="22" t="s">
        <v>18</v>
      </c>
      <c r="E138" s="22" t="s">
        <v>18</v>
      </c>
      <c r="F138" s="23">
        <f>SUM(C138:E138)</f>
        <v>289</v>
      </c>
    </row>
    <row r="139" spans="1:6" ht="15.9" hidden="1" customHeight="1">
      <c r="A139" s="32"/>
      <c r="B139" s="24" t="s">
        <v>12</v>
      </c>
      <c r="C139" s="25">
        <v>814</v>
      </c>
      <c r="D139" s="25" t="s">
        <v>18</v>
      </c>
      <c r="E139" s="25" t="s">
        <v>18</v>
      </c>
      <c r="F139" s="26">
        <f>SUM(C139:E139)</f>
        <v>814</v>
      </c>
    </row>
    <row r="140" spans="1:6" ht="15.9" hidden="1" customHeight="1">
      <c r="A140" s="32"/>
      <c r="B140" s="21" t="s">
        <v>13</v>
      </c>
      <c r="C140" s="22" t="s">
        <v>18</v>
      </c>
      <c r="D140" s="22" t="s">
        <v>18</v>
      </c>
      <c r="E140" s="22" t="s">
        <v>18</v>
      </c>
      <c r="F140" s="23">
        <f>SUM(C140:E140)</f>
        <v>0</v>
      </c>
    </row>
    <row r="141" spans="1:6" ht="15.9" hidden="1" customHeight="1">
      <c r="A141" s="30"/>
      <c r="B141" s="24" t="s">
        <v>14</v>
      </c>
      <c r="C141" s="25" t="s">
        <v>18</v>
      </c>
      <c r="D141" s="25" t="s">
        <v>18</v>
      </c>
      <c r="E141" s="25" t="s">
        <v>18</v>
      </c>
      <c r="F141" s="26">
        <f>SUM(C141:E141)</f>
        <v>0</v>
      </c>
    </row>
    <row r="142" spans="1:6" ht="15.9" hidden="1" customHeight="1">
      <c r="A142" s="30"/>
      <c r="B142" s="21" t="str">
        <f>$B$11</f>
        <v>Breeding of GM or HM</v>
      </c>
      <c r="C142" s="22" t="s">
        <v>18</v>
      </c>
      <c r="D142" s="22" t="s">
        <v>18</v>
      </c>
      <c r="E142" s="22" t="s">
        <v>18</v>
      </c>
      <c r="F142" s="23">
        <f>SUM(C142:E142)</f>
        <v>0</v>
      </c>
    </row>
    <row r="143" spans="1:6" ht="21" hidden="1" customHeight="1">
      <c r="A143" s="31"/>
      <c r="B143" s="27" t="s">
        <v>6</v>
      </c>
      <c r="C143" s="28">
        <f>SUM(C138:C142)</f>
        <v>1103</v>
      </c>
      <c r="D143" s="28">
        <f>SUM(D138:D142)</f>
        <v>0</v>
      </c>
      <c r="E143" s="28">
        <f>SUM(E138:E142)</f>
        <v>0</v>
      </c>
      <c r="F143" s="28">
        <f>SUM(F138:F142)</f>
        <v>1103</v>
      </c>
    </row>
    <row r="144" spans="1:6" ht="15.75" hidden="1" customHeight="1">
      <c r="A144" s="40" t="s">
        <v>40</v>
      </c>
      <c r="B144" s="34" t="s">
        <v>11</v>
      </c>
      <c r="C144" s="22"/>
      <c r="D144" s="22"/>
      <c r="E144" s="22"/>
      <c r="F144" s="41"/>
    </row>
    <row r="145" spans="1:6" ht="15.9" hidden="1" customHeight="1">
      <c r="A145" s="42"/>
      <c r="B145" s="34" t="s">
        <v>12</v>
      </c>
      <c r="C145" s="22"/>
      <c r="D145" s="22"/>
      <c r="E145" s="22"/>
      <c r="F145" s="41"/>
    </row>
    <row r="146" spans="1:6" ht="15.9" hidden="1" customHeight="1">
      <c r="A146" s="42"/>
      <c r="B146" s="34" t="s">
        <v>13</v>
      </c>
      <c r="C146" s="22"/>
      <c r="D146" s="22"/>
      <c r="E146" s="22"/>
      <c r="F146" s="41"/>
    </row>
    <row r="147" spans="1:6" ht="15.9" hidden="1" customHeight="1">
      <c r="A147" s="42"/>
      <c r="B147" s="34" t="s">
        <v>14</v>
      </c>
      <c r="C147" s="22"/>
      <c r="D147" s="22"/>
      <c r="E147" s="22"/>
      <c r="F147" s="41"/>
    </row>
    <row r="148" spans="1:6" ht="15.9" hidden="1" customHeight="1">
      <c r="A148" s="43"/>
      <c r="B148" s="34" t="s">
        <v>26</v>
      </c>
      <c r="C148" s="22"/>
      <c r="D148" s="22"/>
      <c r="E148" s="22"/>
      <c r="F148" s="41"/>
    </row>
    <row r="149" spans="1:6" ht="15.9" hidden="1" customHeight="1">
      <c r="A149" s="44"/>
      <c r="B149" s="35" t="s">
        <v>6</v>
      </c>
      <c r="C149" s="45"/>
      <c r="D149" s="45"/>
      <c r="E149" s="45"/>
      <c r="F149" s="46"/>
    </row>
    <row r="150" spans="1:6" ht="15.9" hidden="1" customHeight="1">
      <c r="A150" s="29" t="s">
        <v>41</v>
      </c>
      <c r="B150" s="21" t="s">
        <v>11</v>
      </c>
      <c r="C150" s="22">
        <v>270</v>
      </c>
      <c r="D150" s="22" t="s">
        <v>18</v>
      </c>
      <c r="E150" s="22" t="s">
        <v>18</v>
      </c>
      <c r="F150" s="23">
        <f>SUM(C150:E150)</f>
        <v>270</v>
      </c>
    </row>
    <row r="151" spans="1:6" ht="15.9" hidden="1" customHeight="1">
      <c r="A151" s="30"/>
      <c r="B151" s="24" t="s">
        <v>12</v>
      </c>
      <c r="C151" s="25">
        <v>2898</v>
      </c>
      <c r="D151" s="25" t="s">
        <v>18</v>
      </c>
      <c r="E151" s="25" t="s">
        <v>18</v>
      </c>
      <c r="F151" s="26">
        <f>SUM(C151:E151)</f>
        <v>2898</v>
      </c>
    </row>
    <row r="152" spans="1:6" ht="15.9" hidden="1" customHeight="1">
      <c r="A152" s="30"/>
      <c r="B152" s="21" t="s">
        <v>13</v>
      </c>
      <c r="C152" s="22">
        <v>417</v>
      </c>
      <c r="D152" s="22" t="s">
        <v>18</v>
      </c>
      <c r="E152" s="22" t="s">
        <v>18</v>
      </c>
      <c r="F152" s="23">
        <f>SUM(C152:E152)</f>
        <v>417</v>
      </c>
    </row>
    <row r="153" spans="1:6" ht="15.75" hidden="1" customHeight="1">
      <c r="A153" s="30"/>
      <c r="B153" s="24" t="s">
        <v>14</v>
      </c>
      <c r="C153" s="25" t="s">
        <v>18</v>
      </c>
      <c r="D153" s="25" t="s">
        <v>18</v>
      </c>
      <c r="E153" s="25" t="s">
        <v>18</v>
      </c>
      <c r="F153" s="26">
        <f>SUM(C153:E153)</f>
        <v>0</v>
      </c>
    </row>
    <row r="154" spans="1:6" ht="15.9" hidden="1" customHeight="1">
      <c r="A154" s="30"/>
      <c r="B154" s="21" t="str">
        <f>$B$11</f>
        <v>Breeding of GM or HM</v>
      </c>
      <c r="C154" s="22" t="s">
        <v>18</v>
      </c>
      <c r="D154" s="22" t="s">
        <v>18</v>
      </c>
      <c r="E154" s="22" t="s">
        <v>18</v>
      </c>
      <c r="F154" s="23">
        <f>SUM(C154:E154)</f>
        <v>0</v>
      </c>
    </row>
    <row r="155" spans="1:6" ht="15.9" hidden="1" customHeight="1">
      <c r="A155" s="31"/>
      <c r="B155" s="27" t="s">
        <v>6</v>
      </c>
      <c r="C155" s="28">
        <f>SUM(C150:C154)</f>
        <v>3585</v>
      </c>
      <c r="D155" s="28">
        <f>SUM(D150:D154)</f>
        <v>0</v>
      </c>
      <c r="E155" s="28">
        <f>SUM(E150:E154)</f>
        <v>0</v>
      </c>
      <c r="F155" s="28">
        <f>SUM(F150:F154)</f>
        <v>3585</v>
      </c>
    </row>
    <row r="156" spans="1:6" ht="20.149999999999999" hidden="1" customHeight="1">
      <c r="A156" s="29" t="s">
        <v>42</v>
      </c>
      <c r="B156" s="21" t="s">
        <v>11</v>
      </c>
      <c r="C156" s="22">
        <v>812</v>
      </c>
      <c r="D156" s="22" t="s">
        <v>18</v>
      </c>
      <c r="E156" s="22" t="s">
        <v>18</v>
      </c>
      <c r="F156" s="23">
        <f>SUM(C156:E156)</f>
        <v>812</v>
      </c>
    </row>
    <row r="157" spans="1:6" ht="15.75" hidden="1" customHeight="1">
      <c r="A157" s="32"/>
      <c r="B157" s="24" t="s">
        <v>12</v>
      </c>
      <c r="C157" s="25" t="s">
        <v>18</v>
      </c>
      <c r="D157" s="25" t="s">
        <v>18</v>
      </c>
      <c r="E157" s="25" t="s">
        <v>18</v>
      </c>
      <c r="F157" s="26">
        <f>SUM(C157:E157)</f>
        <v>0</v>
      </c>
    </row>
    <row r="158" spans="1:6" ht="15.9" hidden="1" customHeight="1">
      <c r="A158" s="32"/>
      <c r="B158" s="21" t="s">
        <v>13</v>
      </c>
      <c r="C158" s="22">
        <v>402</v>
      </c>
      <c r="D158" s="22" t="s">
        <v>18</v>
      </c>
      <c r="E158" s="22" t="s">
        <v>18</v>
      </c>
      <c r="F158" s="23">
        <f>SUM(C158:E158)</f>
        <v>402</v>
      </c>
    </row>
    <row r="159" spans="1:6" ht="15.9" hidden="1" customHeight="1">
      <c r="A159" s="30"/>
      <c r="B159" s="24" t="s">
        <v>14</v>
      </c>
      <c r="C159" s="25" t="s">
        <v>18</v>
      </c>
      <c r="D159" s="25" t="s">
        <v>18</v>
      </c>
      <c r="E159" s="25" t="s">
        <v>18</v>
      </c>
      <c r="F159" s="26">
        <f>SUM(C159:E159)</f>
        <v>0</v>
      </c>
    </row>
    <row r="160" spans="1:6" ht="15.9" hidden="1" customHeight="1">
      <c r="A160" s="30"/>
      <c r="B160" s="21" t="str">
        <f>$B$11</f>
        <v>Breeding of GM or HM</v>
      </c>
      <c r="C160" s="22" t="s">
        <v>18</v>
      </c>
      <c r="D160" s="22" t="s">
        <v>18</v>
      </c>
      <c r="E160" s="22" t="s">
        <v>18</v>
      </c>
      <c r="F160" s="23">
        <f>SUM(C160:E160)</f>
        <v>0</v>
      </c>
    </row>
    <row r="161" spans="1:6" ht="15.9" hidden="1" customHeight="1">
      <c r="A161" s="31"/>
      <c r="B161" s="27" t="s">
        <v>6</v>
      </c>
      <c r="C161" s="28">
        <f>SUM(C156:C160)</f>
        <v>1214</v>
      </c>
      <c r="D161" s="28">
        <f>SUM(D156:D160)</f>
        <v>0</v>
      </c>
      <c r="E161" s="28">
        <f>SUM(E156:E160)</f>
        <v>0</v>
      </c>
      <c r="F161" s="28">
        <f>SUM(F156:F160)</f>
        <v>1214</v>
      </c>
    </row>
    <row r="162" spans="1:6" ht="23.25" hidden="1" customHeight="1">
      <c r="A162" s="6" t="s">
        <v>0</v>
      </c>
      <c r="B162" s="7"/>
      <c r="C162" s="8"/>
      <c r="D162" s="8"/>
      <c r="E162" s="8"/>
      <c r="F162" s="9"/>
    </row>
    <row r="163" spans="1:6" ht="15.9" hidden="1" customHeight="1">
      <c r="A163" s="10"/>
      <c r="B163" s="11"/>
      <c r="F163" s="12"/>
    </row>
    <row r="164" spans="1:6" ht="15.9" hidden="1" customHeight="1">
      <c r="A164" s="10" t="s">
        <v>29</v>
      </c>
      <c r="B164" s="2"/>
      <c r="C164" s="13"/>
      <c r="D164" s="13"/>
      <c r="E164" s="14"/>
      <c r="F164" s="15" t="s">
        <v>2</v>
      </c>
    </row>
    <row r="165" spans="1:6" ht="15.9" hidden="1" customHeight="1">
      <c r="A165" s="16" t="s">
        <v>3</v>
      </c>
      <c r="B165" s="70" t="s">
        <v>4</v>
      </c>
      <c r="C165" s="63" t="s">
        <v>5</v>
      </c>
      <c r="D165" s="64"/>
      <c r="E165" s="65"/>
      <c r="F165" s="17" t="s">
        <v>6</v>
      </c>
    </row>
    <row r="166" spans="1:6" ht="72.900000000000006" hidden="1" customHeight="1">
      <c r="A166" s="18"/>
      <c r="B166" s="71"/>
      <c r="C166" s="19" t="s">
        <v>7</v>
      </c>
      <c r="D166" s="19" t="s">
        <v>8</v>
      </c>
      <c r="E166" s="19" t="s">
        <v>9</v>
      </c>
      <c r="F166" s="20"/>
    </row>
    <row r="167" spans="1:6" ht="15.9" customHeight="1">
      <c r="A167" s="66" t="s">
        <v>43</v>
      </c>
      <c r="B167" s="21" t="s">
        <v>11</v>
      </c>
      <c r="C167" s="22">
        <v>5946</v>
      </c>
      <c r="D167" s="22">
        <v>282</v>
      </c>
      <c r="E167" s="22">
        <v>6</v>
      </c>
      <c r="F167" s="23">
        <f>SUM(C167:E167)</f>
        <v>6234</v>
      </c>
    </row>
    <row r="168" spans="1:6" ht="15.9" customHeight="1">
      <c r="A168" s="66"/>
      <c r="B168" s="24" t="s">
        <v>12</v>
      </c>
      <c r="C168" s="25">
        <v>140557</v>
      </c>
      <c r="D168" s="25">
        <v>0</v>
      </c>
      <c r="E168" s="25">
        <v>0</v>
      </c>
      <c r="F168" s="26">
        <f>SUM(C168:E168)</f>
        <v>140557</v>
      </c>
    </row>
    <row r="169" spans="1:6" ht="15.9" customHeight="1">
      <c r="A169" s="66"/>
      <c r="B169" s="21" t="s">
        <v>13</v>
      </c>
      <c r="C169" s="22">
        <v>274</v>
      </c>
      <c r="D169" s="22">
        <v>0</v>
      </c>
      <c r="E169" s="22">
        <v>0</v>
      </c>
      <c r="F169" s="23">
        <f>SUM(C169:E169)</f>
        <v>274</v>
      </c>
    </row>
    <row r="170" spans="1:6" ht="15.9" customHeight="1">
      <c r="A170" s="66"/>
      <c r="B170" s="24" t="s">
        <v>14</v>
      </c>
      <c r="C170" s="25">
        <v>1377</v>
      </c>
      <c r="D170" s="25">
        <v>0</v>
      </c>
      <c r="E170" s="25">
        <v>0</v>
      </c>
      <c r="F170" s="26">
        <f>SUM(C170:E170)</f>
        <v>1377</v>
      </c>
    </row>
    <row r="171" spans="1:6" ht="15.9" customHeight="1">
      <c r="A171" s="66"/>
      <c r="B171" s="21" t="str">
        <f>$B$11</f>
        <v>Breeding of GM or HM</v>
      </c>
      <c r="C171" s="22">
        <v>61</v>
      </c>
      <c r="D171" s="22">
        <v>196</v>
      </c>
      <c r="E171" s="22">
        <v>345</v>
      </c>
      <c r="F171" s="23">
        <f>SUM(C171:E171)</f>
        <v>602</v>
      </c>
    </row>
    <row r="172" spans="1:6" ht="15.9" customHeight="1">
      <c r="A172" s="67"/>
      <c r="B172" s="27" t="s">
        <v>6</v>
      </c>
      <c r="C172" s="28">
        <f>SUM(C167:C171)</f>
        <v>148215</v>
      </c>
      <c r="D172" s="28">
        <f>SUM(D167:D171)</f>
        <v>478</v>
      </c>
      <c r="E172" s="28">
        <f>SUM(E167:E171)</f>
        <v>351</v>
      </c>
      <c r="F172" s="28">
        <f>SUM(F167:F171)</f>
        <v>149044</v>
      </c>
    </row>
    <row r="173" spans="1:6" ht="15.9" hidden="1" customHeight="1">
      <c r="A173" s="29" t="s">
        <v>44</v>
      </c>
      <c r="B173" s="21" t="s">
        <v>11</v>
      </c>
      <c r="C173" s="22">
        <v>448</v>
      </c>
      <c r="D173" s="22" t="s">
        <v>18</v>
      </c>
      <c r="E173" s="22" t="s">
        <v>18</v>
      </c>
      <c r="F173" s="23">
        <f>SUM(C173:E173)</f>
        <v>448</v>
      </c>
    </row>
    <row r="174" spans="1:6" ht="15.9" hidden="1" customHeight="1">
      <c r="A174" s="32"/>
      <c r="B174" s="24" t="s">
        <v>12</v>
      </c>
      <c r="C174" s="25">
        <v>1887</v>
      </c>
      <c r="D174" s="25" t="s">
        <v>18</v>
      </c>
      <c r="E174" s="25" t="s">
        <v>18</v>
      </c>
      <c r="F174" s="26">
        <f>SUM(C174:E174)</f>
        <v>1887</v>
      </c>
    </row>
    <row r="175" spans="1:6" ht="15.9" hidden="1" customHeight="1">
      <c r="A175" s="32"/>
      <c r="B175" s="21" t="s">
        <v>13</v>
      </c>
      <c r="C175" s="22">
        <v>25</v>
      </c>
      <c r="D175" s="22" t="s">
        <v>18</v>
      </c>
      <c r="E175" s="22" t="s">
        <v>18</v>
      </c>
      <c r="F175" s="23">
        <f>SUM(C175:E175)</f>
        <v>25</v>
      </c>
    </row>
    <row r="176" spans="1:6" ht="15.9" hidden="1" customHeight="1">
      <c r="A176" s="30"/>
      <c r="B176" s="24" t="s">
        <v>14</v>
      </c>
      <c r="C176" s="25">
        <v>186</v>
      </c>
      <c r="D176" s="25" t="s">
        <v>18</v>
      </c>
      <c r="E176" s="25" t="s">
        <v>18</v>
      </c>
      <c r="F176" s="26">
        <f>SUM(C176:E176)</f>
        <v>186</v>
      </c>
    </row>
    <row r="177" spans="1:6" ht="15.9" hidden="1" customHeight="1">
      <c r="A177" s="30"/>
      <c r="B177" s="21" t="str">
        <f>$B$11</f>
        <v>Breeding of GM or HM</v>
      </c>
      <c r="C177" s="22" t="s">
        <v>18</v>
      </c>
      <c r="D177" s="22" t="s">
        <v>18</v>
      </c>
      <c r="E177" s="22" t="s">
        <v>18</v>
      </c>
      <c r="F177" s="23">
        <f>SUM(C177:E177)</f>
        <v>0</v>
      </c>
    </row>
    <row r="178" spans="1:6" ht="15.9" hidden="1" customHeight="1">
      <c r="A178" s="31"/>
      <c r="B178" s="27" t="s">
        <v>6</v>
      </c>
      <c r="C178" s="28">
        <f>SUM(C173:C177)</f>
        <v>2546</v>
      </c>
      <c r="D178" s="28">
        <f>SUM(D173:D177)</f>
        <v>0</v>
      </c>
      <c r="E178" s="28">
        <f>SUM(E173:E177)</f>
        <v>0</v>
      </c>
      <c r="F178" s="28">
        <f>SUM(F173:F177)</f>
        <v>2546</v>
      </c>
    </row>
    <row r="179" spans="1:6" ht="15.9" hidden="1" customHeight="1">
      <c r="A179" s="36" t="s">
        <v>45</v>
      </c>
      <c r="B179" s="37" t="s">
        <v>11</v>
      </c>
      <c r="C179" s="38" t="s">
        <v>18</v>
      </c>
      <c r="D179" s="38" t="s">
        <v>18</v>
      </c>
      <c r="E179" s="38" t="s">
        <v>18</v>
      </c>
      <c r="F179" s="39">
        <f>SUM(C179:E179)</f>
        <v>0</v>
      </c>
    </row>
    <row r="180" spans="1:6" ht="15.9" hidden="1" customHeight="1">
      <c r="A180" s="32"/>
      <c r="B180" s="24" t="s">
        <v>12</v>
      </c>
      <c r="C180" s="25" t="s">
        <v>18</v>
      </c>
      <c r="D180" s="25" t="s">
        <v>18</v>
      </c>
      <c r="E180" s="25" t="s">
        <v>18</v>
      </c>
      <c r="F180" s="26">
        <f>SUM(C180:E180)</f>
        <v>0</v>
      </c>
    </row>
    <row r="181" spans="1:6" ht="15.9" hidden="1" customHeight="1">
      <c r="A181" s="32"/>
      <c r="B181" s="21" t="s">
        <v>13</v>
      </c>
      <c r="C181" s="22" t="s">
        <v>18</v>
      </c>
      <c r="D181" s="22" t="s">
        <v>18</v>
      </c>
      <c r="E181" s="22" t="s">
        <v>18</v>
      </c>
      <c r="F181" s="23">
        <f>SUM(C181:E181)</f>
        <v>0</v>
      </c>
    </row>
    <row r="182" spans="1:6" ht="15.9" hidden="1" customHeight="1">
      <c r="A182" s="32"/>
      <c r="B182" s="24" t="s">
        <v>14</v>
      </c>
      <c r="C182" s="25" t="s">
        <v>18</v>
      </c>
      <c r="D182" s="25" t="s">
        <v>18</v>
      </c>
      <c r="E182" s="25" t="s">
        <v>18</v>
      </c>
      <c r="F182" s="26">
        <f>SUM(C182:E182)</f>
        <v>0</v>
      </c>
    </row>
    <row r="183" spans="1:6" ht="15.9" hidden="1" customHeight="1">
      <c r="A183" s="30"/>
      <c r="B183" s="21" t="str">
        <f>$B$11</f>
        <v>Breeding of GM or HM</v>
      </c>
      <c r="C183" s="22" t="s">
        <v>18</v>
      </c>
      <c r="D183" s="22" t="s">
        <v>18</v>
      </c>
      <c r="E183" s="22" t="s">
        <v>18</v>
      </c>
      <c r="F183" s="23">
        <f>SUM(C183:E183)</f>
        <v>0</v>
      </c>
    </row>
    <row r="184" spans="1:6" ht="15.9" hidden="1" customHeight="1">
      <c r="A184" s="31"/>
      <c r="B184" s="27" t="s">
        <v>6</v>
      </c>
      <c r="C184" s="28">
        <f>SUM(C179:C183)</f>
        <v>0</v>
      </c>
      <c r="D184" s="28">
        <f>SUM(D179:D183)</f>
        <v>0</v>
      </c>
      <c r="E184" s="28">
        <f>SUM(E179:E183)</f>
        <v>0</v>
      </c>
      <c r="F184" s="28">
        <f>SUM(F179:F183)</f>
        <v>0</v>
      </c>
    </row>
    <row r="185" spans="1:6" ht="20.25" hidden="1" customHeight="1">
      <c r="A185" s="68" t="s">
        <v>46</v>
      </c>
      <c r="B185" s="21" t="s">
        <v>11</v>
      </c>
      <c r="C185" s="22">
        <v>426</v>
      </c>
      <c r="D185" s="22" t="s">
        <v>18</v>
      </c>
      <c r="E185" s="22" t="s">
        <v>18</v>
      </c>
      <c r="F185" s="23">
        <f>SUM(C185:E185)</f>
        <v>426</v>
      </c>
    </row>
    <row r="186" spans="1:6" ht="15.9" hidden="1" customHeight="1">
      <c r="A186" s="69"/>
      <c r="B186" s="24" t="s">
        <v>12</v>
      </c>
      <c r="C186" s="25" t="s">
        <v>18</v>
      </c>
      <c r="D186" s="25" t="s">
        <v>18</v>
      </c>
      <c r="E186" s="25" t="s">
        <v>18</v>
      </c>
      <c r="F186" s="26">
        <f>SUM(C186:E186)</f>
        <v>0</v>
      </c>
    </row>
    <row r="187" spans="1:6" ht="15.9" hidden="1" customHeight="1">
      <c r="A187" s="47" t="s">
        <v>47</v>
      </c>
      <c r="B187" s="21" t="s">
        <v>13</v>
      </c>
      <c r="C187" s="22">
        <v>359</v>
      </c>
      <c r="D187" s="22" t="s">
        <v>18</v>
      </c>
      <c r="E187" s="22" t="s">
        <v>18</v>
      </c>
      <c r="F187" s="23">
        <f>SUM(C187:E187)</f>
        <v>359</v>
      </c>
    </row>
    <row r="188" spans="1:6" ht="15.9" hidden="1" customHeight="1">
      <c r="A188" s="48"/>
      <c r="B188" s="24" t="s">
        <v>14</v>
      </c>
      <c r="C188" s="25" t="s">
        <v>18</v>
      </c>
      <c r="D188" s="25" t="s">
        <v>18</v>
      </c>
      <c r="E188" s="25" t="s">
        <v>18</v>
      </c>
      <c r="F188" s="26">
        <f>SUM(C188:E188)</f>
        <v>0</v>
      </c>
    </row>
    <row r="189" spans="1:6" ht="15.9" hidden="1" customHeight="1">
      <c r="A189" s="49"/>
      <c r="B189" s="21" t="str">
        <f>$B$11</f>
        <v>Breeding of GM or HM</v>
      </c>
      <c r="C189" s="22" t="s">
        <v>18</v>
      </c>
      <c r="D189" s="22" t="s">
        <v>18</v>
      </c>
      <c r="E189" s="22" t="s">
        <v>18</v>
      </c>
      <c r="F189" s="23">
        <f>SUM(C189:E189)</f>
        <v>0</v>
      </c>
    </row>
    <row r="190" spans="1:6" ht="15.9" hidden="1" customHeight="1">
      <c r="A190" s="50"/>
      <c r="B190" s="27" t="s">
        <v>6</v>
      </c>
      <c r="C190" s="28">
        <f>SUM(C185:C189)</f>
        <v>785</v>
      </c>
      <c r="D190" s="28">
        <f>SUM(D185:D189)</f>
        <v>0</v>
      </c>
      <c r="E190" s="28">
        <f>SUM(E185:E189)</f>
        <v>0</v>
      </c>
      <c r="F190" s="28">
        <f>SUM(F185:F189)</f>
        <v>785</v>
      </c>
    </row>
    <row r="191" spans="1:6" ht="15.9" hidden="1" customHeight="1">
      <c r="A191" s="29" t="s">
        <v>48</v>
      </c>
      <c r="B191" s="21" t="s">
        <v>11</v>
      </c>
      <c r="C191" s="22">
        <v>7756</v>
      </c>
      <c r="D191" s="22" t="s">
        <v>18</v>
      </c>
      <c r="E191" s="22" t="s">
        <v>18</v>
      </c>
      <c r="F191" s="23">
        <f>SUM(C191:E191)</f>
        <v>7756</v>
      </c>
    </row>
    <row r="192" spans="1:6" ht="15.9" hidden="1" customHeight="1">
      <c r="A192" s="30"/>
      <c r="B192" s="24" t="s">
        <v>12</v>
      </c>
      <c r="C192" s="25" t="s">
        <v>18</v>
      </c>
      <c r="D192" s="25" t="s">
        <v>18</v>
      </c>
      <c r="E192" s="25" t="s">
        <v>18</v>
      </c>
      <c r="F192" s="26">
        <f>SUM(C192:E192)</f>
        <v>0</v>
      </c>
    </row>
    <row r="193" spans="1:6" ht="15.9" hidden="1" customHeight="1">
      <c r="A193" s="30"/>
      <c r="B193" s="21" t="s">
        <v>13</v>
      </c>
      <c r="C193" s="22">
        <v>562</v>
      </c>
      <c r="D193" s="22" t="s">
        <v>18</v>
      </c>
      <c r="E193" s="22" t="s">
        <v>18</v>
      </c>
      <c r="F193" s="23">
        <f>SUM(C193:E193)</f>
        <v>562</v>
      </c>
    </row>
    <row r="194" spans="1:6" ht="15.9" hidden="1" customHeight="1">
      <c r="A194" s="30"/>
      <c r="B194" s="24" t="s">
        <v>14</v>
      </c>
      <c r="C194" s="25">
        <v>465</v>
      </c>
      <c r="D194" s="25" t="s">
        <v>18</v>
      </c>
      <c r="E194" s="25" t="s">
        <v>18</v>
      </c>
      <c r="F194" s="26">
        <f>SUM(C194:E194)</f>
        <v>465</v>
      </c>
    </row>
    <row r="195" spans="1:6" ht="15.9" hidden="1" customHeight="1">
      <c r="A195" s="30"/>
      <c r="B195" s="21" t="str">
        <f>$B$11</f>
        <v>Breeding of GM or HM</v>
      </c>
      <c r="C195" s="22" t="s">
        <v>18</v>
      </c>
      <c r="D195" s="22" t="s">
        <v>18</v>
      </c>
      <c r="E195" s="22" t="s">
        <v>18</v>
      </c>
      <c r="F195" s="23">
        <f>SUM(C195:E195)</f>
        <v>0</v>
      </c>
    </row>
    <row r="196" spans="1:6" ht="15.9" hidden="1" customHeight="1">
      <c r="A196" s="31"/>
      <c r="B196" s="27" t="s">
        <v>6</v>
      </c>
      <c r="C196" s="28">
        <f>SUM(C191:C195)</f>
        <v>8783</v>
      </c>
      <c r="D196" s="28">
        <f>SUM(D191:D195)</f>
        <v>0</v>
      </c>
      <c r="E196" s="28">
        <f>SUM(E191:E195)</f>
        <v>0</v>
      </c>
      <c r="F196" s="28">
        <f>SUM(F191:F195)</f>
        <v>8783</v>
      </c>
    </row>
    <row r="197" spans="1:6" ht="15.9" hidden="1" customHeight="1">
      <c r="A197" s="29" t="s">
        <v>49</v>
      </c>
      <c r="B197" s="21" t="s">
        <v>11</v>
      </c>
      <c r="C197" s="22">
        <v>860</v>
      </c>
      <c r="D197" s="22" t="s">
        <v>18</v>
      </c>
      <c r="E197" s="22" t="s">
        <v>18</v>
      </c>
      <c r="F197" s="23">
        <f>SUM(C197:E197)</f>
        <v>860</v>
      </c>
    </row>
    <row r="198" spans="1:6" ht="15.9" hidden="1" customHeight="1">
      <c r="A198" s="30"/>
      <c r="B198" s="24" t="s">
        <v>12</v>
      </c>
      <c r="C198" s="25">
        <v>29</v>
      </c>
      <c r="D198" s="25" t="s">
        <v>18</v>
      </c>
      <c r="E198" s="25" t="s">
        <v>18</v>
      </c>
      <c r="F198" s="26">
        <f>SUM(C198:E198)</f>
        <v>29</v>
      </c>
    </row>
    <row r="199" spans="1:6" ht="15.9" hidden="1" customHeight="1">
      <c r="A199" s="30"/>
      <c r="B199" s="21" t="s">
        <v>13</v>
      </c>
      <c r="C199" s="22" t="s">
        <v>18</v>
      </c>
      <c r="D199" s="22" t="s">
        <v>18</v>
      </c>
      <c r="E199" s="22" t="s">
        <v>18</v>
      </c>
      <c r="F199" s="23">
        <f>SUM(C199:E199)</f>
        <v>0</v>
      </c>
    </row>
    <row r="200" spans="1:6" ht="15.9" hidden="1" customHeight="1">
      <c r="A200" s="30"/>
      <c r="B200" s="24" t="s">
        <v>14</v>
      </c>
      <c r="C200" s="25" t="s">
        <v>18</v>
      </c>
      <c r="D200" s="25" t="s">
        <v>18</v>
      </c>
      <c r="E200" s="25" t="s">
        <v>18</v>
      </c>
      <c r="F200" s="26">
        <f>SUM(C200:E200)</f>
        <v>0</v>
      </c>
    </row>
    <row r="201" spans="1:6" ht="15.9" hidden="1" customHeight="1">
      <c r="A201" s="33"/>
      <c r="B201" s="21" t="str">
        <f>$B$11</f>
        <v>Breeding of GM or HM</v>
      </c>
      <c r="C201" s="22" t="s">
        <v>18</v>
      </c>
      <c r="D201" s="22" t="s">
        <v>18</v>
      </c>
      <c r="E201" s="22" t="s">
        <v>18</v>
      </c>
      <c r="F201" s="23">
        <f>SUM(C201:E201)</f>
        <v>0</v>
      </c>
    </row>
    <row r="202" spans="1:6" ht="15.9" hidden="1" customHeight="1">
      <c r="A202" s="31"/>
      <c r="B202" s="27" t="s">
        <v>6</v>
      </c>
      <c r="C202" s="28">
        <f>SUM(C197:C201)</f>
        <v>889</v>
      </c>
      <c r="D202" s="28">
        <f>SUM(D197:D201)</f>
        <v>0</v>
      </c>
      <c r="E202" s="28">
        <f>SUM(E197:E201)</f>
        <v>0</v>
      </c>
      <c r="F202" s="28">
        <f>SUM(F197:F201)</f>
        <v>889</v>
      </c>
    </row>
    <row r="203" spans="1:6" ht="15.9" customHeight="1">
      <c r="A203" s="66" t="s">
        <v>50</v>
      </c>
      <c r="B203" s="21" t="s">
        <v>11</v>
      </c>
      <c r="C203" s="22">
        <v>11563</v>
      </c>
      <c r="D203" s="22">
        <v>78</v>
      </c>
      <c r="E203" s="22">
        <v>226</v>
      </c>
      <c r="F203" s="23">
        <f>SUM(C203:E203)</f>
        <v>11867</v>
      </c>
    </row>
    <row r="204" spans="1:6" ht="15.9" customHeight="1">
      <c r="A204" s="66"/>
      <c r="B204" s="24" t="s">
        <v>12</v>
      </c>
      <c r="C204" s="25">
        <v>0</v>
      </c>
      <c r="D204" s="25">
        <v>0</v>
      </c>
      <c r="E204" s="25">
        <v>0</v>
      </c>
      <c r="F204" s="26">
        <f>SUM(C204:E204)</f>
        <v>0</v>
      </c>
    </row>
    <row r="205" spans="1:6" ht="15.9" customHeight="1">
      <c r="A205" s="66"/>
      <c r="B205" s="21" t="s">
        <v>13</v>
      </c>
      <c r="C205" s="22">
        <v>419</v>
      </c>
      <c r="D205" s="22">
        <v>0</v>
      </c>
      <c r="E205" s="22">
        <v>0</v>
      </c>
      <c r="F205" s="23">
        <f>SUM(C205:E205)</f>
        <v>419</v>
      </c>
    </row>
    <row r="206" spans="1:6" ht="15.9" customHeight="1">
      <c r="A206" s="66"/>
      <c r="B206" s="24" t="s">
        <v>14</v>
      </c>
      <c r="C206" s="25">
        <v>0</v>
      </c>
      <c r="D206" s="25">
        <v>0</v>
      </c>
      <c r="E206" s="25">
        <v>0</v>
      </c>
      <c r="F206" s="26">
        <f>SUM(C206:E206)</f>
        <v>0</v>
      </c>
    </row>
    <row r="207" spans="1:6" ht="15.9" customHeight="1">
      <c r="A207" s="66"/>
      <c r="B207" s="21" t="str">
        <f>$B$11</f>
        <v>Breeding of GM or HM</v>
      </c>
      <c r="C207" s="22">
        <v>20</v>
      </c>
      <c r="D207" s="22">
        <v>2792</v>
      </c>
      <c r="E207" s="22">
        <v>817</v>
      </c>
      <c r="F207" s="23">
        <f>SUM(C207:E207)</f>
        <v>3629</v>
      </c>
    </row>
    <row r="208" spans="1:6" ht="15.9" customHeight="1">
      <c r="A208" s="67"/>
      <c r="B208" s="27" t="s">
        <v>6</v>
      </c>
      <c r="C208" s="28">
        <f>SUM(C203:C207)</f>
        <v>12002</v>
      </c>
      <c r="D208" s="28">
        <f>SUM(D203:D207)</f>
        <v>2870</v>
      </c>
      <c r="E208" s="28">
        <f>SUM(E203:E207)</f>
        <v>1043</v>
      </c>
      <c r="F208" s="28">
        <f>SUM(F203:F207)</f>
        <v>15915</v>
      </c>
    </row>
    <row r="209" spans="1:6" ht="15.9" customHeight="1">
      <c r="A209" s="66" t="s">
        <v>51</v>
      </c>
      <c r="B209" s="21" t="s">
        <v>11</v>
      </c>
      <c r="C209" s="22">
        <v>319562</v>
      </c>
      <c r="D209" s="22">
        <v>2461</v>
      </c>
      <c r="E209" s="22">
        <v>20419</v>
      </c>
      <c r="F209" s="23">
        <f>SUM(C209:E209)</f>
        <v>342442</v>
      </c>
    </row>
    <row r="210" spans="1:6" ht="15.9" customHeight="1">
      <c r="A210" s="66"/>
      <c r="B210" s="24" t="s">
        <v>12</v>
      </c>
      <c r="C210" s="25">
        <v>21666</v>
      </c>
      <c r="D210" s="25">
        <v>0</v>
      </c>
      <c r="E210" s="25">
        <v>40</v>
      </c>
      <c r="F210" s="26">
        <f>SUM(C210:E210)</f>
        <v>21706</v>
      </c>
    </row>
    <row r="211" spans="1:6" ht="15.9" customHeight="1">
      <c r="A211" s="66"/>
      <c r="B211" s="21" t="s">
        <v>13</v>
      </c>
      <c r="C211" s="22">
        <v>58908</v>
      </c>
      <c r="D211" s="22">
        <v>0</v>
      </c>
      <c r="E211" s="22">
        <v>0</v>
      </c>
      <c r="F211" s="23">
        <f>SUM(C211:E211)</f>
        <v>58908</v>
      </c>
    </row>
    <row r="212" spans="1:6" ht="15.9" customHeight="1">
      <c r="A212" s="66"/>
      <c r="B212" s="24" t="s">
        <v>14</v>
      </c>
      <c r="C212" s="25">
        <v>0</v>
      </c>
      <c r="D212" s="25">
        <v>0</v>
      </c>
      <c r="E212" s="25">
        <v>23</v>
      </c>
      <c r="F212" s="26">
        <f>SUM(C212:E212)</f>
        <v>23</v>
      </c>
    </row>
    <row r="213" spans="1:6" ht="15.9" customHeight="1">
      <c r="A213" s="66"/>
      <c r="B213" s="21" t="str">
        <f>$B$11</f>
        <v>Breeding of GM or HM</v>
      </c>
      <c r="C213" s="22">
        <v>5993</v>
      </c>
      <c r="D213" s="22">
        <v>35972</v>
      </c>
      <c r="E213" s="22">
        <v>98859</v>
      </c>
      <c r="F213" s="23">
        <f>SUM(C213:E213)</f>
        <v>140824</v>
      </c>
    </row>
    <row r="214" spans="1:6" ht="15.9" customHeight="1">
      <c r="A214" s="67"/>
      <c r="B214" s="27" t="s">
        <v>6</v>
      </c>
      <c r="C214" s="28">
        <f>SUM(C209:C213)</f>
        <v>406129</v>
      </c>
      <c r="D214" s="28">
        <f>SUM(D209:D213)</f>
        <v>38433</v>
      </c>
      <c r="E214" s="28">
        <f>SUM(E209:E213)</f>
        <v>119341</v>
      </c>
      <c r="F214" s="28">
        <f>SUM(F209:F213)</f>
        <v>563903</v>
      </c>
    </row>
    <row r="215" spans="1:6" ht="15.9" hidden="1" customHeight="1">
      <c r="A215" s="51" t="s">
        <v>52</v>
      </c>
      <c r="B215" s="34" t="s">
        <v>11</v>
      </c>
      <c r="C215" s="22"/>
      <c r="D215" s="22"/>
      <c r="E215" s="22"/>
      <c r="F215" s="23"/>
    </row>
    <row r="216" spans="1:6" ht="15.9" hidden="1" customHeight="1">
      <c r="A216" s="30"/>
      <c r="B216" s="34" t="s">
        <v>12</v>
      </c>
      <c r="C216" s="22"/>
      <c r="D216" s="22"/>
      <c r="E216" s="22"/>
      <c r="F216" s="23"/>
    </row>
    <row r="217" spans="1:6" ht="15.9" hidden="1" customHeight="1">
      <c r="A217" s="30"/>
      <c r="B217" s="34" t="s">
        <v>13</v>
      </c>
      <c r="C217" s="22"/>
      <c r="D217" s="22"/>
      <c r="E217" s="22"/>
      <c r="F217" s="23"/>
    </row>
    <row r="218" spans="1:6" ht="15.9" hidden="1" customHeight="1">
      <c r="A218" s="30"/>
      <c r="B218" s="34" t="s">
        <v>14</v>
      </c>
      <c r="C218" s="22"/>
      <c r="D218" s="22"/>
      <c r="E218" s="22"/>
      <c r="F218" s="23"/>
    </row>
    <row r="219" spans="1:6" ht="15.9" hidden="1" customHeight="1">
      <c r="A219" s="30"/>
      <c r="B219" s="34" t="s">
        <v>26</v>
      </c>
      <c r="C219" s="22"/>
      <c r="D219" s="22"/>
      <c r="E219" s="22"/>
      <c r="F219" s="23"/>
    </row>
    <row r="220" spans="1:6" ht="15.9" hidden="1" customHeight="1">
      <c r="A220" s="31"/>
      <c r="B220" s="35" t="s">
        <v>6</v>
      </c>
      <c r="C220" s="22"/>
      <c r="D220" s="22"/>
      <c r="E220" s="22"/>
      <c r="F220" s="23"/>
    </row>
    <row r="221" spans="1:6" ht="15.9" customHeight="1">
      <c r="A221" s="88" t="s">
        <v>53</v>
      </c>
      <c r="B221" s="21" t="s">
        <v>11</v>
      </c>
      <c r="C221" s="22">
        <v>785248</v>
      </c>
      <c r="D221" s="22">
        <v>56462</v>
      </c>
      <c r="E221" s="22">
        <v>497163</v>
      </c>
      <c r="F221" s="23">
        <f>SUM(C221:E221)</f>
        <v>1338873</v>
      </c>
    </row>
    <row r="222" spans="1:6" ht="15.75" customHeight="1">
      <c r="A222" s="88"/>
      <c r="B222" s="24" t="s">
        <v>12</v>
      </c>
      <c r="C222" s="25">
        <v>597900</v>
      </c>
      <c r="D222" s="25">
        <v>40374</v>
      </c>
      <c r="E222" s="25">
        <v>31534</v>
      </c>
      <c r="F222" s="26">
        <f>SUM(C222:E222)</f>
        <v>669808</v>
      </c>
    </row>
    <row r="223" spans="1:6" ht="15.9" customHeight="1">
      <c r="A223" s="88"/>
      <c r="B223" s="21" t="s">
        <v>13</v>
      </c>
      <c r="C223" s="22">
        <v>116631</v>
      </c>
      <c r="D223" s="22">
        <v>0</v>
      </c>
      <c r="E223" s="22">
        <v>185</v>
      </c>
      <c r="F223" s="23">
        <f>SUM(C223:E223)</f>
        <v>116816</v>
      </c>
    </row>
    <row r="224" spans="1:6" ht="18">
      <c r="A224" s="88"/>
      <c r="B224" s="24" t="s">
        <v>14</v>
      </c>
      <c r="C224" s="25">
        <v>47743</v>
      </c>
      <c r="D224" s="25">
        <v>0</v>
      </c>
      <c r="E224" s="25">
        <v>1804</v>
      </c>
      <c r="F224" s="26">
        <f>SUM(C224:E224)</f>
        <v>49547</v>
      </c>
    </row>
    <row r="225" spans="1:6" ht="18">
      <c r="A225" s="88"/>
      <c r="B225" s="21" t="str">
        <f>$B$11</f>
        <v>Breeding of GM or HM</v>
      </c>
      <c r="C225" s="22">
        <v>215952</v>
      </c>
      <c r="D225" s="22">
        <v>278857</v>
      </c>
      <c r="E225" s="22">
        <v>1123004</v>
      </c>
      <c r="F225" s="23">
        <f>SUM(C225:E225)</f>
        <v>1617813</v>
      </c>
    </row>
    <row r="226" spans="1:6" ht="18">
      <c r="A226" s="89"/>
      <c r="B226" s="52" t="s">
        <v>54</v>
      </c>
      <c r="C226" s="28">
        <f>SUM(C221:C225)</f>
        <v>1763474</v>
      </c>
      <c r="D226" s="28">
        <f>SUM(D221:D225)</f>
        <v>375693</v>
      </c>
      <c r="E226" s="28">
        <f>SUM(E221:E225)</f>
        <v>1653690</v>
      </c>
      <c r="F226" s="28">
        <f>SUM(F221:F225)</f>
        <v>3792857</v>
      </c>
    </row>
    <row r="227" spans="1:6" ht="18" customHeight="1">
      <c r="B227" s="86" t="s">
        <v>55</v>
      </c>
      <c r="C227" s="53">
        <f>(C226-C230)</f>
        <v>40995</v>
      </c>
      <c r="D227" s="53">
        <f>(D226-D230)</f>
        <v>-24388</v>
      </c>
      <c r="E227" s="53">
        <f>(E226-E230)</f>
        <v>51524</v>
      </c>
      <c r="F227" s="53">
        <f>(F226-F230)</f>
        <v>68131</v>
      </c>
    </row>
    <row r="228" spans="1:6" ht="18" customHeight="1">
      <c r="A228" s="54"/>
      <c r="B228" s="86" t="s">
        <v>56</v>
      </c>
      <c r="C228" s="55">
        <f>(C226-C230)/ABS(C230)</f>
        <v>2.3799999883888302E-2</v>
      </c>
      <c r="D228" s="56">
        <f>(D226-D230)/ABS(D230)</f>
        <v>-6.09576560746449E-2</v>
      </c>
      <c r="E228" s="56">
        <f>(E226-E230)/ABS(E230)</f>
        <v>3.2158964801400097E-2</v>
      </c>
      <c r="F228" s="56">
        <f>(F226-F230)/ABS(F230)</f>
        <v>1.8291546814450201E-2</v>
      </c>
    </row>
    <row r="229" spans="1:6" ht="18" customHeight="1">
      <c r="A229" s="57"/>
      <c r="B229" s="86" t="s">
        <v>57</v>
      </c>
      <c r="C229" s="58">
        <f>C226/$F226</f>
        <v>0.464946081542225</v>
      </c>
      <c r="D229" s="58">
        <f>D226/$F226</f>
        <v>9.9052772092383098E-2</v>
      </c>
      <c r="E229" s="58">
        <f>E226/$F226</f>
        <v>0.436001146365392</v>
      </c>
      <c r="F229" s="58">
        <f>F226/$F226</f>
        <v>1</v>
      </c>
    </row>
    <row r="230" spans="1:6" ht="18" customHeight="1">
      <c r="A230" s="57"/>
      <c r="B230" s="87" t="s">
        <v>58</v>
      </c>
      <c r="C230" s="59">
        <v>1722479</v>
      </c>
      <c r="D230" s="60">
        <v>400081</v>
      </c>
      <c r="E230" s="60">
        <v>1602166</v>
      </c>
      <c r="F230" s="60">
        <v>3724726</v>
      </c>
    </row>
    <row r="231" spans="1:6">
      <c r="C231" s="61"/>
      <c r="D231" s="61"/>
      <c r="E231" s="61"/>
      <c r="F231" s="62"/>
    </row>
    <row r="232" spans="1:6">
      <c r="C232" s="61"/>
      <c r="D232" s="61"/>
      <c r="E232" s="61"/>
      <c r="F232" s="62"/>
    </row>
    <row r="233" spans="1:6">
      <c r="C233" s="61"/>
      <c r="D233" s="61"/>
      <c r="E233" s="61"/>
      <c r="F233" s="62"/>
    </row>
    <row r="234" spans="1:6">
      <c r="C234" s="61"/>
      <c r="D234" s="61"/>
      <c r="E234" s="61"/>
      <c r="F234" s="62"/>
    </row>
    <row r="235" spans="1:6">
      <c r="C235" s="61"/>
      <c r="D235" s="61"/>
      <c r="E235" s="61"/>
      <c r="F235" s="62"/>
    </row>
    <row r="236" spans="1:6">
      <c r="C236" s="61"/>
      <c r="D236" s="61"/>
      <c r="E236" s="61"/>
      <c r="F236" s="62"/>
    </row>
    <row r="237" spans="1:6">
      <c r="C237" s="61"/>
      <c r="D237" s="61"/>
      <c r="E237" s="61"/>
      <c r="F237" s="62"/>
    </row>
    <row r="238" spans="1:6">
      <c r="C238" s="61"/>
      <c r="D238" s="61"/>
      <c r="E238" s="61"/>
      <c r="F238" s="62"/>
    </row>
    <row r="239" spans="1:6">
      <c r="C239" s="61"/>
      <c r="D239" s="61"/>
      <c r="E239" s="61"/>
      <c r="F239" s="62"/>
    </row>
    <row r="240" spans="1:6">
      <c r="C240" s="61"/>
      <c r="D240" s="61"/>
      <c r="E240" s="61"/>
      <c r="F240" s="62"/>
    </row>
    <row r="241" spans="3:6">
      <c r="C241" s="61"/>
      <c r="D241" s="61"/>
      <c r="E241" s="61"/>
      <c r="F241" s="62"/>
    </row>
    <row r="242" spans="3:6">
      <c r="C242" s="61"/>
      <c r="D242" s="61"/>
      <c r="E242" s="61"/>
      <c r="F242" s="62"/>
    </row>
    <row r="243" spans="3:6">
      <c r="C243" s="61"/>
      <c r="D243" s="61"/>
      <c r="E243" s="61"/>
      <c r="F243" s="62"/>
    </row>
    <row r="244" spans="3:6">
      <c r="C244" s="61"/>
      <c r="D244" s="61"/>
      <c r="E244" s="61"/>
      <c r="F244" s="62"/>
    </row>
    <row r="245" spans="3:6">
      <c r="C245" s="61"/>
      <c r="D245" s="61"/>
      <c r="E245" s="61"/>
      <c r="F245" s="62"/>
    </row>
    <row r="246" spans="3:6">
      <c r="C246" s="61"/>
      <c r="D246" s="61"/>
      <c r="E246" s="61"/>
      <c r="F246" s="62"/>
    </row>
    <row r="247" spans="3:6">
      <c r="C247" s="61"/>
      <c r="D247" s="61"/>
      <c r="E247" s="61"/>
      <c r="F247" s="62"/>
    </row>
    <row r="248" spans="3:6">
      <c r="C248" s="61"/>
      <c r="D248" s="61"/>
      <c r="E248" s="61"/>
      <c r="F248" s="62"/>
    </row>
    <row r="249" spans="3:6">
      <c r="C249" s="61"/>
      <c r="D249" s="61"/>
      <c r="E249" s="61"/>
      <c r="F249" s="62"/>
    </row>
    <row r="250" spans="3:6">
      <c r="C250" s="61"/>
      <c r="D250" s="61"/>
      <c r="E250" s="61"/>
      <c r="F250" s="62"/>
    </row>
    <row r="251" spans="3:6">
      <c r="C251" s="61"/>
      <c r="D251" s="61"/>
      <c r="E251" s="61"/>
      <c r="F251" s="62"/>
    </row>
    <row r="252" spans="3:6">
      <c r="C252" s="61"/>
      <c r="D252" s="61"/>
      <c r="E252" s="61"/>
      <c r="F252" s="62"/>
    </row>
    <row r="253" spans="3:6">
      <c r="C253" s="61"/>
      <c r="D253" s="61"/>
      <c r="E253" s="61"/>
      <c r="F253" s="62"/>
    </row>
    <row r="254" spans="3:6">
      <c r="C254" s="61"/>
      <c r="D254" s="61"/>
      <c r="E254" s="61"/>
      <c r="F254" s="62"/>
    </row>
    <row r="255" spans="3:6">
      <c r="C255" s="61"/>
      <c r="D255" s="61"/>
      <c r="E255" s="61"/>
      <c r="F255" s="62"/>
    </row>
    <row r="256" spans="3:6">
      <c r="C256" s="61"/>
      <c r="D256" s="61"/>
      <c r="E256" s="61"/>
      <c r="F256" s="62"/>
    </row>
    <row r="257" spans="3:6">
      <c r="C257" s="61"/>
      <c r="D257" s="61"/>
      <c r="E257" s="61"/>
      <c r="F257" s="62"/>
    </row>
    <row r="258" spans="3:6">
      <c r="C258" s="61"/>
      <c r="D258" s="61"/>
      <c r="E258" s="61"/>
      <c r="F258" s="62"/>
    </row>
    <row r="259" spans="3:6">
      <c r="C259" s="61"/>
      <c r="D259" s="61"/>
      <c r="E259" s="61"/>
      <c r="F259" s="62"/>
    </row>
    <row r="260" spans="3:6">
      <c r="C260" s="61"/>
      <c r="D260" s="61"/>
      <c r="E260" s="61"/>
      <c r="F260" s="62"/>
    </row>
    <row r="261" spans="3:6">
      <c r="C261" s="61"/>
      <c r="D261" s="61"/>
      <c r="E261" s="61"/>
      <c r="F261" s="62"/>
    </row>
    <row r="262" spans="3:6">
      <c r="C262" s="61"/>
      <c r="D262" s="61"/>
      <c r="E262" s="61"/>
      <c r="F262" s="62"/>
    </row>
    <row r="263" spans="3:6">
      <c r="C263" s="61"/>
      <c r="D263" s="61"/>
      <c r="E263" s="61"/>
      <c r="F263" s="62"/>
    </row>
    <row r="264" spans="3:6">
      <c r="C264" s="61"/>
      <c r="D264" s="61"/>
      <c r="E264" s="61"/>
      <c r="F264" s="62"/>
    </row>
    <row r="265" spans="3:6">
      <c r="C265" s="61"/>
      <c r="D265" s="61"/>
      <c r="E265" s="61"/>
      <c r="F265" s="62"/>
    </row>
    <row r="266" spans="3:6">
      <c r="C266" s="61"/>
      <c r="D266" s="61"/>
      <c r="E266" s="61"/>
      <c r="F266" s="62"/>
    </row>
    <row r="267" spans="3:6">
      <c r="C267" s="61"/>
      <c r="D267" s="61"/>
      <c r="E267" s="61"/>
      <c r="F267" s="62"/>
    </row>
    <row r="268" spans="3:6">
      <c r="C268" s="61"/>
      <c r="D268" s="61"/>
      <c r="E268" s="61"/>
      <c r="F268" s="62"/>
    </row>
    <row r="269" spans="3:6">
      <c r="C269" s="61"/>
      <c r="D269" s="61"/>
      <c r="E269" s="61"/>
      <c r="F269" s="62"/>
    </row>
    <row r="270" spans="3:6">
      <c r="C270" s="61"/>
      <c r="D270" s="61"/>
      <c r="E270" s="61"/>
      <c r="F270" s="62"/>
    </row>
    <row r="271" spans="3:6">
      <c r="C271" s="61"/>
      <c r="D271" s="61"/>
      <c r="E271" s="61"/>
      <c r="F271" s="62"/>
    </row>
    <row r="272" spans="3:6">
      <c r="C272" s="61"/>
      <c r="D272" s="61"/>
      <c r="E272" s="61"/>
      <c r="F272" s="62"/>
    </row>
    <row r="273" spans="3:6">
      <c r="C273" s="61"/>
      <c r="D273" s="61"/>
      <c r="E273" s="61"/>
      <c r="F273" s="62"/>
    </row>
    <row r="274" spans="3:6">
      <c r="C274" s="61"/>
      <c r="D274" s="61"/>
      <c r="E274" s="61"/>
      <c r="F274" s="62"/>
    </row>
    <row r="275" spans="3:6">
      <c r="C275" s="61"/>
      <c r="D275" s="61"/>
      <c r="E275" s="61"/>
      <c r="F275" s="62"/>
    </row>
    <row r="276" spans="3:6">
      <c r="C276" s="61"/>
      <c r="D276" s="61"/>
      <c r="E276" s="61"/>
      <c r="F276" s="62"/>
    </row>
    <row r="277" spans="3:6">
      <c r="C277" s="61"/>
      <c r="D277" s="61"/>
      <c r="E277" s="61"/>
      <c r="F277" s="62"/>
    </row>
    <row r="278" spans="3:6">
      <c r="C278" s="61"/>
      <c r="D278" s="61"/>
      <c r="E278" s="61"/>
      <c r="F278" s="62"/>
    </row>
    <row r="279" spans="3:6">
      <c r="C279" s="61"/>
      <c r="D279" s="61"/>
      <c r="E279" s="61"/>
      <c r="F279" s="62"/>
    </row>
    <row r="280" spans="3:6">
      <c r="C280" s="61"/>
      <c r="D280" s="61"/>
      <c r="E280" s="61"/>
      <c r="F280" s="62"/>
    </row>
    <row r="281" spans="3:6">
      <c r="C281" s="61"/>
      <c r="D281" s="61"/>
      <c r="E281" s="61"/>
      <c r="F281" s="62"/>
    </row>
    <row r="282" spans="3:6">
      <c r="C282" s="61"/>
      <c r="D282" s="61"/>
      <c r="E282" s="61"/>
      <c r="F282" s="61"/>
    </row>
    <row r="283" spans="3:6">
      <c r="C283" s="61"/>
      <c r="D283" s="61"/>
      <c r="E283" s="61"/>
      <c r="F283" s="61"/>
    </row>
    <row r="284" spans="3:6">
      <c r="C284" s="61"/>
      <c r="D284" s="61"/>
      <c r="E284" s="61"/>
      <c r="F284" s="61"/>
    </row>
    <row r="285" spans="3:6">
      <c r="C285" s="61"/>
      <c r="D285" s="61"/>
      <c r="E285" s="61"/>
      <c r="F285" s="61"/>
    </row>
    <row r="286" spans="3:6">
      <c r="C286" s="61"/>
      <c r="D286" s="61"/>
      <c r="E286" s="61"/>
      <c r="F286" s="61"/>
    </row>
    <row r="287" spans="3:6">
      <c r="C287" s="61"/>
      <c r="D287" s="61"/>
      <c r="E287" s="61"/>
      <c r="F287" s="61"/>
    </row>
    <row r="288" spans="3:6">
      <c r="C288" s="61"/>
      <c r="D288" s="61"/>
      <c r="E288" s="61"/>
      <c r="F288" s="61"/>
    </row>
    <row r="289" spans="3:6">
      <c r="C289" s="61"/>
      <c r="D289" s="61"/>
      <c r="E289" s="61"/>
      <c r="F289" s="61"/>
    </row>
    <row r="290" spans="3:6">
      <c r="C290" s="61"/>
      <c r="D290" s="61"/>
      <c r="E290" s="61"/>
      <c r="F290" s="61"/>
    </row>
    <row r="291" spans="3:6">
      <c r="C291" s="61"/>
      <c r="D291" s="61"/>
      <c r="E291" s="61"/>
      <c r="F291" s="61"/>
    </row>
    <row r="292" spans="3:6">
      <c r="C292" s="61"/>
      <c r="D292" s="61"/>
      <c r="E292" s="61"/>
      <c r="F292" s="61"/>
    </row>
    <row r="293" spans="3:6">
      <c r="C293" s="61"/>
      <c r="D293" s="61"/>
      <c r="E293" s="61"/>
      <c r="F293" s="61"/>
    </row>
    <row r="294" spans="3:6">
      <c r="C294" s="61"/>
      <c r="D294" s="61"/>
      <c r="E294" s="61"/>
      <c r="F294" s="61"/>
    </row>
    <row r="295" spans="3:6">
      <c r="C295" s="61"/>
      <c r="D295" s="61"/>
      <c r="E295" s="61"/>
      <c r="F295" s="61"/>
    </row>
    <row r="296" spans="3:6">
      <c r="C296" s="61"/>
      <c r="D296" s="61"/>
      <c r="E296" s="61"/>
      <c r="F296" s="61"/>
    </row>
    <row r="297" spans="3:6">
      <c r="C297" s="61"/>
      <c r="D297" s="61"/>
      <c r="E297" s="61"/>
      <c r="F297" s="61"/>
    </row>
    <row r="298" spans="3:6">
      <c r="C298" s="61"/>
      <c r="D298" s="61"/>
      <c r="E298" s="61"/>
      <c r="F298" s="61"/>
    </row>
    <row r="299" spans="3:6">
      <c r="C299" s="61"/>
      <c r="D299" s="61"/>
      <c r="E299" s="61"/>
      <c r="F299" s="61"/>
    </row>
    <row r="300" spans="3:6">
      <c r="C300" s="61"/>
      <c r="D300" s="61"/>
      <c r="E300" s="61"/>
      <c r="F300" s="61"/>
    </row>
    <row r="301" spans="3:6">
      <c r="C301" s="61"/>
      <c r="D301" s="61"/>
      <c r="E301" s="61"/>
      <c r="F301" s="61"/>
    </row>
    <row r="302" spans="3:6">
      <c r="C302" s="61"/>
      <c r="D302" s="61"/>
      <c r="E302" s="61"/>
      <c r="F302" s="61"/>
    </row>
    <row r="303" spans="3:6">
      <c r="C303" s="61"/>
      <c r="D303" s="61"/>
      <c r="E303" s="61"/>
      <c r="F303" s="61"/>
    </row>
    <row r="304" spans="3:6">
      <c r="C304" s="61"/>
      <c r="D304" s="61"/>
      <c r="E304" s="61"/>
      <c r="F304" s="61"/>
    </row>
    <row r="305" spans="3:6">
      <c r="C305" s="61"/>
      <c r="D305" s="61"/>
      <c r="E305" s="61"/>
      <c r="F305" s="61"/>
    </row>
    <row r="306" spans="3:6">
      <c r="C306" s="61"/>
      <c r="D306" s="61"/>
      <c r="E306" s="61"/>
      <c r="F306" s="61"/>
    </row>
    <row r="307" spans="3:6">
      <c r="C307" s="61"/>
      <c r="D307" s="61"/>
      <c r="E307" s="61"/>
      <c r="F307" s="61"/>
    </row>
    <row r="308" spans="3:6">
      <c r="C308" s="61"/>
      <c r="D308" s="61"/>
      <c r="E308" s="61"/>
      <c r="F308" s="61"/>
    </row>
    <row r="309" spans="3:6">
      <c r="C309" s="61"/>
      <c r="D309" s="61"/>
      <c r="E309" s="61"/>
      <c r="F309" s="61"/>
    </row>
    <row r="310" spans="3:6">
      <c r="C310" s="61"/>
      <c r="D310" s="61"/>
      <c r="E310" s="61"/>
      <c r="F310" s="61"/>
    </row>
    <row r="311" spans="3:6">
      <c r="C311" s="61"/>
      <c r="D311" s="61"/>
      <c r="E311" s="61"/>
      <c r="F311" s="61"/>
    </row>
    <row r="312" spans="3:6">
      <c r="C312" s="61"/>
      <c r="D312" s="61"/>
      <c r="E312" s="61"/>
      <c r="F312" s="61"/>
    </row>
    <row r="313" spans="3:6">
      <c r="C313" s="61"/>
      <c r="D313" s="61"/>
      <c r="E313" s="61"/>
      <c r="F313" s="61"/>
    </row>
    <row r="314" spans="3:6">
      <c r="C314" s="61"/>
      <c r="D314" s="61"/>
      <c r="E314" s="61"/>
      <c r="F314" s="61"/>
    </row>
    <row r="315" spans="3:6">
      <c r="C315" s="61"/>
      <c r="D315" s="61"/>
      <c r="E315" s="61"/>
      <c r="F315" s="61"/>
    </row>
    <row r="316" spans="3:6">
      <c r="C316" s="61"/>
      <c r="D316" s="61"/>
      <c r="E316" s="61"/>
      <c r="F316" s="61"/>
    </row>
    <row r="317" spans="3:6">
      <c r="C317" s="61"/>
      <c r="D317" s="61"/>
      <c r="E317" s="61"/>
      <c r="F317" s="61"/>
    </row>
    <row r="318" spans="3:6">
      <c r="C318" s="61"/>
      <c r="D318" s="61"/>
      <c r="E318" s="61"/>
      <c r="F318" s="61"/>
    </row>
    <row r="319" spans="3:6">
      <c r="C319" s="61"/>
      <c r="D319" s="61"/>
      <c r="E319" s="61"/>
      <c r="F319" s="61"/>
    </row>
    <row r="320" spans="3:6">
      <c r="C320" s="61"/>
      <c r="D320" s="61"/>
      <c r="E320" s="61"/>
      <c r="F320" s="61"/>
    </row>
    <row r="321" spans="3:6">
      <c r="C321" s="61"/>
      <c r="D321" s="61"/>
      <c r="E321" s="61"/>
      <c r="F321" s="61"/>
    </row>
    <row r="322" spans="3:6">
      <c r="C322" s="61"/>
      <c r="D322" s="61"/>
      <c r="E322" s="61"/>
      <c r="F322" s="61"/>
    </row>
    <row r="323" spans="3:6">
      <c r="C323" s="61"/>
      <c r="D323" s="61"/>
      <c r="E323" s="61"/>
      <c r="F323" s="61"/>
    </row>
    <row r="324" spans="3:6">
      <c r="C324" s="61"/>
      <c r="D324" s="61"/>
      <c r="E324" s="61"/>
      <c r="F324" s="61"/>
    </row>
    <row r="325" spans="3:6">
      <c r="C325" s="61"/>
      <c r="D325" s="61"/>
      <c r="E325" s="61"/>
      <c r="F325" s="61"/>
    </row>
    <row r="326" spans="3:6">
      <c r="C326" s="61"/>
      <c r="D326" s="61"/>
      <c r="E326" s="61"/>
      <c r="F326" s="61"/>
    </row>
    <row r="327" spans="3:6">
      <c r="C327" s="61"/>
      <c r="D327" s="61"/>
      <c r="E327" s="61"/>
      <c r="F327" s="61"/>
    </row>
    <row r="328" spans="3:6">
      <c r="C328" s="61"/>
      <c r="D328" s="61"/>
      <c r="E328" s="61"/>
      <c r="F328" s="61"/>
    </row>
    <row r="329" spans="3:6">
      <c r="C329" s="61"/>
      <c r="D329" s="61"/>
      <c r="E329" s="61"/>
      <c r="F329" s="61"/>
    </row>
    <row r="330" spans="3:6">
      <c r="C330" s="61"/>
      <c r="D330" s="61"/>
      <c r="E330" s="61"/>
      <c r="F330" s="61"/>
    </row>
    <row r="331" spans="3:6">
      <c r="C331" s="61"/>
      <c r="D331" s="61"/>
      <c r="E331" s="61"/>
      <c r="F331" s="61"/>
    </row>
    <row r="332" spans="3:6">
      <c r="C332" s="61"/>
      <c r="D332" s="61"/>
      <c r="E332" s="61"/>
      <c r="F332" s="61"/>
    </row>
    <row r="333" spans="3:6">
      <c r="C333" s="61"/>
      <c r="D333" s="61"/>
      <c r="E333" s="61"/>
      <c r="F333" s="61"/>
    </row>
    <row r="334" spans="3:6">
      <c r="C334" s="61"/>
      <c r="D334" s="61"/>
      <c r="E334" s="61"/>
      <c r="F334" s="61"/>
    </row>
    <row r="335" spans="3:6">
      <c r="C335" s="61"/>
      <c r="D335" s="61"/>
      <c r="E335" s="61"/>
      <c r="F335" s="61"/>
    </row>
    <row r="336" spans="3:6">
      <c r="C336" s="61"/>
      <c r="D336" s="61"/>
      <c r="E336" s="61"/>
      <c r="F336" s="61"/>
    </row>
    <row r="337" spans="3:6">
      <c r="C337" s="61"/>
      <c r="D337" s="61"/>
      <c r="E337" s="61"/>
      <c r="F337" s="61"/>
    </row>
    <row r="338" spans="3:6">
      <c r="C338" s="61"/>
      <c r="D338" s="61"/>
      <c r="E338" s="61"/>
      <c r="F338" s="61"/>
    </row>
    <row r="339" spans="3:6">
      <c r="C339" s="61"/>
      <c r="D339" s="61"/>
      <c r="E339" s="61"/>
      <c r="F339" s="61"/>
    </row>
    <row r="340" spans="3:6">
      <c r="C340" s="61"/>
      <c r="D340" s="61"/>
      <c r="E340" s="61"/>
      <c r="F340" s="61"/>
    </row>
    <row r="341" spans="3:6">
      <c r="C341" s="61"/>
      <c r="D341" s="61"/>
      <c r="E341" s="61"/>
      <c r="F341" s="61"/>
    </row>
    <row r="342" spans="3:6">
      <c r="C342" s="61"/>
      <c r="D342" s="61"/>
      <c r="E342" s="61"/>
      <c r="F342" s="61"/>
    </row>
    <row r="343" spans="3:6">
      <c r="C343" s="61"/>
      <c r="D343" s="61"/>
      <c r="E343" s="61"/>
      <c r="F343" s="61"/>
    </row>
    <row r="344" spans="3:6">
      <c r="C344" s="61"/>
      <c r="D344" s="61"/>
      <c r="E344" s="61"/>
      <c r="F344" s="61"/>
    </row>
    <row r="345" spans="3:6">
      <c r="C345" s="61"/>
      <c r="D345" s="61"/>
      <c r="E345" s="61"/>
      <c r="F345" s="61"/>
    </row>
    <row r="346" spans="3:6">
      <c r="C346" s="61"/>
      <c r="D346" s="61"/>
      <c r="E346" s="61"/>
      <c r="F346" s="61"/>
    </row>
    <row r="347" spans="3:6">
      <c r="C347" s="61"/>
      <c r="D347" s="61"/>
      <c r="E347" s="61"/>
      <c r="F347" s="61"/>
    </row>
    <row r="348" spans="3:6">
      <c r="C348" s="61"/>
      <c r="D348" s="61"/>
      <c r="E348" s="61"/>
      <c r="F348" s="61"/>
    </row>
    <row r="349" spans="3:6">
      <c r="C349" s="61"/>
      <c r="D349" s="61"/>
      <c r="E349" s="61"/>
      <c r="F349" s="61"/>
    </row>
    <row r="350" spans="3:6">
      <c r="C350" s="61"/>
      <c r="D350" s="61"/>
      <c r="E350" s="61"/>
      <c r="F350" s="61"/>
    </row>
    <row r="351" spans="3:6">
      <c r="C351" s="61"/>
      <c r="D351" s="61"/>
      <c r="E351" s="61"/>
      <c r="F351" s="61"/>
    </row>
    <row r="352" spans="3:6">
      <c r="C352" s="61"/>
      <c r="D352" s="61"/>
      <c r="E352" s="61"/>
      <c r="F352" s="61"/>
    </row>
    <row r="353" spans="3:6">
      <c r="C353" s="61"/>
      <c r="D353" s="61"/>
      <c r="E353" s="61"/>
      <c r="F353" s="61"/>
    </row>
    <row r="354" spans="3:6">
      <c r="C354" s="61"/>
      <c r="D354" s="61"/>
      <c r="E354" s="61"/>
      <c r="F354" s="61"/>
    </row>
    <row r="355" spans="3:6">
      <c r="C355" s="61"/>
      <c r="D355" s="61"/>
      <c r="E355" s="61"/>
      <c r="F355" s="61"/>
    </row>
    <row r="356" spans="3:6">
      <c r="C356" s="61"/>
      <c r="D356" s="61"/>
      <c r="E356" s="61"/>
      <c r="F356" s="61"/>
    </row>
    <row r="357" spans="3:6">
      <c r="C357" s="61"/>
      <c r="D357" s="61"/>
      <c r="E357" s="61"/>
      <c r="F357" s="61"/>
    </row>
    <row r="358" spans="3:6">
      <c r="C358" s="61"/>
      <c r="D358" s="61"/>
      <c r="E358" s="61"/>
      <c r="F358" s="61"/>
    </row>
    <row r="359" spans="3:6">
      <c r="C359" s="61"/>
      <c r="D359" s="61"/>
      <c r="E359" s="61"/>
      <c r="F359" s="61"/>
    </row>
    <row r="360" spans="3:6">
      <c r="C360" s="61"/>
      <c r="D360" s="61"/>
      <c r="E360" s="61"/>
      <c r="F360" s="61"/>
    </row>
    <row r="361" spans="3:6">
      <c r="C361" s="61"/>
      <c r="D361" s="61"/>
      <c r="E361" s="61"/>
      <c r="F361" s="61"/>
    </row>
    <row r="362" spans="3:6">
      <c r="C362" s="61"/>
      <c r="D362" s="61"/>
      <c r="E362" s="61"/>
      <c r="F362" s="61"/>
    </row>
    <row r="363" spans="3:6">
      <c r="C363" s="61"/>
      <c r="D363" s="61"/>
      <c r="E363" s="61"/>
      <c r="F363" s="61"/>
    </row>
    <row r="364" spans="3:6">
      <c r="C364" s="61"/>
      <c r="D364" s="61"/>
      <c r="E364" s="61"/>
      <c r="F364" s="61"/>
    </row>
    <row r="365" spans="3:6">
      <c r="C365" s="61"/>
      <c r="D365" s="61"/>
      <c r="E365" s="61"/>
      <c r="F365" s="61"/>
    </row>
    <row r="366" spans="3:6">
      <c r="C366" s="61"/>
      <c r="D366" s="61"/>
      <c r="E366" s="61"/>
      <c r="F366" s="61"/>
    </row>
    <row r="367" spans="3:6">
      <c r="C367" s="61"/>
      <c r="D367" s="61"/>
      <c r="E367" s="61"/>
      <c r="F367" s="61"/>
    </row>
    <row r="368" spans="3:6">
      <c r="C368" s="61"/>
      <c r="D368" s="61"/>
      <c r="E368" s="61"/>
      <c r="F368" s="61"/>
    </row>
    <row r="369" spans="3:6">
      <c r="C369" s="61"/>
      <c r="D369" s="61"/>
      <c r="E369" s="61"/>
      <c r="F369" s="61"/>
    </row>
    <row r="370" spans="3:6">
      <c r="C370" s="61"/>
      <c r="D370" s="61"/>
      <c r="E370" s="61"/>
      <c r="F370" s="61"/>
    </row>
    <row r="371" spans="3:6">
      <c r="C371" s="61"/>
      <c r="D371" s="61"/>
      <c r="E371" s="61"/>
      <c r="F371" s="61"/>
    </row>
    <row r="372" spans="3:6">
      <c r="C372" s="61"/>
      <c r="D372" s="61"/>
      <c r="E372" s="61"/>
      <c r="F372" s="61"/>
    </row>
    <row r="373" spans="3:6">
      <c r="C373" s="61"/>
      <c r="D373" s="61"/>
      <c r="E373" s="61"/>
      <c r="F373" s="61"/>
    </row>
    <row r="374" spans="3:6">
      <c r="C374" s="61"/>
      <c r="D374" s="61"/>
      <c r="E374" s="61"/>
      <c r="F374" s="61"/>
    </row>
    <row r="375" spans="3:6">
      <c r="C375" s="61"/>
      <c r="D375" s="61"/>
      <c r="E375" s="61"/>
      <c r="F375" s="61"/>
    </row>
    <row r="376" spans="3:6">
      <c r="C376" s="61"/>
      <c r="D376" s="61"/>
      <c r="E376" s="61"/>
      <c r="F376" s="61"/>
    </row>
    <row r="377" spans="3:6">
      <c r="C377" s="61"/>
      <c r="D377" s="61"/>
      <c r="E377" s="61"/>
      <c r="F377" s="61"/>
    </row>
    <row r="378" spans="3:6">
      <c r="C378" s="61"/>
      <c r="D378" s="61"/>
      <c r="E378" s="61"/>
      <c r="F378" s="61"/>
    </row>
    <row r="379" spans="3:6">
      <c r="C379" s="61"/>
      <c r="D379" s="61"/>
      <c r="E379" s="61"/>
      <c r="F379" s="61"/>
    </row>
    <row r="380" spans="3:6">
      <c r="C380" s="61"/>
      <c r="D380" s="61"/>
      <c r="E380" s="61"/>
      <c r="F380" s="61"/>
    </row>
    <row r="381" spans="3:6">
      <c r="C381" s="61"/>
      <c r="D381" s="61"/>
      <c r="E381" s="61"/>
      <c r="F381" s="61"/>
    </row>
    <row r="382" spans="3:6">
      <c r="C382" s="61"/>
      <c r="D382" s="61"/>
      <c r="E382" s="61"/>
      <c r="F382" s="61"/>
    </row>
    <row r="383" spans="3:6">
      <c r="C383" s="61"/>
      <c r="D383" s="61"/>
      <c r="E383" s="61"/>
      <c r="F383" s="61"/>
    </row>
    <row r="384" spans="3:6">
      <c r="C384" s="61"/>
      <c r="D384" s="61"/>
      <c r="E384" s="61"/>
      <c r="F384" s="61"/>
    </row>
    <row r="385" spans="3:6">
      <c r="C385" s="61"/>
      <c r="D385" s="61"/>
      <c r="E385" s="61"/>
      <c r="F385" s="61"/>
    </row>
    <row r="386" spans="3:6">
      <c r="C386" s="61"/>
      <c r="D386" s="61"/>
      <c r="E386" s="61"/>
      <c r="F386" s="61"/>
    </row>
    <row r="387" spans="3:6">
      <c r="C387" s="61"/>
      <c r="D387" s="61"/>
      <c r="E387" s="61"/>
      <c r="F387" s="61"/>
    </row>
    <row r="388" spans="3:6">
      <c r="C388" s="61"/>
      <c r="D388" s="61"/>
      <c r="E388" s="61"/>
      <c r="F388" s="61"/>
    </row>
    <row r="389" spans="3:6">
      <c r="C389" s="61"/>
      <c r="D389" s="61"/>
      <c r="E389" s="61"/>
      <c r="F389" s="61"/>
    </row>
    <row r="390" spans="3:6">
      <c r="C390" s="61"/>
      <c r="D390" s="61"/>
      <c r="E390" s="61"/>
      <c r="F390" s="61"/>
    </row>
    <row r="391" spans="3:6">
      <c r="C391" s="61"/>
      <c r="D391" s="61"/>
      <c r="E391" s="61"/>
      <c r="F391" s="61"/>
    </row>
    <row r="392" spans="3:6">
      <c r="C392" s="61"/>
      <c r="D392" s="61"/>
      <c r="E392" s="61"/>
      <c r="F392" s="61"/>
    </row>
    <row r="393" spans="3:6">
      <c r="C393" s="61"/>
      <c r="D393" s="61"/>
      <c r="E393" s="61"/>
      <c r="F393" s="61"/>
    </row>
    <row r="394" spans="3:6">
      <c r="C394" s="61"/>
      <c r="D394" s="61"/>
      <c r="E394" s="61"/>
      <c r="F394" s="61"/>
    </row>
    <row r="395" spans="3:6">
      <c r="C395" s="61"/>
      <c r="D395" s="61"/>
      <c r="E395" s="61"/>
      <c r="F395" s="61"/>
    </row>
    <row r="396" spans="3:6">
      <c r="C396" s="61"/>
      <c r="D396" s="61"/>
      <c r="E396" s="61"/>
      <c r="F396" s="61"/>
    </row>
    <row r="397" spans="3:6">
      <c r="C397" s="61"/>
      <c r="D397" s="61"/>
      <c r="E397" s="61"/>
      <c r="F397" s="61"/>
    </row>
    <row r="398" spans="3:6">
      <c r="C398" s="61"/>
      <c r="D398" s="61"/>
      <c r="E398" s="61"/>
      <c r="F398" s="61"/>
    </row>
    <row r="399" spans="3:6">
      <c r="C399" s="61"/>
      <c r="D399" s="61"/>
      <c r="E399" s="61"/>
      <c r="F399" s="61"/>
    </row>
    <row r="400" spans="3:6">
      <c r="C400" s="61"/>
      <c r="D400" s="61"/>
      <c r="E400" s="61"/>
      <c r="F400" s="61"/>
    </row>
    <row r="401" spans="3:6">
      <c r="C401" s="61"/>
      <c r="D401" s="61"/>
      <c r="E401" s="61"/>
      <c r="F401" s="61"/>
    </row>
    <row r="402" spans="3:6">
      <c r="C402" s="61"/>
      <c r="D402" s="61"/>
      <c r="E402" s="61"/>
      <c r="F402" s="61"/>
    </row>
    <row r="403" spans="3:6">
      <c r="C403" s="61"/>
      <c r="D403" s="61"/>
      <c r="E403" s="61"/>
      <c r="F403" s="61"/>
    </row>
    <row r="404" spans="3:6">
      <c r="C404" s="61"/>
      <c r="D404" s="61"/>
      <c r="E404" s="61"/>
      <c r="F404" s="61"/>
    </row>
    <row r="405" spans="3:6">
      <c r="C405" s="61"/>
      <c r="D405" s="61"/>
      <c r="E405" s="61"/>
      <c r="F405" s="61"/>
    </row>
    <row r="406" spans="3:6">
      <c r="C406" s="61"/>
      <c r="D406" s="61"/>
      <c r="E406" s="61"/>
      <c r="F406" s="61"/>
    </row>
    <row r="407" spans="3:6">
      <c r="C407" s="61"/>
      <c r="D407" s="61"/>
      <c r="E407" s="61"/>
      <c r="F407" s="61"/>
    </row>
    <row r="408" spans="3:6">
      <c r="C408" s="61"/>
      <c r="D408" s="61"/>
      <c r="E408" s="61"/>
      <c r="F408" s="61"/>
    </row>
    <row r="409" spans="3:6">
      <c r="C409" s="61"/>
      <c r="D409" s="61"/>
      <c r="E409" s="61"/>
      <c r="F409" s="61"/>
    </row>
    <row r="410" spans="3:6">
      <c r="C410" s="61"/>
      <c r="D410" s="61"/>
      <c r="E410" s="61"/>
      <c r="F410" s="61"/>
    </row>
    <row r="411" spans="3:6">
      <c r="C411" s="61"/>
      <c r="D411" s="61"/>
      <c r="E411" s="61"/>
      <c r="F411" s="61"/>
    </row>
    <row r="412" spans="3:6">
      <c r="C412" s="61"/>
      <c r="D412" s="61"/>
      <c r="E412" s="61"/>
      <c r="F412" s="61"/>
    </row>
    <row r="413" spans="3:6">
      <c r="C413" s="61"/>
      <c r="D413" s="61"/>
      <c r="E413" s="61"/>
      <c r="F413" s="61"/>
    </row>
    <row r="414" spans="3:6">
      <c r="C414" s="61"/>
      <c r="D414" s="61"/>
      <c r="E414" s="61"/>
      <c r="F414" s="61"/>
    </row>
    <row r="415" spans="3:6">
      <c r="C415" s="61"/>
      <c r="D415" s="61"/>
      <c r="E415" s="61"/>
      <c r="F415" s="61"/>
    </row>
    <row r="416" spans="3:6">
      <c r="C416" s="61"/>
      <c r="D416" s="61"/>
      <c r="E416" s="61"/>
      <c r="F416" s="61"/>
    </row>
    <row r="417" spans="3:6">
      <c r="C417" s="61"/>
      <c r="D417" s="61"/>
      <c r="E417" s="61"/>
      <c r="F417" s="61"/>
    </row>
    <row r="418" spans="3:6">
      <c r="C418" s="61"/>
      <c r="D418" s="61"/>
      <c r="E418" s="61"/>
      <c r="F418" s="61"/>
    </row>
    <row r="419" spans="3:6">
      <c r="C419" s="61"/>
      <c r="D419" s="61"/>
      <c r="E419" s="61"/>
      <c r="F419" s="61"/>
    </row>
    <row r="420" spans="3:6">
      <c r="C420" s="61"/>
      <c r="D420" s="61"/>
      <c r="E420" s="61"/>
      <c r="F420" s="61"/>
    </row>
    <row r="421" spans="3:6">
      <c r="C421" s="61"/>
      <c r="D421" s="61"/>
      <c r="E421" s="61"/>
      <c r="F421" s="61"/>
    </row>
    <row r="422" spans="3:6">
      <c r="C422" s="61"/>
      <c r="D422" s="61"/>
      <c r="E422" s="61"/>
      <c r="F422" s="61"/>
    </row>
    <row r="423" spans="3:6">
      <c r="C423" s="61"/>
      <c r="D423" s="61"/>
      <c r="E423" s="61"/>
      <c r="F423" s="61"/>
    </row>
    <row r="424" spans="3:6">
      <c r="C424" s="61"/>
      <c r="D424" s="61"/>
      <c r="E424" s="61"/>
      <c r="F424" s="61"/>
    </row>
    <row r="425" spans="3:6">
      <c r="C425" s="61"/>
      <c r="D425" s="61"/>
      <c r="E425" s="61"/>
      <c r="F425" s="61"/>
    </row>
  </sheetData>
  <mergeCells count="15">
    <mergeCell ref="A167:A172"/>
    <mergeCell ref="A185:A186"/>
    <mergeCell ref="A203:A208"/>
    <mergeCell ref="A209:A214"/>
    <mergeCell ref="A221:A226"/>
    <mergeCell ref="C5:E5"/>
    <mergeCell ref="C82:E82"/>
    <mergeCell ref="C165:E165"/>
    <mergeCell ref="A7:A12"/>
    <mergeCell ref="A13:A18"/>
    <mergeCell ref="A43:A48"/>
    <mergeCell ref="A108:A113"/>
    <mergeCell ref="B5:B6"/>
    <mergeCell ref="B82:B83"/>
    <mergeCell ref="B165:B166"/>
  </mergeCells>
  <printOptions horizontalCentered="1"/>
  <pageMargins left="0.74803149606299202" right="0.511811023622047" top="0.69" bottom="0.5" header="0.511811023622047" footer="0.511811023622047"/>
  <pageSetup paperSize="9" scale="64" fitToHeight="2" orientation="portrait" horizontalDpi="1200" verticalDpi="1200"/>
  <headerFooter alignWithMargins="0"/>
  <rowBreaks count="2" manualBreakCount="2">
    <brk id="78" max="10" man="1"/>
    <brk id="16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3</vt:lpstr>
      <vt:lpstr>'Table 3'!Область_печати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2024-11-20T08:27:00Z</dcterms:created>
  <dcterms:modified xsi:type="dcterms:W3CDTF">2026-01-22T03:26:55Z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7A0CB6E431724092BA6A8026E48A1B97_12</vt:lpwstr>
  </property>
  <property fmtid="{D5CDD505-2E9C-101B-9397-08002B2CF9AE}" pid="3" name="KSOProductBuildVer">
    <vt:lpwstr>2052-12.1.0.19302</vt:lpwstr>
  </property>
</Properties>
</file>