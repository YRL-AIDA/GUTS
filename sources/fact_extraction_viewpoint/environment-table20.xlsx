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5350" windowHeight="4970"/>
  </bookViews>
  <sheets>
    <sheet name="Table 4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4" i="1" l="1"/>
  <c r="D32" i="1"/>
  <c r="P30" i="1"/>
  <c r="M28" i="1"/>
  <c r="K28" i="1"/>
  <c r="G28" i="1"/>
  <c r="E28" i="1"/>
  <c r="D28" i="1"/>
  <c r="B28" i="1"/>
  <c r="M27" i="1"/>
  <c r="J27" i="1"/>
  <c r="J34" i="1" s="1"/>
  <c r="G27" i="1"/>
  <c r="D27" i="1"/>
  <c r="D34" i="1" s="1"/>
  <c r="M26" i="1"/>
  <c r="L26" i="1"/>
  <c r="K26" i="1"/>
  <c r="K27" i="1" s="1"/>
  <c r="K34" i="1" s="1"/>
  <c r="J26" i="1"/>
  <c r="J29" i="1" s="1"/>
  <c r="I26" i="1"/>
  <c r="H26" i="1"/>
  <c r="H27" i="1" s="1"/>
  <c r="H34" i="1" s="1"/>
  <c r="G26" i="1"/>
  <c r="F26" i="1"/>
  <c r="F28" i="1" s="1"/>
  <c r="E26" i="1"/>
  <c r="E27" i="1" s="1"/>
  <c r="E34" i="1" s="1"/>
  <c r="D26" i="1"/>
  <c r="C26" i="1"/>
  <c r="C29" i="1" s="1"/>
  <c r="B26" i="1"/>
  <c r="B27" i="1" s="1"/>
  <c r="B34" i="1" s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26" i="1" s="1"/>
  <c r="N7" i="1"/>
  <c r="N29" i="1" l="1"/>
  <c r="B29" i="1"/>
  <c r="N28" i="1"/>
  <c r="K29" i="1"/>
  <c r="P26" i="1"/>
  <c r="N27" i="1"/>
  <c r="G29" i="1"/>
  <c r="D29" i="1"/>
  <c r="I29" i="1"/>
  <c r="L29" i="1"/>
  <c r="M29" i="1"/>
  <c r="I27" i="1"/>
  <c r="I34" i="1" s="1"/>
  <c r="E29" i="1"/>
  <c r="H28" i="1"/>
  <c r="F29" i="1"/>
  <c r="I28" i="1"/>
  <c r="L27" i="1"/>
  <c r="J28" i="1"/>
  <c r="H29" i="1"/>
  <c r="L28" i="1"/>
  <c r="C27" i="1"/>
  <c r="C34" i="1" s="1"/>
  <c r="C28" i="1"/>
  <c r="F27" i="1"/>
  <c r="F34" i="1" s="1"/>
  <c r="P29" i="1" l="1"/>
  <c r="P28" i="1"/>
  <c r="P27" i="1"/>
  <c r="K32" i="1"/>
</calcChain>
</file>

<file path=xl/sharedStrings.xml><?xml version="1.0" encoding="utf-8"?>
<sst xmlns="http://schemas.openxmlformats.org/spreadsheetml/2006/main" count="58" uniqueCount="45">
  <si>
    <t>Table 4 Scientific procedures by species of animal and target body system</t>
  </si>
  <si>
    <t>Great Britain 2011</t>
  </si>
  <si>
    <t>Number of procedures</t>
  </si>
  <si>
    <t>Species of animal</t>
  </si>
  <si>
    <t>Body systems</t>
  </si>
  <si>
    <t>Total</t>
  </si>
  <si>
    <t>Respiratory</t>
  </si>
  <si>
    <t>Cardiovascular</t>
  </si>
  <si>
    <t>Nervous</t>
  </si>
  <si>
    <t>Senses</t>
  </si>
  <si>
    <t>Alimentary</t>
  </si>
  <si>
    <t>Skin</t>
  </si>
  <si>
    <t>Musculo -skeletal</t>
  </si>
  <si>
    <t>Reproductive</t>
  </si>
  <si>
    <t>Immune and reticulo - endothelial</t>
  </si>
  <si>
    <t>Other system</t>
  </si>
  <si>
    <t>Multiple systems</t>
  </si>
  <si>
    <t>System not relevant</t>
  </si>
  <si>
    <t>Mammal</t>
  </si>
  <si>
    <t xml:space="preserve">  Mouse</t>
  </si>
  <si>
    <t xml:space="preserve">  Rat</t>
  </si>
  <si>
    <t xml:space="preserve">  All other rodents</t>
  </si>
  <si>
    <t xml:space="preserve">  Rabbit</t>
  </si>
  <si>
    <t xml:space="preserve">  Cat</t>
  </si>
  <si>
    <t xml:space="preserve">  Dog</t>
  </si>
  <si>
    <t xml:space="preserve">  Ferret</t>
  </si>
  <si>
    <t xml:space="preserve">  Other carnivore</t>
  </si>
  <si>
    <t xml:space="preserve">  Horse and other equids</t>
  </si>
  <si>
    <t xml:space="preserve">  Pig</t>
  </si>
  <si>
    <t xml:space="preserve">  Sheep</t>
  </si>
  <si>
    <t xml:space="preserve">  All other ungulates</t>
  </si>
  <si>
    <t xml:space="preserve">    New World monkey</t>
  </si>
  <si>
    <t xml:space="preserve">    Old World monkey</t>
  </si>
  <si>
    <t xml:space="preserve">  All other mammals</t>
  </si>
  <si>
    <t>Bird</t>
  </si>
  <si>
    <t>Reptile</t>
  </si>
  <si>
    <t>Amphibian</t>
  </si>
  <si>
    <t>Fish</t>
  </si>
  <si>
    <t>Increase on 2010</t>
  </si>
  <si>
    <t>Percentage change from 2010</t>
  </si>
  <si>
    <t>Percentage of total for 2011</t>
  </si>
  <si>
    <t>2010 Totals</t>
  </si>
  <si>
    <t>one system total</t>
  </si>
  <si>
    <t>same direction change</t>
  </si>
  <si>
    <t>Increase 2009 on 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</si>
</sst>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_-;\-* #,##0_-;_-* &quot;-&quot;_-;_-@_-"/>
    <numFmt numFmtId="165" formatCode="#,##0_ ;[Red]\-#,##0\ "/>
    <numFmt numFmtId="166" formatCode="0%;[Red]\-0%"/>
    <numFmt numFmtId="167" formatCode="0.0%"/>
    <numFmt numFmtId="168" formatCode="0.0%;[Red]\-0.0%"/>
  </numFmts>
  <fonts count="10">
    <font>
      <sz val="10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sz val="9"/>
      <name val="宋体"/>
      <family val="3"/>
      <charset val="134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50"/>
      <name val="Arial"/>
      <family val="2"/>
    </font>
    <font>
      <sz val="14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/>
    <xf numFmtId="0" fontId="0" fillId="0" borderId="0" xfId="0" applyBorder="1" applyAlignment="1">
      <alignment horizontal="right"/>
    </xf>
    <xf numFmtId="0" fontId="6" fillId="0" borderId="0" xfId="0" applyFont="1"/>
    <xf numFmtId="0" fontId="7" fillId="2" borderId="7" xfId="0" applyFont="1" applyFill="1" applyBorder="1" applyAlignment="1">
      <alignment horizontal="right" vertical="top" wrapText="1"/>
    </xf>
    <xf numFmtId="0" fontId="0" fillId="0" borderId="0" xfId="0" applyAlignment="1">
      <alignment horizontal="right" wrapText="1"/>
    </xf>
    <xf numFmtId="0" fontId="4" fillId="0" borderId="0" xfId="0" applyFont="1" applyAlignment="1">
      <alignment horizontal="right" wrapText="1"/>
    </xf>
    <xf numFmtId="0" fontId="0" fillId="0" borderId="0" xfId="0" applyAlignment="1">
      <alignment wrapText="1"/>
    </xf>
    <xf numFmtId="0" fontId="8" fillId="0" borderId="9" xfId="0" applyFont="1" applyBorder="1"/>
    <xf numFmtId="164" fontId="7" fillId="0" borderId="10" xfId="0" applyNumberFormat="1" applyFont="1" applyBorder="1" applyAlignment="1"/>
    <xf numFmtId="164" fontId="7" fillId="0" borderId="11" xfId="0" applyNumberFormat="1" applyFont="1" applyBorder="1" applyAlignment="1"/>
    <xf numFmtId="0" fontId="0" fillId="0" borderId="0" xfId="0" applyAlignment="1"/>
    <xf numFmtId="0" fontId="6" fillId="3" borderId="10" xfId="0" applyFont="1" applyFill="1" applyBorder="1" applyAlignment="1"/>
    <xf numFmtId="164" fontId="7" fillId="3" borderId="11" xfId="0" applyNumberFormat="1" applyFont="1" applyFill="1" applyBorder="1" applyAlignment="1">
      <alignment horizontal="right"/>
    </xf>
    <xf numFmtId="164" fontId="7" fillId="3" borderId="11" xfId="0" applyNumberFormat="1" applyFont="1" applyFill="1" applyBorder="1" applyAlignment="1"/>
    <xf numFmtId="164" fontId="6" fillId="3" borderId="11" xfId="0" applyNumberFormat="1" applyFont="1" applyFill="1" applyBorder="1" applyAlignment="1">
      <alignment horizontal="right"/>
    </xf>
    <xf numFmtId="0" fontId="0" fillId="0" borderId="0" xfId="0" applyFill="1" applyAlignment="1"/>
    <xf numFmtId="9" fontId="0" fillId="0" borderId="0" xfId="1" applyFont="1" applyFill="1" applyAlignment="1"/>
    <xf numFmtId="0" fontId="0" fillId="0" borderId="0" xfId="0" applyFill="1"/>
    <xf numFmtId="0" fontId="6" fillId="0" borderId="10" xfId="0" applyFont="1" applyBorder="1" applyAlignment="1"/>
    <xf numFmtId="164" fontId="7" fillId="0" borderId="11" xfId="0" applyNumberFormat="1" applyFont="1" applyFill="1" applyBorder="1" applyAlignment="1">
      <alignment horizontal="right"/>
    </xf>
    <xf numFmtId="164" fontId="6" fillId="0" borderId="11" xfId="0" applyNumberFormat="1" applyFont="1" applyFill="1" applyBorder="1" applyAlignment="1">
      <alignment horizontal="right"/>
    </xf>
    <xf numFmtId="164" fontId="4" fillId="0" borderId="0" xfId="0" applyNumberFormat="1" applyFont="1" applyFill="1" applyBorder="1" applyAlignment="1"/>
    <xf numFmtId="0" fontId="6" fillId="0" borderId="10" xfId="0" applyFont="1" applyFill="1" applyBorder="1" applyAlignment="1"/>
    <xf numFmtId="0" fontId="7" fillId="3" borderId="10" xfId="0" applyFont="1" applyFill="1" applyBorder="1"/>
    <xf numFmtId="0" fontId="7" fillId="0" borderId="10" xfId="0" applyFont="1" applyFill="1" applyBorder="1"/>
    <xf numFmtId="0" fontId="8" fillId="0" borderId="10" xfId="0" applyFont="1" applyFill="1" applyBorder="1"/>
    <xf numFmtId="0" fontId="8" fillId="3" borderId="10" xfId="0" applyFont="1" applyFill="1" applyBorder="1"/>
    <xf numFmtId="0" fontId="8" fillId="3" borderId="6" xfId="0" applyFont="1" applyFill="1" applyBorder="1"/>
    <xf numFmtId="164" fontId="6" fillId="2" borderId="7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164" fontId="4" fillId="0" borderId="0" xfId="0" applyNumberFormat="1" applyFont="1" applyAlignment="1">
      <alignment vertical="center"/>
    </xf>
    <xf numFmtId="0" fontId="7" fillId="0" borderId="7" xfId="0" applyFont="1" applyFill="1" applyBorder="1" applyAlignment="1">
      <alignment vertical="center"/>
    </xf>
    <xf numFmtId="165" fontId="7" fillId="0" borderId="7" xfId="0" applyNumberFormat="1" applyFont="1" applyFill="1" applyBorder="1" applyAlignment="1">
      <alignment horizontal="right" vertical="center"/>
    </xf>
    <xf numFmtId="166" fontId="9" fillId="0" borderId="7" xfId="0" applyNumberFormat="1" applyFont="1" applyFill="1" applyBorder="1" applyAlignment="1">
      <alignment horizontal="right" vertical="center"/>
    </xf>
    <xf numFmtId="9" fontId="7" fillId="0" borderId="7" xfId="1" applyNumberFormat="1" applyFont="1" applyBorder="1" applyAlignment="1">
      <alignment horizontal="right" vertical="center"/>
    </xf>
    <xf numFmtId="167" fontId="7" fillId="0" borderId="7" xfId="1" applyNumberFormat="1" applyFont="1" applyBorder="1" applyAlignment="1">
      <alignment horizontal="right" vertical="center"/>
    </xf>
    <xf numFmtId="164" fontId="7" fillId="0" borderId="7" xfId="0" applyNumberFormat="1" applyFont="1" applyFill="1" applyBorder="1" applyAlignment="1">
      <alignment vertical="center"/>
    </xf>
    <xf numFmtId="164" fontId="7" fillId="0" borderId="4" xfId="0" applyNumberFormat="1" applyFont="1" applyFill="1" applyBorder="1" applyAlignment="1">
      <alignment vertical="center"/>
    </xf>
    <xf numFmtId="164" fontId="0" fillId="0" borderId="0" xfId="0" applyNumberFormat="1" applyAlignment="1">
      <alignment horizontal="right"/>
    </xf>
    <xf numFmtId="0" fontId="5" fillId="0" borderId="0" xfId="0" applyFont="1" applyAlignment="1">
      <alignment horizontal="right"/>
    </xf>
    <xf numFmtId="9" fontId="0" fillId="0" borderId="0" xfId="1" applyFont="1" applyAlignment="1">
      <alignment horizontal="right"/>
    </xf>
    <xf numFmtId="9" fontId="5" fillId="0" borderId="0" xfId="0" applyNumberFormat="1" applyFont="1" applyAlignment="1">
      <alignment horizontal="right"/>
    </xf>
    <xf numFmtId="0" fontId="5" fillId="0" borderId="0" xfId="0" applyFont="1" applyFill="1" applyAlignment="1">
      <alignment horizontal="right"/>
    </xf>
    <xf numFmtId="168" fontId="0" fillId="0" borderId="0" xfId="0" applyNumberFormat="1" applyAlignment="1">
      <alignment horizontal="right"/>
    </xf>
    <xf numFmtId="0" fontId="2" fillId="4" borderId="0" xfId="0" applyFont="1" applyFill="1"/>
    <xf numFmtId="0" fontId="4" fillId="5" borderId="0" xfId="0" applyFont="1" applyFill="1" applyAlignment="1">
      <alignment horizontal="right"/>
    </xf>
    <xf numFmtId="0" fontId="6" fillId="5" borderId="0" xfId="0" applyFont="1" applyFill="1" applyBorder="1" applyAlignment="1">
      <alignment horizontal="right"/>
    </xf>
    <xf numFmtId="0" fontId="6" fillId="5" borderId="1" xfId="0" applyFont="1" applyFill="1" applyBorder="1"/>
    <xf numFmtId="0" fontId="7" fillId="5" borderId="6" xfId="0" applyFont="1" applyFill="1" applyBorder="1" applyAlignment="1">
      <alignment vertical="top"/>
    </xf>
    <xf numFmtId="0" fontId="6" fillId="5" borderId="2" xfId="0" applyFon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164" fontId="7" fillId="5" borderId="8" xfId="0" applyNumberFormat="1" applyFont="1" applyFill="1" applyBorder="1" applyAlignment="1">
      <alignment horizontal="right"/>
    </xf>
    <xf numFmtId="164" fontId="6" fillId="6" borderId="7" xfId="0" applyNumberFormat="1" applyFont="1" applyFill="1" applyBorder="1" applyAlignment="1">
      <alignment vertical="center"/>
    </xf>
    <xf numFmtId="0" fontId="7" fillId="6" borderId="7" xfId="0" applyFont="1" applyFill="1" applyBorder="1" applyAlignment="1">
      <alignment vertical="center"/>
    </xf>
    <xf numFmtId="0" fontId="7" fillId="6" borderId="7" xfId="0" applyFont="1" applyFill="1" applyBorder="1" applyAlignment="1">
      <alignment horizontal="left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6"/>
    <pageSetUpPr fitToPage="1"/>
  </sheetPr>
  <dimension ref="A1:BK66"/>
  <sheetViews>
    <sheetView showGridLines="0" tabSelected="1" topLeftCell="A6" zoomScale="55" zoomScaleNormal="55" workbookViewId="0">
      <selection activeCell="B6" sqref="B6"/>
    </sheetView>
  </sheetViews>
  <sheetFormatPr defaultRowHeight="15.5"/>
  <cols>
    <col min="1" max="1" width="43.08984375" customWidth="1"/>
    <col min="2" max="2" width="19.36328125" style="1" customWidth="1"/>
    <col min="3" max="3" width="23.54296875" style="1" customWidth="1"/>
    <col min="4" max="4" width="15.54296875" style="1" customWidth="1"/>
    <col min="5" max="5" width="14.453125" style="1" customWidth="1"/>
    <col min="6" max="6" width="18.453125" style="1" customWidth="1"/>
    <col min="7" max="7" width="13.90625" style="1" customWidth="1"/>
    <col min="8" max="8" width="18.08984375" style="1" customWidth="1"/>
    <col min="9" max="9" width="21.36328125" style="1" customWidth="1"/>
    <col min="10" max="10" width="18.453125" style="1" customWidth="1"/>
    <col min="11" max="11" width="15.54296875" style="1" customWidth="1"/>
    <col min="12" max="13" width="15" style="1" customWidth="1"/>
    <col min="14" max="14" width="18.54296875" style="1" customWidth="1"/>
    <col min="15" max="15" width="11.6328125" style="1" hidden="1" customWidth="1"/>
    <col min="16" max="16" width="14.453125" style="2" hidden="1" customWidth="1"/>
    <col min="17" max="17" width="9.08984375" style="2" customWidth="1"/>
    <col min="18" max="18" width="9.08984375" style="1" customWidth="1"/>
    <col min="257" max="257" width="43.08984375" customWidth="1"/>
    <col min="258" max="258" width="19.36328125" customWidth="1"/>
    <col min="259" max="259" width="23.54296875" customWidth="1"/>
    <col min="260" max="260" width="15.54296875" customWidth="1"/>
    <col min="261" max="261" width="14.453125" customWidth="1"/>
    <col min="262" max="262" width="18.453125" customWidth="1"/>
    <col min="263" max="263" width="13.90625" customWidth="1"/>
    <col min="264" max="264" width="18.08984375" customWidth="1"/>
    <col min="265" max="265" width="21.36328125" customWidth="1"/>
    <col min="266" max="266" width="18.453125" customWidth="1"/>
    <col min="267" max="267" width="15.54296875" customWidth="1"/>
    <col min="268" max="269" width="15" customWidth="1"/>
    <col min="270" max="270" width="18.54296875" customWidth="1"/>
    <col min="271" max="272" width="0" hidden="1" customWidth="1"/>
    <col min="273" max="274" width="9.08984375" customWidth="1"/>
    <col min="513" max="513" width="43.08984375" customWidth="1"/>
    <col min="514" max="514" width="19.36328125" customWidth="1"/>
    <col min="515" max="515" width="23.54296875" customWidth="1"/>
    <col min="516" max="516" width="15.54296875" customWidth="1"/>
    <col min="517" max="517" width="14.453125" customWidth="1"/>
    <col min="518" max="518" width="18.453125" customWidth="1"/>
    <col min="519" max="519" width="13.90625" customWidth="1"/>
    <col min="520" max="520" width="18.08984375" customWidth="1"/>
    <col min="521" max="521" width="21.36328125" customWidth="1"/>
    <col min="522" max="522" width="18.453125" customWidth="1"/>
    <col min="523" max="523" width="15.54296875" customWidth="1"/>
    <col min="524" max="525" width="15" customWidth="1"/>
    <col min="526" max="526" width="18.54296875" customWidth="1"/>
    <col min="527" max="528" width="0" hidden="1" customWidth="1"/>
    <col min="529" max="530" width="9.08984375" customWidth="1"/>
    <col min="769" max="769" width="43.08984375" customWidth="1"/>
    <col min="770" max="770" width="19.36328125" customWidth="1"/>
    <col min="771" max="771" width="23.54296875" customWidth="1"/>
    <col min="772" max="772" width="15.54296875" customWidth="1"/>
    <col min="773" max="773" width="14.453125" customWidth="1"/>
    <col min="774" max="774" width="18.453125" customWidth="1"/>
    <col min="775" max="775" width="13.90625" customWidth="1"/>
    <col min="776" max="776" width="18.08984375" customWidth="1"/>
    <col min="777" max="777" width="21.36328125" customWidth="1"/>
    <col min="778" max="778" width="18.453125" customWidth="1"/>
    <col min="779" max="779" width="15.54296875" customWidth="1"/>
    <col min="780" max="781" width="15" customWidth="1"/>
    <col min="782" max="782" width="18.54296875" customWidth="1"/>
    <col min="783" max="784" width="0" hidden="1" customWidth="1"/>
    <col min="785" max="786" width="9.08984375" customWidth="1"/>
    <col min="1025" max="1025" width="43.08984375" customWidth="1"/>
    <col min="1026" max="1026" width="19.36328125" customWidth="1"/>
    <col min="1027" max="1027" width="23.54296875" customWidth="1"/>
    <col min="1028" max="1028" width="15.54296875" customWidth="1"/>
    <col min="1029" max="1029" width="14.453125" customWidth="1"/>
    <col min="1030" max="1030" width="18.453125" customWidth="1"/>
    <col min="1031" max="1031" width="13.90625" customWidth="1"/>
    <col min="1032" max="1032" width="18.08984375" customWidth="1"/>
    <col min="1033" max="1033" width="21.36328125" customWidth="1"/>
    <col min="1034" max="1034" width="18.453125" customWidth="1"/>
    <col min="1035" max="1035" width="15.54296875" customWidth="1"/>
    <col min="1036" max="1037" width="15" customWidth="1"/>
    <col min="1038" max="1038" width="18.54296875" customWidth="1"/>
    <col min="1039" max="1040" width="0" hidden="1" customWidth="1"/>
    <col min="1041" max="1042" width="9.08984375" customWidth="1"/>
    <col min="1281" max="1281" width="43.08984375" customWidth="1"/>
    <col min="1282" max="1282" width="19.36328125" customWidth="1"/>
    <col min="1283" max="1283" width="23.54296875" customWidth="1"/>
    <col min="1284" max="1284" width="15.54296875" customWidth="1"/>
    <col min="1285" max="1285" width="14.453125" customWidth="1"/>
    <col min="1286" max="1286" width="18.453125" customWidth="1"/>
    <col min="1287" max="1287" width="13.90625" customWidth="1"/>
    <col min="1288" max="1288" width="18.08984375" customWidth="1"/>
    <col min="1289" max="1289" width="21.36328125" customWidth="1"/>
    <col min="1290" max="1290" width="18.453125" customWidth="1"/>
    <col min="1291" max="1291" width="15.54296875" customWidth="1"/>
    <col min="1292" max="1293" width="15" customWidth="1"/>
    <col min="1294" max="1294" width="18.54296875" customWidth="1"/>
    <col min="1295" max="1296" width="0" hidden="1" customWidth="1"/>
    <col min="1297" max="1298" width="9.08984375" customWidth="1"/>
    <col min="1537" max="1537" width="43.08984375" customWidth="1"/>
    <col min="1538" max="1538" width="19.36328125" customWidth="1"/>
    <col min="1539" max="1539" width="23.54296875" customWidth="1"/>
    <col min="1540" max="1540" width="15.54296875" customWidth="1"/>
    <col min="1541" max="1541" width="14.453125" customWidth="1"/>
    <col min="1542" max="1542" width="18.453125" customWidth="1"/>
    <col min="1543" max="1543" width="13.90625" customWidth="1"/>
    <col min="1544" max="1544" width="18.08984375" customWidth="1"/>
    <col min="1545" max="1545" width="21.36328125" customWidth="1"/>
    <col min="1546" max="1546" width="18.453125" customWidth="1"/>
    <col min="1547" max="1547" width="15.54296875" customWidth="1"/>
    <col min="1548" max="1549" width="15" customWidth="1"/>
    <col min="1550" max="1550" width="18.54296875" customWidth="1"/>
    <col min="1551" max="1552" width="0" hidden="1" customWidth="1"/>
    <col min="1553" max="1554" width="9.08984375" customWidth="1"/>
    <col min="1793" max="1793" width="43.08984375" customWidth="1"/>
    <col min="1794" max="1794" width="19.36328125" customWidth="1"/>
    <col min="1795" max="1795" width="23.54296875" customWidth="1"/>
    <col min="1796" max="1796" width="15.54296875" customWidth="1"/>
    <col min="1797" max="1797" width="14.453125" customWidth="1"/>
    <col min="1798" max="1798" width="18.453125" customWidth="1"/>
    <col min="1799" max="1799" width="13.90625" customWidth="1"/>
    <col min="1800" max="1800" width="18.08984375" customWidth="1"/>
    <col min="1801" max="1801" width="21.36328125" customWidth="1"/>
    <col min="1802" max="1802" width="18.453125" customWidth="1"/>
    <col min="1803" max="1803" width="15.54296875" customWidth="1"/>
    <col min="1804" max="1805" width="15" customWidth="1"/>
    <col min="1806" max="1806" width="18.54296875" customWidth="1"/>
    <col min="1807" max="1808" width="0" hidden="1" customWidth="1"/>
    <col min="1809" max="1810" width="9.08984375" customWidth="1"/>
    <col min="2049" max="2049" width="43.08984375" customWidth="1"/>
    <col min="2050" max="2050" width="19.36328125" customWidth="1"/>
    <col min="2051" max="2051" width="23.54296875" customWidth="1"/>
    <col min="2052" max="2052" width="15.54296875" customWidth="1"/>
    <col min="2053" max="2053" width="14.453125" customWidth="1"/>
    <col min="2054" max="2054" width="18.453125" customWidth="1"/>
    <col min="2055" max="2055" width="13.90625" customWidth="1"/>
    <col min="2056" max="2056" width="18.08984375" customWidth="1"/>
    <col min="2057" max="2057" width="21.36328125" customWidth="1"/>
    <col min="2058" max="2058" width="18.453125" customWidth="1"/>
    <col min="2059" max="2059" width="15.54296875" customWidth="1"/>
    <col min="2060" max="2061" width="15" customWidth="1"/>
    <col min="2062" max="2062" width="18.54296875" customWidth="1"/>
    <col min="2063" max="2064" width="0" hidden="1" customWidth="1"/>
    <col min="2065" max="2066" width="9.08984375" customWidth="1"/>
    <col min="2305" max="2305" width="43.08984375" customWidth="1"/>
    <col min="2306" max="2306" width="19.36328125" customWidth="1"/>
    <col min="2307" max="2307" width="23.54296875" customWidth="1"/>
    <col min="2308" max="2308" width="15.54296875" customWidth="1"/>
    <col min="2309" max="2309" width="14.453125" customWidth="1"/>
    <col min="2310" max="2310" width="18.453125" customWidth="1"/>
    <col min="2311" max="2311" width="13.90625" customWidth="1"/>
    <col min="2312" max="2312" width="18.08984375" customWidth="1"/>
    <col min="2313" max="2313" width="21.36328125" customWidth="1"/>
    <col min="2314" max="2314" width="18.453125" customWidth="1"/>
    <col min="2315" max="2315" width="15.54296875" customWidth="1"/>
    <col min="2316" max="2317" width="15" customWidth="1"/>
    <col min="2318" max="2318" width="18.54296875" customWidth="1"/>
    <col min="2319" max="2320" width="0" hidden="1" customWidth="1"/>
    <col min="2321" max="2322" width="9.08984375" customWidth="1"/>
    <col min="2561" max="2561" width="43.08984375" customWidth="1"/>
    <col min="2562" max="2562" width="19.36328125" customWidth="1"/>
    <col min="2563" max="2563" width="23.54296875" customWidth="1"/>
    <col min="2564" max="2564" width="15.54296875" customWidth="1"/>
    <col min="2565" max="2565" width="14.453125" customWidth="1"/>
    <col min="2566" max="2566" width="18.453125" customWidth="1"/>
    <col min="2567" max="2567" width="13.90625" customWidth="1"/>
    <col min="2568" max="2568" width="18.08984375" customWidth="1"/>
    <col min="2569" max="2569" width="21.36328125" customWidth="1"/>
    <col min="2570" max="2570" width="18.453125" customWidth="1"/>
    <col min="2571" max="2571" width="15.54296875" customWidth="1"/>
    <col min="2572" max="2573" width="15" customWidth="1"/>
    <col min="2574" max="2574" width="18.54296875" customWidth="1"/>
    <col min="2575" max="2576" width="0" hidden="1" customWidth="1"/>
    <col min="2577" max="2578" width="9.08984375" customWidth="1"/>
    <col min="2817" max="2817" width="43.08984375" customWidth="1"/>
    <col min="2818" max="2818" width="19.36328125" customWidth="1"/>
    <col min="2819" max="2819" width="23.54296875" customWidth="1"/>
    <col min="2820" max="2820" width="15.54296875" customWidth="1"/>
    <col min="2821" max="2821" width="14.453125" customWidth="1"/>
    <col min="2822" max="2822" width="18.453125" customWidth="1"/>
    <col min="2823" max="2823" width="13.90625" customWidth="1"/>
    <col min="2824" max="2824" width="18.08984375" customWidth="1"/>
    <col min="2825" max="2825" width="21.36328125" customWidth="1"/>
    <col min="2826" max="2826" width="18.453125" customWidth="1"/>
    <col min="2827" max="2827" width="15.54296875" customWidth="1"/>
    <col min="2828" max="2829" width="15" customWidth="1"/>
    <col min="2830" max="2830" width="18.54296875" customWidth="1"/>
    <col min="2831" max="2832" width="0" hidden="1" customWidth="1"/>
    <col min="2833" max="2834" width="9.08984375" customWidth="1"/>
    <col min="3073" max="3073" width="43.08984375" customWidth="1"/>
    <col min="3074" max="3074" width="19.36328125" customWidth="1"/>
    <col min="3075" max="3075" width="23.54296875" customWidth="1"/>
    <col min="3076" max="3076" width="15.54296875" customWidth="1"/>
    <col min="3077" max="3077" width="14.453125" customWidth="1"/>
    <col min="3078" max="3078" width="18.453125" customWidth="1"/>
    <col min="3079" max="3079" width="13.90625" customWidth="1"/>
    <col min="3080" max="3080" width="18.08984375" customWidth="1"/>
    <col min="3081" max="3081" width="21.36328125" customWidth="1"/>
    <col min="3082" max="3082" width="18.453125" customWidth="1"/>
    <col min="3083" max="3083" width="15.54296875" customWidth="1"/>
    <col min="3084" max="3085" width="15" customWidth="1"/>
    <col min="3086" max="3086" width="18.54296875" customWidth="1"/>
    <col min="3087" max="3088" width="0" hidden="1" customWidth="1"/>
    <col min="3089" max="3090" width="9.08984375" customWidth="1"/>
    <col min="3329" max="3329" width="43.08984375" customWidth="1"/>
    <col min="3330" max="3330" width="19.36328125" customWidth="1"/>
    <col min="3331" max="3331" width="23.54296875" customWidth="1"/>
    <col min="3332" max="3332" width="15.54296875" customWidth="1"/>
    <col min="3333" max="3333" width="14.453125" customWidth="1"/>
    <col min="3334" max="3334" width="18.453125" customWidth="1"/>
    <col min="3335" max="3335" width="13.90625" customWidth="1"/>
    <col min="3336" max="3336" width="18.08984375" customWidth="1"/>
    <col min="3337" max="3337" width="21.36328125" customWidth="1"/>
    <col min="3338" max="3338" width="18.453125" customWidth="1"/>
    <col min="3339" max="3339" width="15.54296875" customWidth="1"/>
    <col min="3340" max="3341" width="15" customWidth="1"/>
    <col min="3342" max="3342" width="18.54296875" customWidth="1"/>
    <col min="3343" max="3344" width="0" hidden="1" customWidth="1"/>
    <col min="3345" max="3346" width="9.08984375" customWidth="1"/>
    <col min="3585" max="3585" width="43.08984375" customWidth="1"/>
    <col min="3586" max="3586" width="19.36328125" customWidth="1"/>
    <col min="3587" max="3587" width="23.54296875" customWidth="1"/>
    <col min="3588" max="3588" width="15.54296875" customWidth="1"/>
    <col min="3589" max="3589" width="14.453125" customWidth="1"/>
    <col min="3590" max="3590" width="18.453125" customWidth="1"/>
    <col min="3591" max="3591" width="13.90625" customWidth="1"/>
    <col min="3592" max="3592" width="18.08984375" customWidth="1"/>
    <col min="3593" max="3593" width="21.36328125" customWidth="1"/>
    <col min="3594" max="3594" width="18.453125" customWidth="1"/>
    <col min="3595" max="3595" width="15.54296875" customWidth="1"/>
    <col min="3596" max="3597" width="15" customWidth="1"/>
    <col min="3598" max="3598" width="18.54296875" customWidth="1"/>
    <col min="3599" max="3600" width="0" hidden="1" customWidth="1"/>
    <col min="3601" max="3602" width="9.08984375" customWidth="1"/>
    <col min="3841" max="3841" width="43.08984375" customWidth="1"/>
    <col min="3842" max="3842" width="19.36328125" customWidth="1"/>
    <col min="3843" max="3843" width="23.54296875" customWidth="1"/>
    <col min="3844" max="3844" width="15.54296875" customWidth="1"/>
    <col min="3845" max="3845" width="14.453125" customWidth="1"/>
    <col min="3846" max="3846" width="18.453125" customWidth="1"/>
    <col min="3847" max="3847" width="13.90625" customWidth="1"/>
    <col min="3848" max="3848" width="18.08984375" customWidth="1"/>
    <col min="3849" max="3849" width="21.36328125" customWidth="1"/>
    <col min="3850" max="3850" width="18.453125" customWidth="1"/>
    <col min="3851" max="3851" width="15.54296875" customWidth="1"/>
    <col min="3852" max="3853" width="15" customWidth="1"/>
    <col min="3854" max="3854" width="18.54296875" customWidth="1"/>
    <col min="3855" max="3856" width="0" hidden="1" customWidth="1"/>
    <col min="3857" max="3858" width="9.08984375" customWidth="1"/>
    <col min="4097" max="4097" width="43.08984375" customWidth="1"/>
    <col min="4098" max="4098" width="19.36328125" customWidth="1"/>
    <col min="4099" max="4099" width="23.54296875" customWidth="1"/>
    <col min="4100" max="4100" width="15.54296875" customWidth="1"/>
    <col min="4101" max="4101" width="14.453125" customWidth="1"/>
    <col min="4102" max="4102" width="18.453125" customWidth="1"/>
    <col min="4103" max="4103" width="13.90625" customWidth="1"/>
    <col min="4104" max="4104" width="18.08984375" customWidth="1"/>
    <col min="4105" max="4105" width="21.36328125" customWidth="1"/>
    <col min="4106" max="4106" width="18.453125" customWidth="1"/>
    <col min="4107" max="4107" width="15.54296875" customWidth="1"/>
    <col min="4108" max="4109" width="15" customWidth="1"/>
    <col min="4110" max="4110" width="18.54296875" customWidth="1"/>
    <col min="4111" max="4112" width="0" hidden="1" customWidth="1"/>
    <col min="4113" max="4114" width="9.08984375" customWidth="1"/>
    <col min="4353" max="4353" width="43.08984375" customWidth="1"/>
    <col min="4354" max="4354" width="19.36328125" customWidth="1"/>
    <col min="4355" max="4355" width="23.54296875" customWidth="1"/>
    <col min="4356" max="4356" width="15.54296875" customWidth="1"/>
    <col min="4357" max="4357" width="14.453125" customWidth="1"/>
    <col min="4358" max="4358" width="18.453125" customWidth="1"/>
    <col min="4359" max="4359" width="13.90625" customWidth="1"/>
    <col min="4360" max="4360" width="18.08984375" customWidth="1"/>
    <col min="4361" max="4361" width="21.36328125" customWidth="1"/>
    <col min="4362" max="4362" width="18.453125" customWidth="1"/>
    <col min="4363" max="4363" width="15.54296875" customWidth="1"/>
    <col min="4364" max="4365" width="15" customWidth="1"/>
    <col min="4366" max="4366" width="18.54296875" customWidth="1"/>
    <col min="4367" max="4368" width="0" hidden="1" customWidth="1"/>
    <col min="4369" max="4370" width="9.08984375" customWidth="1"/>
    <col min="4609" max="4609" width="43.08984375" customWidth="1"/>
    <col min="4610" max="4610" width="19.36328125" customWidth="1"/>
    <col min="4611" max="4611" width="23.54296875" customWidth="1"/>
    <col min="4612" max="4612" width="15.54296875" customWidth="1"/>
    <col min="4613" max="4613" width="14.453125" customWidth="1"/>
    <col min="4614" max="4614" width="18.453125" customWidth="1"/>
    <col min="4615" max="4615" width="13.90625" customWidth="1"/>
    <col min="4616" max="4616" width="18.08984375" customWidth="1"/>
    <col min="4617" max="4617" width="21.36328125" customWidth="1"/>
    <col min="4618" max="4618" width="18.453125" customWidth="1"/>
    <col min="4619" max="4619" width="15.54296875" customWidth="1"/>
    <col min="4620" max="4621" width="15" customWidth="1"/>
    <col min="4622" max="4622" width="18.54296875" customWidth="1"/>
    <col min="4623" max="4624" width="0" hidden="1" customWidth="1"/>
    <col min="4625" max="4626" width="9.08984375" customWidth="1"/>
    <col min="4865" max="4865" width="43.08984375" customWidth="1"/>
    <col min="4866" max="4866" width="19.36328125" customWidth="1"/>
    <col min="4867" max="4867" width="23.54296875" customWidth="1"/>
    <col min="4868" max="4868" width="15.54296875" customWidth="1"/>
    <col min="4869" max="4869" width="14.453125" customWidth="1"/>
    <col min="4870" max="4870" width="18.453125" customWidth="1"/>
    <col min="4871" max="4871" width="13.90625" customWidth="1"/>
    <col min="4872" max="4872" width="18.08984375" customWidth="1"/>
    <col min="4873" max="4873" width="21.36328125" customWidth="1"/>
    <col min="4874" max="4874" width="18.453125" customWidth="1"/>
    <col min="4875" max="4875" width="15.54296875" customWidth="1"/>
    <col min="4876" max="4877" width="15" customWidth="1"/>
    <col min="4878" max="4878" width="18.54296875" customWidth="1"/>
    <col min="4879" max="4880" width="0" hidden="1" customWidth="1"/>
    <col min="4881" max="4882" width="9.08984375" customWidth="1"/>
    <col min="5121" max="5121" width="43.08984375" customWidth="1"/>
    <col min="5122" max="5122" width="19.36328125" customWidth="1"/>
    <col min="5123" max="5123" width="23.54296875" customWidth="1"/>
    <col min="5124" max="5124" width="15.54296875" customWidth="1"/>
    <col min="5125" max="5125" width="14.453125" customWidth="1"/>
    <col min="5126" max="5126" width="18.453125" customWidth="1"/>
    <col min="5127" max="5127" width="13.90625" customWidth="1"/>
    <col min="5128" max="5128" width="18.08984375" customWidth="1"/>
    <col min="5129" max="5129" width="21.36328125" customWidth="1"/>
    <col min="5130" max="5130" width="18.453125" customWidth="1"/>
    <col min="5131" max="5131" width="15.54296875" customWidth="1"/>
    <col min="5132" max="5133" width="15" customWidth="1"/>
    <col min="5134" max="5134" width="18.54296875" customWidth="1"/>
    <col min="5135" max="5136" width="0" hidden="1" customWidth="1"/>
    <col min="5137" max="5138" width="9.08984375" customWidth="1"/>
    <col min="5377" max="5377" width="43.08984375" customWidth="1"/>
    <col min="5378" max="5378" width="19.36328125" customWidth="1"/>
    <col min="5379" max="5379" width="23.54296875" customWidth="1"/>
    <col min="5380" max="5380" width="15.54296875" customWidth="1"/>
    <col min="5381" max="5381" width="14.453125" customWidth="1"/>
    <col min="5382" max="5382" width="18.453125" customWidth="1"/>
    <col min="5383" max="5383" width="13.90625" customWidth="1"/>
    <col min="5384" max="5384" width="18.08984375" customWidth="1"/>
    <col min="5385" max="5385" width="21.36328125" customWidth="1"/>
    <col min="5386" max="5386" width="18.453125" customWidth="1"/>
    <col min="5387" max="5387" width="15.54296875" customWidth="1"/>
    <col min="5388" max="5389" width="15" customWidth="1"/>
    <col min="5390" max="5390" width="18.54296875" customWidth="1"/>
    <col min="5391" max="5392" width="0" hidden="1" customWidth="1"/>
    <col min="5393" max="5394" width="9.08984375" customWidth="1"/>
    <col min="5633" max="5633" width="43.08984375" customWidth="1"/>
    <col min="5634" max="5634" width="19.36328125" customWidth="1"/>
    <col min="5635" max="5635" width="23.54296875" customWidth="1"/>
    <col min="5636" max="5636" width="15.54296875" customWidth="1"/>
    <col min="5637" max="5637" width="14.453125" customWidth="1"/>
    <col min="5638" max="5638" width="18.453125" customWidth="1"/>
    <col min="5639" max="5639" width="13.90625" customWidth="1"/>
    <col min="5640" max="5640" width="18.08984375" customWidth="1"/>
    <col min="5641" max="5641" width="21.36328125" customWidth="1"/>
    <col min="5642" max="5642" width="18.453125" customWidth="1"/>
    <col min="5643" max="5643" width="15.54296875" customWidth="1"/>
    <col min="5644" max="5645" width="15" customWidth="1"/>
    <col min="5646" max="5646" width="18.54296875" customWidth="1"/>
    <col min="5647" max="5648" width="0" hidden="1" customWidth="1"/>
    <col min="5649" max="5650" width="9.08984375" customWidth="1"/>
    <col min="5889" max="5889" width="43.08984375" customWidth="1"/>
    <col min="5890" max="5890" width="19.36328125" customWidth="1"/>
    <col min="5891" max="5891" width="23.54296875" customWidth="1"/>
    <col min="5892" max="5892" width="15.54296875" customWidth="1"/>
    <col min="5893" max="5893" width="14.453125" customWidth="1"/>
    <col min="5894" max="5894" width="18.453125" customWidth="1"/>
    <col min="5895" max="5895" width="13.90625" customWidth="1"/>
    <col min="5896" max="5896" width="18.08984375" customWidth="1"/>
    <col min="5897" max="5897" width="21.36328125" customWidth="1"/>
    <col min="5898" max="5898" width="18.453125" customWidth="1"/>
    <col min="5899" max="5899" width="15.54296875" customWidth="1"/>
    <col min="5900" max="5901" width="15" customWidth="1"/>
    <col min="5902" max="5902" width="18.54296875" customWidth="1"/>
    <col min="5903" max="5904" width="0" hidden="1" customWidth="1"/>
    <col min="5905" max="5906" width="9.08984375" customWidth="1"/>
    <col min="6145" max="6145" width="43.08984375" customWidth="1"/>
    <col min="6146" max="6146" width="19.36328125" customWidth="1"/>
    <col min="6147" max="6147" width="23.54296875" customWidth="1"/>
    <col min="6148" max="6148" width="15.54296875" customWidth="1"/>
    <col min="6149" max="6149" width="14.453125" customWidth="1"/>
    <col min="6150" max="6150" width="18.453125" customWidth="1"/>
    <col min="6151" max="6151" width="13.90625" customWidth="1"/>
    <col min="6152" max="6152" width="18.08984375" customWidth="1"/>
    <col min="6153" max="6153" width="21.36328125" customWidth="1"/>
    <col min="6154" max="6154" width="18.453125" customWidth="1"/>
    <col min="6155" max="6155" width="15.54296875" customWidth="1"/>
    <col min="6156" max="6157" width="15" customWidth="1"/>
    <col min="6158" max="6158" width="18.54296875" customWidth="1"/>
    <col min="6159" max="6160" width="0" hidden="1" customWidth="1"/>
    <col min="6161" max="6162" width="9.08984375" customWidth="1"/>
    <col min="6401" max="6401" width="43.08984375" customWidth="1"/>
    <col min="6402" max="6402" width="19.36328125" customWidth="1"/>
    <col min="6403" max="6403" width="23.54296875" customWidth="1"/>
    <col min="6404" max="6404" width="15.54296875" customWidth="1"/>
    <col min="6405" max="6405" width="14.453125" customWidth="1"/>
    <col min="6406" max="6406" width="18.453125" customWidth="1"/>
    <col min="6407" max="6407" width="13.90625" customWidth="1"/>
    <col min="6408" max="6408" width="18.08984375" customWidth="1"/>
    <col min="6409" max="6409" width="21.36328125" customWidth="1"/>
    <col min="6410" max="6410" width="18.453125" customWidth="1"/>
    <col min="6411" max="6411" width="15.54296875" customWidth="1"/>
    <col min="6412" max="6413" width="15" customWidth="1"/>
    <col min="6414" max="6414" width="18.54296875" customWidth="1"/>
    <col min="6415" max="6416" width="0" hidden="1" customWidth="1"/>
    <col min="6417" max="6418" width="9.08984375" customWidth="1"/>
    <col min="6657" max="6657" width="43.08984375" customWidth="1"/>
    <col min="6658" max="6658" width="19.36328125" customWidth="1"/>
    <col min="6659" max="6659" width="23.54296875" customWidth="1"/>
    <col min="6660" max="6660" width="15.54296875" customWidth="1"/>
    <col min="6661" max="6661" width="14.453125" customWidth="1"/>
    <col min="6662" max="6662" width="18.453125" customWidth="1"/>
    <col min="6663" max="6663" width="13.90625" customWidth="1"/>
    <col min="6664" max="6664" width="18.08984375" customWidth="1"/>
    <col min="6665" max="6665" width="21.36328125" customWidth="1"/>
    <col min="6666" max="6666" width="18.453125" customWidth="1"/>
    <col min="6667" max="6667" width="15.54296875" customWidth="1"/>
    <col min="6668" max="6669" width="15" customWidth="1"/>
    <col min="6670" max="6670" width="18.54296875" customWidth="1"/>
    <col min="6671" max="6672" width="0" hidden="1" customWidth="1"/>
    <col min="6673" max="6674" width="9.08984375" customWidth="1"/>
    <col min="6913" max="6913" width="43.08984375" customWidth="1"/>
    <col min="6914" max="6914" width="19.36328125" customWidth="1"/>
    <col min="6915" max="6915" width="23.54296875" customWidth="1"/>
    <col min="6916" max="6916" width="15.54296875" customWidth="1"/>
    <col min="6917" max="6917" width="14.453125" customWidth="1"/>
    <col min="6918" max="6918" width="18.453125" customWidth="1"/>
    <col min="6919" max="6919" width="13.90625" customWidth="1"/>
    <col min="6920" max="6920" width="18.08984375" customWidth="1"/>
    <col min="6921" max="6921" width="21.36328125" customWidth="1"/>
    <col min="6922" max="6922" width="18.453125" customWidth="1"/>
    <col min="6923" max="6923" width="15.54296875" customWidth="1"/>
    <col min="6924" max="6925" width="15" customWidth="1"/>
    <col min="6926" max="6926" width="18.54296875" customWidth="1"/>
    <col min="6927" max="6928" width="0" hidden="1" customWidth="1"/>
    <col min="6929" max="6930" width="9.08984375" customWidth="1"/>
    <col min="7169" max="7169" width="43.08984375" customWidth="1"/>
    <col min="7170" max="7170" width="19.36328125" customWidth="1"/>
    <col min="7171" max="7171" width="23.54296875" customWidth="1"/>
    <col min="7172" max="7172" width="15.54296875" customWidth="1"/>
    <col min="7173" max="7173" width="14.453125" customWidth="1"/>
    <col min="7174" max="7174" width="18.453125" customWidth="1"/>
    <col min="7175" max="7175" width="13.90625" customWidth="1"/>
    <col min="7176" max="7176" width="18.08984375" customWidth="1"/>
    <col min="7177" max="7177" width="21.36328125" customWidth="1"/>
    <col min="7178" max="7178" width="18.453125" customWidth="1"/>
    <col min="7179" max="7179" width="15.54296875" customWidth="1"/>
    <col min="7180" max="7181" width="15" customWidth="1"/>
    <col min="7182" max="7182" width="18.54296875" customWidth="1"/>
    <col min="7183" max="7184" width="0" hidden="1" customWidth="1"/>
    <col min="7185" max="7186" width="9.08984375" customWidth="1"/>
    <col min="7425" max="7425" width="43.08984375" customWidth="1"/>
    <col min="7426" max="7426" width="19.36328125" customWidth="1"/>
    <col min="7427" max="7427" width="23.54296875" customWidth="1"/>
    <col min="7428" max="7428" width="15.54296875" customWidth="1"/>
    <col min="7429" max="7429" width="14.453125" customWidth="1"/>
    <col min="7430" max="7430" width="18.453125" customWidth="1"/>
    <col min="7431" max="7431" width="13.90625" customWidth="1"/>
    <col min="7432" max="7432" width="18.08984375" customWidth="1"/>
    <col min="7433" max="7433" width="21.36328125" customWidth="1"/>
    <col min="7434" max="7434" width="18.453125" customWidth="1"/>
    <col min="7435" max="7435" width="15.54296875" customWidth="1"/>
    <col min="7436" max="7437" width="15" customWidth="1"/>
    <col min="7438" max="7438" width="18.54296875" customWidth="1"/>
    <col min="7439" max="7440" width="0" hidden="1" customWidth="1"/>
    <col min="7441" max="7442" width="9.08984375" customWidth="1"/>
    <col min="7681" max="7681" width="43.08984375" customWidth="1"/>
    <col min="7682" max="7682" width="19.36328125" customWidth="1"/>
    <col min="7683" max="7683" width="23.54296875" customWidth="1"/>
    <col min="7684" max="7684" width="15.54296875" customWidth="1"/>
    <col min="7685" max="7685" width="14.453125" customWidth="1"/>
    <col min="7686" max="7686" width="18.453125" customWidth="1"/>
    <col min="7687" max="7687" width="13.90625" customWidth="1"/>
    <col min="7688" max="7688" width="18.08984375" customWidth="1"/>
    <col min="7689" max="7689" width="21.36328125" customWidth="1"/>
    <col min="7690" max="7690" width="18.453125" customWidth="1"/>
    <col min="7691" max="7691" width="15.54296875" customWidth="1"/>
    <col min="7692" max="7693" width="15" customWidth="1"/>
    <col min="7694" max="7694" width="18.54296875" customWidth="1"/>
    <col min="7695" max="7696" width="0" hidden="1" customWidth="1"/>
    <col min="7697" max="7698" width="9.08984375" customWidth="1"/>
    <col min="7937" max="7937" width="43.08984375" customWidth="1"/>
    <col min="7938" max="7938" width="19.36328125" customWidth="1"/>
    <col min="7939" max="7939" width="23.54296875" customWidth="1"/>
    <col min="7940" max="7940" width="15.54296875" customWidth="1"/>
    <col min="7941" max="7941" width="14.453125" customWidth="1"/>
    <col min="7942" max="7942" width="18.453125" customWidth="1"/>
    <col min="7943" max="7943" width="13.90625" customWidth="1"/>
    <col min="7944" max="7944" width="18.08984375" customWidth="1"/>
    <col min="7945" max="7945" width="21.36328125" customWidth="1"/>
    <col min="7946" max="7946" width="18.453125" customWidth="1"/>
    <col min="7947" max="7947" width="15.54296875" customWidth="1"/>
    <col min="7948" max="7949" width="15" customWidth="1"/>
    <col min="7950" max="7950" width="18.54296875" customWidth="1"/>
    <col min="7951" max="7952" width="0" hidden="1" customWidth="1"/>
    <col min="7953" max="7954" width="9.08984375" customWidth="1"/>
    <col min="8193" max="8193" width="43.08984375" customWidth="1"/>
    <col min="8194" max="8194" width="19.36328125" customWidth="1"/>
    <col min="8195" max="8195" width="23.54296875" customWidth="1"/>
    <col min="8196" max="8196" width="15.54296875" customWidth="1"/>
    <col min="8197" max="8197" width="14.453125" customWidth="1"/>
    <col min="8198" max="8198" width="18.453125" customWidth="1"/>
    <col min="8199" max="8199" width="13.90625" customWidth="1"/>
    <col min="8200" max="8200" width="18.08984375" customWidth="1"/>
    <col min="8201" max="8201" width="21.36328125" customWidth="1"/>
    <col min="8202" max="8202" width="18.453125" customWidth="1"/>
    <col min="8203" max="8203" width="15.54296875" customWidth="1"/>
    <col min="8204" max="8205" width="15" customWidth="1"/>
    <col min="8206" max="8206" width="18.54296875" customWidth="1"/>
    <col min="8207" max="8208" width="0" hidden="1" customWidth="1"/>
    <col min="8209" max="8210" width="9.08984375" customWidth="1"/>
    <col min="8449" max="8449" width="43.08984375" customWidth="1"/>
    <col min="8450" max="8450" width="19.36328125" customWidth="1"/>
    <col min="8451" max="8451" width="23.54296875" customWidth="1"/>
    <col min="8452" max="8452" width="15.54296875" customWidth="1"/>
    <col min="8453" max="8453" width="14.453125" customWidth="1"/>
    <col min="8454" max="8454" width="18.453125" customWidth="1"/>
    <col min="8455" max="8455" width="13.90625" customWidth="1"/>
    <col min="8456" max="8456" width="18.08984375" customWidth="1"/>
    <col min="8457" max="8457" width="21.36328125" customWidth="1"/>
    <col min="8458" max="8458" width="18.453125" customWidth="1"/>
    <col min="8459" max="8459" width="15.54296875" customWidth="1"/>
    <col min="8460" max="8461" width="15" customWidth="1"/>
    <col min="8462" max="8462" width="18.54296875" customWidth="1"/>
    <col min="8463" max="8464" width="0" hidden="1" customWidth="1"/>
    <col min="8465" max="8466" width="9.08984375" customWidth="1"/>
    <col min="8705" max="8705" width="43.08984375" customWidth="1"/>
    <col min="8706" max="8706" width="19.36328125" customWidth="1"/>
    <col min="8707" max="8707" width="23.54296875" customWidth="1"/>
    <col min="8708" max="8708" width="15.54296875" customWidth="1"/>
    <col min="8709" max="8709" width="14.453125" customWidth="1"/>
    <col min="8710" max="8710" width="18.453125" customWidth="1"/>
    <col min="8711" max="8711" width="13.90625" customWidth="1"/>
    <col min="8712" max="8712" width="18.08984375" customWidth="1"/>
    <col min="8713" max="8713" width="21.36328125" customWidth="1"/>
    <col min="8714" max="8714" width="18.453125" customWidth="1"/>
    <col min="8715" max="8715" width="15.54296875" customWidth="1"/>
    <col min="8716" max="8717" width="15" customWidth="1"/>
    <col min="8718" max="8718" width="18.54296875" customWidth="1"/>
    <col min="8719" max="8720" width="0" hidden="1" customWidth="1"/>
    <col min="8721" max="8722" width="9.08984375" customWidth="1"/>
    <col min="8961" max="8961" width="43.08984375" customWidth="1"/>
    <col min="8962" max="8962" width="19.36328125" customWidth="1"/>
    <col min="8963" max="8963" width="23.54296875" customWidth="1"/>
    <col min="8964" max="8964" width="15.54296875" customWidth="1"/>
    <col min="8965" max="8965" width="14.453125" customWidth="1"/>
    <col min="8966" max="8966" width="18.453125" customWidth="1"/>
    <col min="8967" max="8967" width="13.90625" customWidth="1"/>
    <col min="8968" max="8968" width="18.08984375" customWidth="1"/>
    <col min="8969" max="8969" width="21.36328125" customWidth="1"/>
    <col min="8970" max="8970" width="18.453125" customWidth="1"/>
    <col min="8971" max="8971" width="15.54296875" customWidth="1"/>
    <col min="8972" max="8973" width="15" customWidth="1"/>
    <col min="8974" max="8974" width="18.54296875" customWidth="1"/>
    <col min="8975" max="8976" width="0" hidden="1" customWidth="1"/>
    <col min="8977" max="8978" width="9.08984375" customWidth="1"/>
    <col min="9217" max="9217" width="43.08984375" customWidth="1"/>
    <col min="9218" max="9218" width="19.36328125" customWidth="1"/>
    <col min="9219" max="9219" width="23.54296875" customWidth="1"/>
    <col min="9220" max="9220" width="15.54296875" customWidth="1"/>
    <col min="9221" max="9221" width="14.453125" customWidth="1"/>
    <col min="9222" max="9222" width="18.453125" customWidth="1"/>
    <col min="9223" max="9223" width="13.90625" customWidth="1"/>
    <col min="9224" max="9224" width="18.08984375" customWidth="1"/>
    <col min="9225" max="9225" width="21.36328125" customWidth="1"/>
    <col min="9226" max="9226" width="18.453125" customWidth="1"/>
    <col min="9227" max="9227" width="15.54296875" customWidth="1"/>
    <col min="9228" max="9229" width="15" customWidth="1"/>
    <col min="9230" max="9230" width="18.54296875" customWidth="1"/>
    <col min="9231" max="9232" width="0" hidden="1" customWidth="1"/>
    <col min="9233" max="9234" width="9.08984375" customWidth="1"/>
    <col min="9473" max="9473" width="43.08984375" customWidth="1"/>
    <col min="9474" max="9474" width="19.36328125" customWidth="1"/>
    <col min="9475" max="9475" width="23.54296875" customWidth="1"/>
    <col min="9476" max="9476" width="15.54296875" customWidth="1"/>
    <col min="9477" max="9477" width="14.453125" customWidth="1"/>
    <col min="9478" max="9478" width="18.453125" customWidth="1"/>
    <col min="9479" max="9479" width="13.90625" customWidth="1"/>
    <col min="9480" max="9480" width="18.08984375" customWidth="1"/>
    <col min="9481" max="9481" width="21.36328125" customWidth="1"/>
    <col min="9482" max="9482" width="18.453125" customWidth="1"/>
    <col min="9483" max="9483" width="15.54296875" customWidth="1"/>
    <col min="9484" max="9485" width="15" customWidth="1"/>
    <col min="9486" max="9486" width="18.54296875" customWidth="1"/>
    <col min="9487" max="9488" width="0" hidden="1" customWidth="1"/>
    <col min="9489" max="9490" width="9.08984375" customWidth="1"/>
    <col min="9729" max="9729" width="43.08984375" customWidth="1"/>
    <col min="9730" max="9730" width="19.36328125" customWidth="1"/>
    <col min="9731" max="9731" width="23.54296875" customWidth="1"/>
    <col min="9732" max="9732" width="15.54296875" customWidth="1"/>
    <col min="9733" max="9733" width="14.453125" customWidth="1"/>
    <col min="9734" max="9734" width="18.453125" customWidth="1"/>
    <col min="9735" max="9735" width="13.90625" customWidth="1"/>
    <col min="9736" max="9736" width="18.08984375" customWidth="1"/>
    <col min="9737" max="9737" width="21.36328125" customWidth="1"/>
    <col min="9738" max="9738" width="18.453125" customWidth="1"/>
    <col min="9739" max="9739" width="15.54296875" customWidth="1"/>
    <col min="9740" max="9741" width="15" customWidth="1"/>
    <col min="9742" max="9742" width="18.54296875" customWidth="1"/>
    <col min="9743" max="9744" width="0" hidden="1" customWidth="1"/>
    <col min="9745" max="9746" width="9.08984375" customWidth="1"/>
    <col min="9985" max="9985" width="43.08984375" customWidth="1"/>
    <col min="9986" max="9986" width="19.36328125" customWidth="1"/>
    <col min="9987" max="9987" width="23.54296875" customWidth="1"/>
    <col min="9988" max="9988" width="15.54296875" customWidth="1"/>
    <col min="9989" max="9989" width="14.453125" customWidth="1"/>
    <col min="9990" max="9990" width="18.453125" customWidth="1"/>
    <col min="9991" max="9991" width="13.90625" customWidth="1"/>
    <col min="9992" max="9992" width="18.08984375" customWidth="1"/>
    <col min="9993" max="9993" width="21.36328125" customWidth="1"/>
    <col min="9994" max="9994" width="18.453125" customWidth="1"/>
    <col min="9995" max="9995" width="15.54296875" customWidth="1"/>
    <col min="9996" max="9997" width="15" customWidth="1"/>
    <col min="9998" max="9998" width="18.54296875" customWidth="1"/>
    <col min="9999" max="10000" width="0" hidden="1" customWidth="1"/>
    <col min="10001" max="10002" width="9.08984375" customWidth="1"/>
    <col min="10241" max="10241" width="43.08984375" customWidth="1"/>
    <col min="10242" max="10242" width="19.36328125" customWidth="1"/>
    <col min="10243" max="10243" width="23.54296875" customWidth="1"/>
    <col min="10244" max="10244" width="15.54296875" customWidth="1"/>
    <col min="10245" max="10245" width="14.453125" customWidth="1"/>
    <col min="10246" max="10246" width="18.453125" customWidth="1"/>
    <col min="10247" max="10247" width="13.90625" customWidth="1"/>
    <col min="10248" max="10248" width="18.08984375" customWidth="1"/>
    <col min="10249" max="10249" width="21.36328125" customWidth="1"/>
    <col min="10250" max="10250" width="18.453125" customWidth="1"/>
    <col min="10251" max="10251" width="15.54296875" customWidth="1"/>
    <col min="10252" max="10253" width="15" customWidth="1"/>
    <col min="10254" max="10254" width="18.54296875" customWidth="1"/>
    <col min="10255" max="10256" width="0" hidden="1" customWidth="1"/>
    <col min="10257" max="10258" width="9.08984375" customWidth="1"/>
    <col min="10497" max="10497" width="43.08984375" customWidth="1"/>
    <col min="10498" max="10498" width="19.36328125" customWidth="1"/>
    <col min="10499" max="10499" width="23.54296875" customWidth="1"/>
    <col min="10500" max="10500" width="15.54296875" customWidth="1"/>
    <col min="10501" max="10501" width="14.453125" customWidth="1"/>
    <col min="10502" max="10502" width="18.453125" customWidth="1"/>
    <col min="10503" max="10503" width="13.90625" customWidth="1"/>
    <col min="10504" max="10504" width="18.08984375" customWidth="1"/>
    <col min="10505" max="10505" width="21.36328125" customWidth="1"/>
    <col min="10506" max="10506" width="18.453125" customWidth="1"/>
    <col min="10507" max="10507" width="15.54296875" customWidth="1"/>
    <col min="10508" max="10509" width="15" customWidth="1"/>
    <col min="10510" max="10510" width="18.54296875" customWidth="1"/>
    <col min="10511" max="10512" width="0" hidden="1" customWidth="1"/>
    <col min="10513" max="10514" width="9.08984375" customWidth="1"/>
    <col min="10753" max="10753" width="43.08984375" customWidth="1"/>
    <col min="10754" max="10754" width="19.36328125" customWidth="1"/>
    <col min="10755" max="10755" width="23.54296875" customWidth="1"/>
    <col min="10756" max="10756" width="15.54296875" customWidth="1"/>
    <col min="10757" max="10757" width="14.453125" customWidth="1"/>
    <col min="10758" max="10758" width="18.453125" customWidth="1"/>
    <col min="10759" max="10759" width="13.90625" customWidth="1"/>
    <col min="10760" max="10760" width="18.08984375" customWidth="1"/>
    <col min="10761" max="10761" width="21.36328125" customWidth="1"/>
    <col min="10762" max="10762" width="18.453125" customWidth="1"/>
    <col min="10763" max="10763" width="15.54296875" customWidth="1"/>
    <col min="10764" max="10765" width="15" customWidth="1"/>
    <col min="10766" max="10766" width="18.54296875" customWidth="1"/>
    <col min="10767" max="10768" width="0" hidden="1" customWidth="1"/>
    <col min="10769" max="10770" width="9.08984375" customWidth="1"/>
    <col min="11009" max="11009" width="43.08984375" customWidth="1"/>
    <col min="11010" max="11010" width="19.36328125" customWidth="1"/>
    <col min="11011" max="11011" width="23.54296875" customWidth="1"/>
    <col min="11012" max="11012" width="15.54296875" customWidth="1"/>
    <col min="11013" max="11013" width="14.453125" customWidth="1"/>
    <col min="11014" max="11014" width="18.453125" customWidth="1"/>
    <col min="11015" max="11015" width="13.90625" customWidth="1"/>
    <col min="11016" max="11016" width="18.08984375" customWidth="1"/>
    <col min="11017" max="11017" width="21.36328125" customWidth="1"/>
    <col min="11018" max="11018" width="18.453125" customWidth="1"/>
    <col min="11019" max="11019" width="15.54296875" customWidth="1"/>
    <col min="11020" max="11021" width="15" customWidth="1"/>
    <col min="11022" max="11022" width="18.54296875" customWidth="1"/>
    <col min="11023" max="11024" width="0" hidden="1" customWidth="1"/>
    <col min="11025" max="11026" width="9.08984375" customWidth="1"/>
    <col min="11265" max="11265" width="43.08984375" customWidth="1"/>
    <col min="11266" max="11266" width="19.36328125" customWidth="1"/>
    <col min="11267" max="11267" width="23.54296875" customWidth="1"/>
    <col min="11268" max="11268" width="15.54296875" customWidth="1"/>
    <col min="11269" max="11269" width="14.453125" customWidth="1"/>
    <col min="11270" max="11270" width="18.453125" customWidth="1"/>
    <col min="11271" max="11271" width="13.90625" customWidth="1"/>
    <col min="11272" max="11272" width="18.08984375" customWidth="1"/>
    <col min="11273" max="11273" width="21.36328125" customWidth="1"/>
    <col min="11274" max="11274" width="18.453125" customWidth="1"/>
    <col min="11275" max="11275" width="15.54296875" customWidth="1"/>
    <col min="11276" max="11277" width="15" customWidth="1"/>
    <col min="11278" max="11278" width="18.54296875" customWidth="1"/>
    <col min="11279" max="11280" width="0" hidden="1" customWidth="1"/>
    <col min="11281" max="11282" width="9.08984375" customWidth="1"/>
    <col min="11521" max="11521" width="43.08984375" customWidth="1"/>
    <col min="11522" max="11522" width="19.36328125" customWidth="1"/>
    <col min="11523" max="11523" width="23.54296875" customWidth="1"/>
    <col min="11524" max="11524" width="15.54296875" customWidth="1"/>
    <col min="11525" max="11525" width="14.453125" customWidth="1"/>
    <col min="11526" max="11526" width="18.453125" customWidth="1"/>
    <col min="11527" max="11527" width="13.90625" customWidth="1"/>
    <col min="11528" max="11528" width="18.08984375" customWidth="1"/>
    <col min="11529" max="11529" width="21.36328125" customWidth="1"/>
    <col min="11530" max="11530" width="18.453125" customWidth="1"/>
    <col min="11531" max="11531" width="15.54296875" customWidth="1"/>
    <col min="11532" max="11533" width="15" customWidth="1"/>
    <col min="11534" max="11534" width="18.54296875" customWidth="1"/>
    <col min="11535" max="11536" width="0" hidden="1" customWidth="1"/>
    <col min="11537" max="11538" width="9.08984375" customWidth="1"/>
    <col min="11777" max="11777" width="43.08984375" customWidth="1"/>
    <col min="11778" max="11778" width="19.36328125" customWidth="1"/>
    <col min="11779" max="11779" width="23.54296875" customWidth="1"/>
    <col min="11780" max="11780" width="15.54296875" customWidth="1"/>
    <col min="11781" max="11781" width="14.453125" customWidth="1"/>
    <col min="11782" max="11782" width="18.453125" customWidth="1"/>
    <col min="11783" max="11783" width="13.90625" customWidth="1"/>
    <col min="11784" max="11784" width="18.08984375" customWidth="1"/>
    <col min="11785" max="11785" width="21.36328125" customWidth="1"/>
    <col min="11786" max="11786" width="18.453125" customWidth="1"/>
    <col min="11787" max="11787" width="15.54296875" customWidth="1"/>
    <col min="11788" max="11789" width="15" customWidth="1"/>
    <col min="11790" max="11790" width="18.54296875" customWidth="1"/>
    <col min="11791" max="11792" width="0" hidden="1" customWidth="1"/>
    <col min="11793" max="11794" width="9.08984375" customWidth="1"/>
    <col min="12033" max="12033" width="43.08984375" customWidth="1"/>
    <col min="12034" max="12034" width="19.36328125" customWidth="1"/>
    <col min="12035" max="12035" width="23.54296875" customWidth="1"/>
    <col min="12036" max="12036" width="15.54296875" customWidth="1"/>
    <col min="12037" max="12037" width="14.453125" customWidth="1"/>
    <col min="12038" max="12038" width="18.453125" customWidth="1"/>
    <col min="12039" max="12039" width="13.90625" customWidth="1"/>
    <col min="12040" max="12040" width="18.08984375" customWidth="1"/>
    <col min="12041" max="12041" width="21.36328125" customWidth="1"/>
    <col min="12042" max="12042" width="18.453125" customWidth="1"/>
    <col min="12043" max="12043" width="15.54296875" customWidth="1"/>
    <col min="12044" max="12045" width="15" customWidth="1"/>
    <col min="12046" max="12046" width="18.54296875" customWidth="1"/>
    <col min="12047" max="12048" width="0" hidden="1" customWidth="1"/>
    <col min="12049" max="12050" width="9.08984375" customWidth="1"/>
    <col min="12289" max="12289" width="43.08984375" customWidth="1"/>
    <col min="12290" max="12290" width="19.36328125" customWidth="1"/>
    <col min="12291" max="12291" width="23.54296875" customWidth="1"/>
    <col min="12292" max="12292" width="15.54296875" customWidth="1"/>
    <col min="12293" max="12293" width="14.453125" customWidth="1"/>
    <col min="12294" max="12294" width="18.453125" customWidth="1"/>
    <col min="12295" max="12295" width="13.90625" customWidth="1"/>
    <col min="12296" max="12296" width="18.08984375" customWidth="1"/>
    <col min="12297" max="12297" width="21.36328125" customWidth="1"/>
    <col min="12298" max="12298" width="18.453125" customWidth="1"/>
    <col min="12299" max="12299" width="15.54296875" customWidth="1"/>
    <col min="12300" max="12301" width="15" customWidth="1"/>
    <col min="12302" max="12302" width="18.54296875" customWidth="1"/>
    <col min="12303" max="12304" width="0" hidden="1" customWidth="1"/>
    <col min="12305" max="12306" width="9.08984375" customWidth="1"/>
    <col min="12545" max="12545" width="43.08984375" customWidth="1"/>
    <col min="12546" max="12546" width="19.36328125" customWidth="1"/>
    <col min="12547" max="12547" width="23.54296875" customWidth="1"/>
    <col min="12548" max="12548" width="15.54296875" customWidth="1"/>
    <col min="12549" max="12549" width="14.453125" customWidth="1"/>
    <col min="12550" max="12550" width="18.453125" customWidth="1"/>
    <col min="12551" max="12551" width="13.90625" customWidth="1"/>
    <col min="12552" max="12552" width="18.08984375" customWidth="1"/>
    <col min="12553" max="12553" width="21.36328125" customWidth="1"/>
    <col min="12554" max="12554" width="18.453125" customWidth="1"/>
    <col min="12555" max="12555" width="15.54296875" customWidth="1"/>
    <col min="12556" max="12557" width="15" customWidth="1"/>
    <col min="12558" max="12558" width="18.54296875" customWidth="1"/>
    <col min="12559" max="12560" width="0" hidden="1" customWidth="1"/>
    <col min="12561" max="12562" width="9.08984375" customWidth="1"/>
    <col min="12801" max="12801" width="43.08984375" customWidth="1"/>
    <col min="12802" max="12802" width="19.36328125" customWidth="1"/>
    <col min="12803" max="12803" width="23.54296875" customWidth="1"/>
    <col min="12804" max="12804" width="15.54296875" customWidth="1"/>
    <col min="12805" max="12805" width="14.453125" customWidth="1"/>
    <col min="12806" max="12806" width="18.453125" customWidth="1"/>
    <col min="12807" max="12807" width="13.90625" customWidth="1"/>
    <col min="12808" max="12808" width="18.08984375" customWidth="1"/>
    <col min="12809" max="12809" width="21.36328125" customWidth="1"/>
    <col min="12810" max="12810" width="18.453125" customWidth="1"/>
    <col min="12811" max="12811" width="15.54296875" customWidth="1"/>
    <col min="12812" max="12813" width="15" customWidth="1"/>
    <col min="12814" max="12814" width="18.54296875" customWidth="1"/>
    <col min="12815" max="12816" width="0" hidden="1" customWidth="1"/>
    <col min="12817" max="12818" width="9.08984375" customWidth="1"/>
    <col min="13057" max="13057" width="43.08984375" customWidth="1"/>
    <col min="13058" max="13058" width="19.36328125" customWidth="1"/>
    <col min="13059" max="13059" width="23.54296875" customWidth="1"/>
    <col min="13060" max="13060" width="15.54296875" customWidth="1"/>
    <col min="13061" max="13061" width="14.453125" customWidth="1"/>
    <col min="13062" max="13062" width="18.453125" customWidth="1"/>
    <col min="13063" max="13063" width="13.90625" customWidth="1"/>
    <col min="13064" max="13064" width="18.08984375" customWidth="1"/>
    <col min="13065" max="13065" width="21.36328125" customWidth="1"/>
    <col min="13066" max="13066" width="18.453125" customWidth="1"/>
    <col min="13067" max="13067" width="15.54296875" customWidth="1"/>
    <col min="13068" max="13069" width="15" customWidth="1"/>
    <col min="13070" max="13070" width="18.54296875" customWidth="1"/>
    <col min="13071" max="13072" width="0" hidden="1" customWidth="1"/>
    <col min="13073" max="13074" width="9.08984375" customWidth="1"/>
    <col min="13313" max="13313" width="43.08984375" customWidth="1"/>
    <col min="13314" max="13314" width="19.36328125" customWidth="1"/>
    <col min="13315" max="13315" width="23.54296875" customWidth="1"/>
    <col min="13316" max="13316" width="15.54296875" customWidth="1"/>
    <col min="13317" max="13317" width="14.453125" customWidth="1"/>
    <col min="13318" max="13318" width="18.453125" customWidth="1"/>
    <col min="13319" max="13319" width="13.90625" customWidth="1"/>
    <col min="13320" max="13320" width="18.08984375" customWidth="1"/>
    <col min="13321" max="13321" width="21.36328125" customWidth="1"/>
    <col min="13322" max="13322" width="18.453125" customWidth="1"/>
    <col min="13323" max="13323" width="15.54296875" customWidth="1"/>
    <col min="13324" max="13325" width="15" customWidth="1"/>
    <col min="13326" max="13326" width="18.54296875" customWidth="1"/>
    <col min="13327" max="13328" width="0" hidden="1" customWidth="1"/>
    <col min="13329" max="13330" width="9.08984375" customWidth="1"/>
    <col min="13569" max="13569" width="43.08984375" customWidth="1"/>
    <col min="13570" max="13570" width="19.36328125" customWidth="1"/>
    <col min="13571" max="13571" width="23.54296875" customWidth="1"/>
    <col min="13572" max="13572" width="15.54296875" customWidth="1"/>
    <col min="13573" max="13573" width="14.453125" customWidth="1"/>
    <col min="13574" max="13574" width="18.453125" customWidth="1"/>
    <col min="13575" max="13575" width="13.90625" customWidth="1"/>
    <col min="13576" max="13576" width="18.08984375" customWidth="1"/>
    <col min="13577" max="13577" width="21.36328125" customWidth="1"/>
    <col min="13578" max="13578" width="18.453125" customWidth="1"/>
    <col min="13579" max="13579" width="15.54296875" customWidth="1"/>
    <col min="13580" max="13581" width="15" customWidth="1"/>
    <col min="13582" max="13582" width="18.54296875" customWidth="1"/>
    <col min="13583" max="13584" width="0" hidden="1" customWidth="1"/>
    <col min="13585" max="13586" width="9.08984375" customWidth="1"/>
    <col min="13825" max="13825" width="43.08984375" customWidth="1"/>
    <col min="13826" max="13826" width="19.36328125" customWidth="1"/>
    <col min="13827" max="13827" width="23.54296875" customWidth="1"/>
    <col min="13828" max="13828" width="15.54296875" customWidth="1"/>
    <col min="13829" max="13829" width="14.453125" customWidth="1"/>
    <col min="13830" max="13830" width="18.453125" customWidth="1"/>
    <col min="13831" max="13831" width="13.90625" customWidth="1"/>
    <col min="13832" max="13832" width="18.08984375" customWidth="1"/>
    <col min="13833" max="13833" width="21.36328125" customWidth="1"/>
    <col min="13834" max="13834" width="18.453125" customWidth="1"/>
    <col min="13835" max="13835" width="15.54296875" customWidth="1"/>
    <col min="13836" max="13837" width="15" customWidth="1"/>
    <col min="13838" max="13838" width="18.54296875" customWidth="1"/>
    <col min="13839" max="13840" width="0" hidden="1" customWidth="1"/>
    <col min="13841" max="13842" width="9.08984375" customWidth="1"/>
    <col min="14081" max="14081" width="43.08984375" customWidth="1"/>
    <col min="14082" max="14082" width="19.36328125" customWidth="1"/>
    <col min="14083" max="14083" width="23.54296875" customWidth="1"/>
    <col min="14084" max="14084" width="15.54296875" customWidth="1"/>
    <col min="14085" max="14085" width="14.453125" customWidth="1"/>
    <col min="14086" max="14086" width="18.453125" customWidth="1"/>
    <col min="14087" max="14087" width="13.90625" customWidth="1"/>
    <col min="14088" max="14088" width="18.08984375" customWidth="1"/>
    <col min="14089" max="14089" width="21.36328125" customWidth="1"/>
    <col min="14090" max="14090" width="18.453125" customWidth="1"/>
    <col min="14091" max="14091" width="15.54296875" customWidth="1"/>
    <col min="14092" max="14093" width="15" customWidth="1"/>
    <col min="14094" max="14094" width="18.54296875" customWidth="1"/>
    <col min="14095" max="14096" width="0" hidden="1" customWidth="1"/>
    <col min="14097" max="14098" width="9.08984375" customWidth="1"/>
    <col min="14337" max="14337" width="43.08984375" customWidth="1"/>
    <col min="14338" max="14338" width="19.36328125" customWidth="1"/>
    <col min="14339" max="14339" width="23.54296875" customWidth="1"/>
    <col min="14340" max="14340" width="15.54296875" customWidth="1"/>
    <col min="14341" max="14341" width="14.453125" customWidth="1"/>
    <col min="14342" max="14342" width="18.453125" customWidth="1"/>
    <col min="14343" max="14343" width="13.90625" customWidth="1"/>
    <col min="14344" max="14344" width="18.08984375" customWidth="1"/>
    <col min="14345" max="14345" width="21.36328125" customWidth="1"/>
    <col min="14346" max="14346" width="18.453125" customWidth="1"/>
    <col min="14347" max="14347" width="15.54296875" customWidth="1"/>
    <col min="14348" max="14349" width="15" customWidth="1"/>
    <col min="14350" max="14350" width="18.54296875" customWidth="1"/>
    <col min="14351" max="14352" width="0" hidden="1" customWidth="1"/>
    <col min="14353" max="14354" width="9.08984375" customWidth="1"/>
    <col min="14593" max="14593" width="43.08984375" customWidth="1"/>
    <col min="14594" max="14594" width="19.36328125" customWidth="1"/>
    <col min="14595" max="14595" width="23.54296875" customWidth="1"/>
    <col min="14596" max="14596" width="15.54296875" customWidth="1"/>
    <col min="14597" max="14597" width="14.453125" customWidth="1"/>
    <col min="14598" max="14598" width="18.453125" customWidth="1"/>
    <col min="14599" max="14599" width="13.90625" customWidth="1"/>
    <col min="14600" max="14600" width="18.08984375" customWidth="1"/>
    <col min="14601" max="14601" width="21.36328125" customWidth="1"/>
    <col min="14602" max="14602" width="18.453125" customWidth="1"/>
    <col min="14603" max="14603" width="15.54296875" customWidth="1"/>
    <col min="14604" max="14605" width="15" customWidth="1"/>
    <col min="14606" max="14606" width="18.54296875" customWidth="1"/>
    <col min="14607" max="14608" width="0" hidden="1" customWidth="1"/>
    <col min="14609" max="14610" width="9.08984375" customWidth="1"/>
    <col min="14849" max="14849" width="43.08984375" customWidth="1"/>
    <col min="14850" max="14850" width="19.36328125" customWidth="1"/>
    <col min="14851" max="14851" width="23.54296875" customWidth="1"/>
    <col min="14852" max="14852" width="15.54296875" customWidth="1"/>
    <col min="14853" max="14853" width="14.453125" customWidth="1"/>
    <col min="14854" max="14854" width="18.453125" customWidth="1"/>
    <col min="14855" max="14855" width="13.90625" customWidth="1"/>
    <col min="14856" max="14856" width="18.08984375" customWidth="1"/>
    <col min="14857" max="14857" width="21.36328125" customWidth="1"/>
    <col min="14858" max="14858" width="18.453125" customWidth="1"/>
    <col min="14859" max="14859" width="15.54296875" customWidth="1"/>
    <col min="14860" max="14861" width="15" customWidth="1"/>
    <col min="14862" max="14862" width="18.54296875" customWidth="1"/>
    <col min="14863" max="14864" width="0" hidden="1" customWidth="1"/>
    <col min="14865" max="14866" width="9.08984375" customWidth="1"/>
    <col min="15105" max="15105" width="43.08984375" customWidth="1"/>
    <col min="15106" max="15106" width="19.36328125" customWidth="1"/>
    <col min="15107" max="15107" width="23.54296875" customWidth="1"/>
    <col min="15108" max="15108" width="15.54296875" customWidth="1"/>
    <col min="15109" max="15109" width="14.453125" customWidth="1"/>
    <col min="15110" max="15110" width="18.453125" customWidth="1"/>
    <col min="15111" max="15111" width="13.90625" customWidth="1"/>
    <col min="15112" max="15112" width="18.08984375" customWidth="1"/>
    <col min="15113" max="15113" width="21.36328125" customWidth="1"/>
    <col min="15114" max="15114" width="18.453125" customWidth="1"/>
    <col min="15115" max="15115" width="15.54296875" customWidth="1"/>
    <col min="15116" max="15117" width="15" customWidth="1"/>
    <col min="15118" max="15118" width="18.54296875" customWidth="1"/>
    <col min="15119" max="15120" width="0" hidden="1" customWidth="1"/>
    <col min="15121" max="15122" width="9.08984375" customWidth="1"/>
    <col min="15361" max="15361" width="43.08984375" customWidth="1"/>
    <col min="15362" max="15362" width="19.36328125" customWidth="1"/>
    <col min="15363" max="15363" width="23.54296875" customWidth="1"/>
    <col min="15364" max="15364" width="15.54296875" customWidth="1"/>
    <col min="15365" max="15365" width="14.453125" customWidth="1"/>
    <col min="15366" max="15366" width="18.453125" customWidth="1"/>
    <col min="15367" max="15367" width="13.90625" customWidth="1"/>
    <col min="15368" max="15368" width="18.08984375" customWidth="1"/>
    <col min="15369" max="15369" width="21.36328125" customWidth="1"/>
    <col min="15370" max="15370" width="18.453125" customWidth="1"/>
    <col min="15371" max="15371" width="15.54296875" customWidth="1"/>
    <col min="15372" max="15373" width="15" customWidth="1"/>
    <col min="15374" max="15374" width="18.54296875" customWidth="1"/>
    <col min="15375" max="15376" width="0" hidden="1" customWidth="1"/>
    <col min="15377" max="15378" width="9.08984375" customWidth="1"/>
    <col min="15617" max="15617" width="43.08984375" customWidth="1"/>
    <col min="15618" max="15618" width="19.36328125" customWidth="1"/>
    <col min="15619" max="15619" width="23.54296875" customWidth="1"/>
    <col min="15620" max="15620" width="15.54296875" customWidth="1"/>
    <col min="15621" max="15621" width="14.453125" customWidth="1"/>
    <col min="15622" max="15622" width="18.453125" customWidth="1"/>
    <col min="15623" max="15623" width="13.90625" customWidth="1"/>
    <col min="15624" max="15624" width="18.08984375" customWidth="1"/>
    <col min="15625" max="15625" width="21.36328125" customWidth="1"/>
    <col min="15626" max="15626" width="18.453125" customWidth="1"/>
    <col min="15627" max="15627" width="15.54296875" customWidth="1"/>
    <col min="15628" max="15629" width="15" customWidth="1"/>
    <col min="15630" max="15630" width="18.54296875" customWidth="1"/>
    <col min="15631" max="15632" width="0" hidden="1" customWidth="1"/>
    <col min="15633" max="15634" width="9.08984375" customWidth="1"/>
    <col min="15873" max="15873" width="43.08984375" customWidth="1"/>
    <col min="15874" max="15874" width="19.36328125" customWidth="1"/>
    <col min="15875" max="15875" width="23.54296875" customWidth="1"/>
    <col min="15876" max="15876" width="15.54296875" customWidth="1"/>
    <col min="15877" max="15877" width="14.453125" customWidth="1"/>
    <col min="15878" max="15878" width="18.453125" customWidth="1"/>
    <col min="15879" max="15879" width="13.90625" customWidth="1"/>
    <col min="15880" max="15880" width="18.08984375" customWidth="1"/>
    <col min="15881" max="15881" width="21.36328125" customWidth="1"/>
    <col min="15882" max="15882" width="18.453125" customWidth="1"/>
    <col min="15883" max="15883" width="15.54296875" customWidth="1"/>
    <col min="15884" max="15885" width="15" customWidth="1"/>
    <col min="15886" max="15886" width="18.54296875" customWidth="1"/>
    <col min="15887" max="15888" width="0" hidden="1" customWidth="1"/>
    <col min="15889" max="15890" width="9.08984375" customWidth="1"/>
    <col min="16129" max="16129" width="43.08984375" customWidth="1"/>
    <col min="16130" max="16130" width="19.36328125" customWidth="1"/>
    <col min="16131" max="16131" width="23.54296875" customWidth="1"/>
    <col min="16132" max="16132" width="15.54296875" customWidth="1"/>
    <col min="16133" max="16133" width="14.453125" customWidth="1"/>
    <col min="16134" max="16134" width="18.453125" customWidth="1"/>
    <col min="16135" max="16135" width="13.90625" customWidth="1"/>
    <col min="16136" max="16136" width="18.08984375" customWidth="1"/>
    <col min="16137" max="16137" width="21.36328125" customWidth="1"/>
    <col min="16138" max="16138" width="18.453125" customWidth="1"/>
    <col min="16139" max="16139" width="15.54296875" customWidth="1"/>
    <col min="16140" max="16141" width="15" customWidth="1"/>
    <col min="16142" max="16142" width="18.54296875" customWidth="1"/>
    <col min="16143" max="16144" width="0" hidden="1" customWidth="1"/>
    <col min="16145" max="16146" width="9.08984375" customWidth="1"/>
  </cols>
  <sheetData>
    <row r="1" spans="1:63" ht="25">
      <c r="A1" s="47" t="s">
        <v>0</v>
      </c>
    </row>
    <row r="2" spans="1:63">
      <c r="A2" s="3"/>
      <c r="N2" s="4"/>
    </row>
    <row r="3" spans="1:63" ht="18">
      <c r="A3" s="5" t="s">
        <v>1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9" t="s">
        <v>2</v>
      </c>
    </row>
    <row r="4" spans="1:63" ht="20.149999999999999" customHeight="1">
      <c r="A4" s="50" t="s">
        <v>3</v>
      </c>
      <c r="B4" s="52" t="s">
        <v>4</v>
      </c>
      <c r="C4" s="53"/>
      <c r="D4" s="53"/>
      <c r="E4" s="53"/>
      <c r="F4" s="53"/>
      <c r="G4" s="53"/>
      <c r="H4" s="53"/>
      <c r="I4" s="53"/>
      <c r="J4" s="53"/>
      <c r="K4" s="53"/>
      <c r="L4" s="53"/>
      <c r="M4" s="54"/>
      <c r="N4" s="55" t="s">
        <v>5</v>
      </c>
    </row>
    <row r="5" spans="1:63" ht="54.75" customHeight="1">
      <c r="A5" s="51"/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  <c r="H5" s="6" t="s">
        <v>12</v>
      </c>
      <c r="I5" s="6" t="s">
        <v>13</v>
      </c>
      <c r="J5" s="6" t="s">
        <v>14</v>
      </c>
      <c r="K5" s="6" t="s">
        <v>15</v>
      </c>
      <c r="L5" s="6" t="s">
        <v>16</v>
      </c>
      <c r="M5" s="6" t="s">
        <v>17</v>
      </c>
      <c r="N5" s="56"/>
      <c r="O5" s="7"/>
      <c r="P5" s="8"/>
      <c r="Q5" s="8"/>
      <c r="R5" s="7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</row>
    <row r="6" spans="1:63" ht="24.9" customHeight="1">
      <c r="A6" s="10" t="s">
        <v>18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2"/>
      <c r="O6" s="13"/>
    </row>
    <row r="7" spans="1:63" s="20" customFormat="1" ht="24.9" customHeight="1">
      <c r="A7" s="14" t="s">
        <v>19</v>
      </c>
      <c r="B7" s="15">
        <v>63565</v>
      </c>
      <c r="C7" s="15">
        <v>99016</v>
      </c>
      <c r="D7" s="15">
        <v>277883</v>
      </c>
      <c r="E7" s="15">
        <v>41981</v>
      </c>
      <c r="F7" s="15">
        <v>48817</v>
      </c>
      <c r="G7" s="15">
        <v>48820</v>
      </c>
      <c r="H7" s="15">
        <v>37370</v>
      </c>
      <c r="I7" s="15">
        <v>218100</v>
      </c>
      <c r="J7" s="15">
        <v>463340</v>
      </c>
      <c r="K7" s="16">
        <v>80520</v>
      </c>
      <c r="L7" s="15">
        <v>635329</v>
      </c>
      <c r="M7" s="15">
        <v>665022</v>
      </c>
      <c r="N7" s="17">
        <f>SUM(B7:M7)</f>
        <v>2679763</v>
      </c>
      <c r="O7" s="18"/>
      <c r="P7" s="19"/>
      <c r="Q7" s="18"/>
      <c r="R7" s="18"/>
    </row>
    <row r="8" spans="1:63" ht="24.9" customHeight="1">
      <c r="A8" s="21" t="s">
        <v>20</v>
      </c>
      <c r="B8" s="22">
        <v>20303</v>
      </c>
      <c r="C8" s="22">
        <v>16539</v>
      </c>
      <c r="D8" s="22">
        <v>69643</v>
      </c>
      <c r="E8" s="22">
        <v>2372</v>
      </c>
      <c r="F8" s="22">
        <v>5395</v>
      </c>
      <c r="G8" s="22">
        <v>794</v>
      </c>
      <c r="H8" s="22">
        <v>1421</v>
      </c>
      <c r="I8" s="22">
        <v>29293</v>
      </c>
      <c r="J8" s="22">
        <v>5212</v>
      </c>
      <c r="K8" s="22">
        <v>5938</v>
      </c>
      <c r="L8" s="22">
        <v>56030</v>
      </c>
      <c r="M8" s="22">
        <v>58595</v>
      </c>
      <c r="N8" s="23">
        <f t="shared" ref="N8:N25" si="0">SUM(B8:M8)</f>
        <v>271535</v>
      </c>
      <c r="O8" s="13"/>
      <c r="P8" s="24"/>
      <c r="Q8" s="13"/>
      <c r="R8" s="13"/>
    </row>
    <row r="9" spans="1:63" ht="24.9" customHeight="1">
      <c r="A9" s="14" t="s">
        <v>21</v>
      </c>
      <c r="B9" s="15">
        <v>2982</v>
      </c>
      <c r="C9" s="15">
        <v>3916</v>
      </c>
      <c r="D9" s="15">
        <v>131</v>
      </c>
      <c r="E9" s="15">
        <v>365</v>
      </c>
      <c r="F9" s="15">
        <v>409</v>
      </c>
      <c r="G9" s="15">
        <v>58</v>
      </c>
      <c r="H9" s="15">
        <v>54</v>
      </c>
      <c r="I9" s="15">
        <v>15</v>
      </c>
      <c r="J9" s="15">
        <v>4998</v>
      </c>
      <c r="K9" s="15">
        <v>10</v>
      </c>
      <c r="L9" s="15">
        <v>3809</v>
      </c>
      <c r="M9" s="15">
        <v>1188</v>
      </c>
      <c r="N9" s="17">
        <f t="shared" si="0"/>
        <v>17935</v>
      </c>
      <c r="O9" s="13"/>
      <c r="P9" s="13"/>
      <c r="Q9" s="13"/>
      <c r="R9" s="13"/>
    </row>
    <row r="10" spans="1:63" ht="24.9" customHeight="1">
      <c r="A10" s="21" t="s">
        <v>22</v>
      </c>
      <c r="B10" s="22">
        <v>72</v>
      </c>
      <c r="C10" s="22">
        <v>885</v>
      </c>
      <c r="D10" s="22">
        <v>0</v>
      </c>
      <c r="E10" s="22">
        <v>230</v>
      </c>
      <c r="F10" s="22">
        <v>157</v>
      </c>
      <c r="G10" s="22">
        <v>1070</v>
      </c>
      <c r="H10" s="22">
        <v>160</v>
      </c>
      <c r="I10" s="22">
        <v>1986</v>
      </c>
      <c r="J10" s="22">
        <v>3579</v>
      </c>
      <c r="K10" s="22">
        <v>765</v>
      </c>
      <c r="L10" s="22">
        <v>4744</v>
      </c>
      <c r="M10" s="22">
        <v>1813</v>
      </c>
      <c r="N10" s="23">
        <f t="shared" si="0"/>
        <v>15461</v>
      </c>
      <c r="O10" s="13"/>
      <c r="P10" s="13"/>
      <c r="Q10" s="13"/>
      <c r="R10" s="13"/>
    </row>
    <row r="11" spans="1:63" ht="24.9" customHeight="1">
      <c r="A11" s="14" t="s">
        <v>23</v>
      </c>
      <c r="B11" s="15">
        <v>0</v>
      </c>
      <c r="C11" s="15">
        <v>0</v>
      </c>
      <c r="D11" s="15">
        <v>48</v>
      </c>
      <c r="E11" s="15">
        <v>6</v>
      </c>
      <c r="F11" s="15">
        <v>13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151</v>
      </c>
      <c r="M11" s="15">
        <v>17</v>
      </c>
      <c r="N11" s="17">
        <f t="shared" si="0"/>
        <v>235</v>
      </c>
      <c r="O11" s="13"/>
      <c r="P11" s="13"/>
      <c r="Q11" s="13"/>
      <c r="R11" s="13"/>
    </row>
    <row r="12" spans="1:63" ht="24.9" customHeight="1">
      <c r="A12" s="21" t="s">
        <v>24</v>
      </c>
      <c r="B12" s="22">
        <v>19</v>
      </c>
      <c r="C12" s="22">
        <v>261</v>
      </c>
      <c r="D12" s="22">
        <v>0</v>
      </c>
      <c r="E12" s="22">
        <v>0</v>
      </c>
      <c r="F12" s="22">
        <v>131</v>
      </c>
      <c r="G12" s="22">
        <v>0</v>
      </c>
      <c r="H12" s="22">
        <v>30</v>
      </c>
      <c r="I12" s="22">
        <v>55</v>
      </c>
      <c r="J12" s="22">
        <v>58</v>
      </c>
      <c r="K12" s="22">
        <v>215</v>
      </c>
      <c r="L12" s="22">
        <v>1773</v>
      </c>
      <c r="M12" s="22">
        <v>2010</v>
      </c>
      <c r="N12" s="23">
        <f t="shared" si="0"/>
        <v>4552</v>
      </c>
      <c r="O12" s="13"/>
      <c r="P12" s="13"/>
      <c r="Q12" s="13"/>
      <c r="R12" s="13"/>
    </row>
    <row r="13" spans="1:63" ht="24.9" customHeight="1">
      <c r="A13" s="14" t="s">
        <v>25</v>
      </c>
      <c r="B13" s="15">
        <v>248</v>
      </c>
      <c r="C13" s="15">
        <v>13</v>
      </c>
      <c r="D13" s="15">
        <v>0</v>
      </c>
      <c r="E13" s="15">
        <v>38</v>
      </c>
      <c r="F13" s="15">
        <v>0</v>
      </c>
      <c r="G13" s="15">
        <v>0</v>
      </c>
      <c r="H13" s="15">
        <v>0</v>
      </c>
      <c r="I13" s="15">
        <v>0</v>
      </c>
      <c r="J13" s="15">
        <v>55</v>
      </c>
      <c r="K13" s="15">
        <v>0</v>
      </c>
      <c r="L13" s="15">
        <v>83</v>
      </c>
      <c r="M13" s="15">
        <v>254</v>
      </c>
      <c r="N13" s="17">
        <f t="shared" si="0"/>
        <v>691</v>
      </c>
      <c r="O13" s="13"/>
      <c r="P13" s="13"/>
      <c r="Q13" s="13"/>
      <c r="R13" s="13"/>
    </row>
    <row r="14" spans="1:63" ht="24.9" customHeight="1">
      <c r="A14" s="21" t="s">
        <v>26</v>
      </c>
      <c r="B14" s="22">
        <v>0</v>
      </c>
      <c r="C14" s="22">
        <v>49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71</v>
      </c>
      <c r="J14" s="22">
        <v>0</v>
      </c>
      <c r="K14" s="22">
        <v>0</v>
      </c>
      <c r="L14" s="22">
        <v>38</v>
      </c>
      <c r="M14" s="22">
        <v>637</v>
      </c>
      <c r="N14" s="23">
        <f t="shared" si="0"/>
        <v>795</v>
      </c>
      <c r="O14" s="13"/>
      <c r="P14" s="13"/>
      <c r="Q14" s="13"/>
      <c r="R14" s="13"/>
    </row>
    <row r="15" spans="1:63" ht="24.9" customHeight="1">
      <c r="A15" s="14" t="s">
        <v>27</v>
      </c>
      <c r="B15" s="15">
        <v>16</v>
      </c>
      <c r="C15" s="15">
        <v>57</v>
      </c>
      <c r="D15" s="15">
        <v>0</v>
      </c>
      <c r="E15" s="15">
        <v>0</v>
      </c>
      <c r="F15" s="15">
        <v>0</v>
      </c>
      <c r="G15" s="15">
        <v>0</v>
      </c>
      <c r="H15" s="15">
        <v>7</v>
      </c>
      <c r="I15" s="15">
        <v>13</v>
      </c>
      <c r="J15" s="15">
        <v>221</v>
      </c>
      <c r="K15" s="15">
        <v>5965</v>
      </c>
      <c r="L15" s="15">
        <v>103</v>
      </c>
      <c r="M15" s="15">
        <v>1998</v>
      </c>
      <c r="N15" s="17">
        <f t="shared" si="0"/>
        <v>8380</v>
      </c>
      <c r="O15" s="13"/>
      <c r="P15" s="13"/>
      <c r="Q15" s="13"/>
      <c r="R15" s="13"/>
    </row>
    <row r="16" spans="1:63" ht="24.9" customHeight="1">
      <c r="A16" s="25" t="s">
        <v>28</v>
      </c>
      <c r="B16" s="22">
        <v>218</v>
      </c>
      <c r="C16" s="22">
        <v>191</v>
      </c>
      <c r="D16" s="22">
        <v>77</v>
      </c>
      <c r="E16" s="22">
        <v>27</v>
      </c>
      <c r="F16" s="22">
        <v>705</v>
      </c>
      <c r="G16" s="22">
        <v>79</v>
      </c>
      <c r="H16" s="22">
        <v>1</v>
      </c>
      <c r="I16" s="22">
        <v>26</v>
      </c>
      <c r="J16" s="22">
        <v>581</v>
      </c>
      <c r="K16" s="22">
        <v>27</v>
      </c>
      <c r="L16" s="22">
        <v>1604</v>
      </c>
      <c r="M16" s="22">
        <v>804</v>
      </c>
      <c r="N16" s="23">
        <f>SUM(B16:M16)</f>
        <v>4340</v>
      </c>
      <c r="O16" s="13"/>
      <c r="P16" s="13"/>
      <c r="Q16" s="13"/>
      <c r="R16" s="13"/>
    </row>
    <row r="17" spans="1:18" ht="24.9" customHeight="1">
      <c r="A17" s="14" t="s">
        <v>29</v>
      </c>
      <c r="B17" s="15">
        <v>65</v>
      </c>
      <c r="C17" s="15">
        <v>211</v>
      </c>
      <c r="D17" s="15">
        <v>144</v>
      </c>
      <c r="E17" s="15">
        <v>0</v>
      </c>
      <c r="F17" s="15">
        <v>775</v>
      </c>
      <c r="G17" s="15">
        <v>77</v>
      </c>
      <c r="H17" s="15">
        <v>383</v>
      </c>
      <c r="I17" s="15">
        <v>1388</v>
      </c>
      <c r="J17" s="15">
        <v>1490</v>
      </c>
      <c r="K17" s="15">
        <v>28682</v>
      </c>
      <c r="L17" s="15">
        <v>2462</v>
      </c>
      <c r="M17" s="15">
        <v>2037</v>
      </c>
      <c r="N17" s="17">
        <f t="shared" si="0"/>
        <v>37714</v>
      </c>
      <c r="O17" s="13"/>
      <c r="P17" s="13"/>
      <c r="Q17" s="13"/>
      <c r="R17" s="13"/>
    </row>
    <row r="18" spans="1:18" ht="24.9" customHeight="1">
      <c r="A18" s="25" t="s">
        <v>30</v>
      </c>
      <c r="B18" s="22">
        <v>549</v>
      </c>
      <c r="C18" s="22">
        <v>47</v>
      </c>
      <c r="D18" s="22">
        <v>4</v>
      </c>
      <c r="E18" s="22">
        <v>0</v>
      </c>
      <c r="F18" s="22">
        <v>1224</v>
      </c>
      <c r="G18" s="22">
        <v>0</v>
      </c>
      <c r="H18" s="22">
        <v>0</v>
      </c>
      <c r="I18" s="22">
        <v>958</v>
      </c>
      <c r="J18" s="22">
        <v>981</v>
      </c>
      <c r="K18" s="22">
        <v>34</v>
      </c>
      <c r="L18" s="22">
        <v>1718</v>
      </c>
      <c r="M18" s="22">
        <v>102</v>
      </c>
      <c r="N18" s="23">
        <f t="shared" si="0"/>
        <v>5617</v>
      </c>
      <c r="O18" s="13"/>
      <c r="P18" s="13"/>
      <c r="Q18" s="13"/>
      <c r="R18" s="13"/>
    </row>
    <row r="19" spans="1:18" ht="24.9" customHeight="1">
      <c r="A19" s="26" t="s">
        <v>31</v>
      </c>
      <c r="B19" s="15">
        <v>0</v>
      </c>
      <c r="C19" s="15">
        <v>8</v>
      </c>
      <c r="D19" s="15">
        <v>86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68</v>
      </c>
      <c r="M19" s="15">
        <v>189</v>
      </c>
      <c r="N19" s="17">
        <f t="shared" si="0"/>
        <v>351</v>
      </c>
      <c r="O19" s="13"/>
      <c r="P19" s="13"/>
      <c r="Q19" s="13"/>
      <c r="R19" s="13"/>
    </row>
    <row r="20" spans="1:18" s="20" customFormat="1" ht="24.9" customHeight="1">
      <c r="A20" s="27" t="s">
        <v>32</v>
      </c>
      <c r="B20" s="22">
        <v>9</v>
      </c>
      <c r="C20" s="22">
        <v>41</v>
      </c>
      <c r="D20" s="22">
        <v>57</v>
      </c>
      <c r="E20" s="22">
        <v>5</v>
      </c>
      <c r="F20" s="22">
        <v>0</v>
      </c>
      <c r="G20" s="22">
        <v>0</v>
      </c>
      <c r="H20" s="22">
        <v>0</v>
      </c>
      <c r="I20" s="22">
        <v>0</v>
      </c>
      <c r="J20" s="22">
        <v>2</v>
      </c>
      <c r="K20" s="22">
        <v>0</v>
      </c>
      <c r="L20" s="22">
        <v>792</v>
      </c>
      <c r="M20" s="22">
        <v>1218</v>
      </c>
      <c r="N20" s="23">
        <f t="shared" si="0"/>
        <v>2124</v>
      </c>
      <c r="O20" s="18"/>
      <c r="P20" s="18"/>
      <c r="Q20" s="18"/>
      <c r="R20" s="18"/>
    </row>
    <row r="21" spans="1:18" ht="24.9" customHeight="1">
      <c r="A21" s="14" t="s">
        <v>33</v>
      </c>
      <c r="B21" s="15">
        <v>0</v>
      </c>
      <c r="C21" s="15">
        <v>0</v>
      </c>
      <c r="D21" s="15">
        <v>0</v>
      </c>
      <c r="E21" s="15">
        <v>13</v>
      </c>
      <c r="F21" s="15">
        <v>0</v>
      </c>
      <c r="G21" s="15">
        <v>131</v>
      </c>
      <c r="H21" s="15">
        <v>0</v>
      </c>
      <c r="I21" s="15">
        <v>3</v>
      </c>
      <c r="J21" s="15">
        <v>0</v>
      </c>
      <c r="K21" s="15">
        <v>0</v>
      </c>
      <c r="L21" s="15">
        <v>0</v>
      </c>
      <c r="M21" s="15">
        <v>398</v>
      </c>
      <c r="N21" s="17">
        <f t="shared" si="0"/>
        <v>545</v>
      </c>
      <c r="O21" s="13"/>
      <c r="P21" s="13"/>
      <c r="Q21" s="13"/>
      <c r="R21" s="13"/>
    </row>
    <row r="22" spans="1:18" s="20" customFormat="1" ht="24.9" customHeight="1">
      <c r="A22" s="28" t="s">
        <v>34</v>
      </c>
      <c r="B22" s="22">
        <v>84</v>
      </c>
      <c r="C22" s="22">
        <v>718</v>
      </c>
      <c r="D22" s="22">
        <v>1474</v>
      </c>
      <c r="E22" s="22">
        <v>425</v>
      </c>
      <c r="F22" s="22">
        <v>3898</v>
      </c>
      <c r="G22" s="22">
        <v>57</v>
      </c>
      <c r="H22" s="22">
        <v>371</v>
      </c>
      <c r="I22" s="22">
        <v>1237</v>
      </c>
      <c r="J22" s="22">
        <v>3594</v>
      </c>
      <c r="K22" s="22">
        <v>121798</v>
      </c>
      <c r="L22" s="22">
        <v>21018</v>
      </c>
      <c r="M22" s="22">
        <v>7944</v>
      </c>
      <c r="N22" s="23">
        <f t="shared" si="0"/>
        <v>162618</v>
      </c>
      <c r="O22" s="18"/>
      <c r="P22" s="18"/>
      <c r="Q22" s="18"/>
      <c r="R22" s="18"/>
    </row>
    <row r="23" spans="1:18" ht="24.9" customHeight="1">
      <c r="A23" s="29" t="s">
        <v>35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383</v>
      </c>
      <c r="L23" s="15">
        <v>0</v>
      </c>
      <c r="M23" s="15">
        <v>0</v>
      </c>
      <c r="N23" s="17">
        <f t="shared" si="0"/>
        <v>383</v>
      </c>
      <c r="O23" s="13"/>
      <c r="P23" s="13"/>
      <c r="Q23" s="13"/>
      <c r="R23" s="13"/>
    </row>
    <row r="24" spans="1:18" s="20" customFormat="1" ht="24.9" customHeight="1">
      <c r="A24" s="28" t="s">
        <v>36</v>
      </c>
      <c r="B24" s="22">
        <v>0</v>
      </c>
      <c r="C24" s="22">
        <v>0</v>
      </c>
      <c r="D24" s="22">
        <v>158</v>
      </c>
      <c r="E24" s="22">
        <v>0</v>
      </c>
      <c r="F24" s="22">
        <v>0</v>
      </c>
      <c r="G24" s="22">
        <v>605</v>
      </c>
      <c r="H24" s="22">
        <v>197</v>
      </c>
      <c r="I24" s="22">
        <v>12687</v>
      </c>
      <c r="J24" s="22">
        <v>0</v>
      </c>
      <c r="K24" s="22">
        <v>0</v>
      </c>
      <c r="L24" s="22">
        <v>1419</v>
      </c>
      <c r="M24" s="22">
        <v>849</v>
      </c>
      <c r="N24" s="23">
        <f t="shared" si="0"/>
        <v>15915</v>
      </c>
      <c r="O24" s="18"/>
      <c r="P24" s="18"/>
      <c r="Q24" s="18"/>
      <c r="R24" s="18"/>
    </row>
    <row r="25" spans="1:18" ht="24.9" customHeight="1">
      <c r="A25" s="30" t="s">
        <v>37</v>
      </c>
      <c r="B25" s="15">
        <v>26940</v>
      </c>
      <c r="C25" s="15">
        <v>10352</v>
      </c>
      <c r="D25" s="15">
        <v>70422</v>
      </c>
      <c r="E25" s="15">
        <v>5708</v>
      </c>
      <c r="F25" s="15">
        <v>3036</v>
      </c>
      <c r="G25" s="15">
        <v>5455</v>
      </c>
      <c r="H25" s="15">
        <v>3987</v>
      </c>
      <c r="I25" s="15">
        <v>58062</v>
      </c>
      <c r="J25" s="15">
        <v>28455</v>
      </c>
      <c r="K25" s="15">
        <v>4054</v>
      </c>
      <c r="L25" s="15">
        <v>252010</v>
      </c>
      <c r="M25" s="15">
        <v>95422</v>
      </c>
      <c r="N25" s="17">
        <f t="shared" si="0"/>
        <v>563903</v>
      </c>
      <c r="O25" s="13"/>
      <c r="P25" s="13"/>
      <c r="Q25" s="13"/>
      <c r="R25" s="13"/>
    </row>
    <row r="26" spans="1:18" ht="30" customHeight="1">
      <c r="A26" s="57" t="s">
        <v>5</v>
      </c>
      <c r="B26" s="31">
        <f>SUM(B6:B25)</f>
        <v>115070</v>
      </c>
      <c r="C26" s="31">
        <f t="shared" ref="C26:N26" si="1">SUM(C6:C25)</f>
        <v>132304</v>
      </c>
      <c r="D26" s="31">
        <f t="shared" si="1"/>
        <v>420127</v>
      </c>
      <c r="E26" s="31">
        <f t="shared" si="1"/>
        <v>51170</v>
      </c>
      <c r="F26" s="31">
        <f t="shared" si="1"/>
        <v>64560</v>
      </c>
      <c r="G26" s="31">
        <f t="shared" si="1"/>
        <v>57146</v>
      </c>
      <c r="H26" s="31">
        <f t="shared" si="1"/>
        <v>43981</v>
      </c>
      <c r="I26" s="31">
        <f t="shared" si="1"/>
        <v>323894</v>
      </c>
      <c r="J26" s="31">
        <f t="shared" si="1"/>
        <v>512566</v>
      </c>
      <c r="K26" s="31">
        <f t="shared" si="1"/>
        <v>248391</v>
      </c>
      <c r="L26" s="31">
        <f t="shared" si="1"/>
        <v>983151</v>
      </c>
      <c r="M26" s="31">
        <f>SUM(M6:M25)</f>
        <v>840497</v>
      </c>
      <c r="N26" s="31">
        <f t="shared" si="1"/>
        <v>3792857</v>
      </c>
      <c r="O26" s="32"/>
      <c r="P26" s="33">
        <f>N26-L26-M26</f>
        <v>1969209</v>
      </c>
    </row>
    <row r="27" spans="1:18" ht="30" customHeight="1">
      <c r="A27" s="58" t="s">
        <v>38</v>
      </c>
      <c r="B27" s="35">
        <f t="shared" ref="B27:P27" si="2">(B26-B30)</f>
        <v>27623</v>
      </c>
      <c r="C27" s="35">
        <f t="shared" si="2"/>
        <v>10993</v>
      </c>
      <c r="D27" s="35">
        <f t="shared" si="2"/>
        <v>43437</v>
      </c>
      <c r="E27" s="35">
        <f t="shared" si="2"/>
        <v>-4855</v>
      </c>
      <c r="F27" s="35">
        <f t="shared" si="2"/>
        <v>-18243</v>
      </c>
      <c r="G27" s="35">
        <f t="shared" si="2"/>
        <v>-5992</v>
      </c>
      <c r="H27" s="35">
        <f t="shared" si="2"/>
        <v>-7805</v>
      </c>
      <c r="I27" s="35">
        <f t="shared" si="2"/>
        <v>2599</v>
      </c>
      <c r="J27" s="35">
        <f t="shared" si="2"/>
        <v>46528</v>
      </c>
      <c r="K27" s="35">
        <f t="shared" si="2"/>
        <v>10221</v>
      </c>
      <c r="L27" s="35">
        <f t="shared" si="2"/>
        <v>88507</v>
      </c>
      <c r="M27" s="35">
        <f t="shared" si="2"/>
        <v>-124882</v>
      </c>
      <c r="N27" s="35">
        <f t="shared" si="2"/>
        <v>68131</v>
      </c>
      <c r="P27" s="35">
        <f t="shared" si="2"/>
        <v>104506</v>
      </c>
    </row>
    <row r="28" spans="1:18" ht="30" customHeight="1">
      <c r="A28" s="58" t="s">
        <v>39</v>
      </c>
      <c r="B28" s="36">
        <f t="shared" ref="B28:N28" si="3">(B26-B30)/ABS(B30)</f>
        <v>0.31588276327375436</v>
      </c>
      <c r="C28" s="36">
        <f t="shared" si="3"/>
        <v>9.0618328098853354E-2</v>
      </c>
      <c r="D28" s="36">
        <f t="shared" si="3"/>
        <v>0.11531232578512836</v>
      </c>
      <c r="E28" s="36">
        <f t="shared" si="3"/>
        <v>-8.6657742079428821E-2</v>
      </c>
      <c r="F28" s="36">
        <f t="shared" si="3"/>
        <v>-0.22031810441650665</v>
      </c>
      <c r="G28" s="36">
        <f t="shared" si="3"/>
        <v>-9.4903227850106117E-2</v>
      </c>
      <c r="H28" s="36">
        <f t="shared" si="3"/>
        <v>-0.15071640984049745</v>
      </c>
      <c r="I28" s="36">
        <f t="shared" si="3"/>
        <v>8.0891392645388201E-3</v>
      </c>
      <c r="J28" s="36">
        <f t="shared" si="3"/>
        <v>9.9837352318909611E-2</v>
      </c>
      <c r="K28" s="36">
        <f t="shared" si="3"/>
        <v>4.2914724776420207E-2</v>
      </c>
      <c r="L28" s="36">
        <f t="shared" si="3"/>
        <v>9.8929853662462389E-2</v>
      </c>
      <c r="M28" s="36">
        <f t="shared" si="3"/>
        <v>-0.12936059309348971</v>
      </c>
      <c r="N28" s="36">
        <f t="shared" si="3"/>
        <v>1.8291546814450246E-2</v>
      </c>
      <c r="P28" s="36">
        <f>(P26-P30)/ABS(P30)</f>
        <v>5.6044313759349346E-2</v>
      </c>
    </row>
    <row r="29" spans="1:18" ht="30" customHeight="1">
      <c r="A29" s="58" t="s">
        <v>40</v>
      </c>
      <c r="B29" s="37">
        <f>B26/$N26</f>
        <v>3.0338607545710265E-2</v>
      </c>
      <c r="C29" s="37">
        <f t="shared" ref="C29:N29" si="4">C26/$N26</f>
        <v>3.4882411859977848E-2</v>
      </c>
      <c r="D29" s="37">
        <f t="shared" si="4"/>
        <v>0.11076795144135411</v>
      </c>
      <c r="E29" s="37">
        <f t="shared" si="4"/>
        <v>1.3491149284035754E-2</v>
      </c>
      <c r="F29" s="37">
        <f t="shared" si="4"/>
        <v>1.7021469567663636E-2</v>
      </c>
      <c r="G29" s="37">
        <f t="shared" si="4"/>
        <v>1.5066742563719118E-2</v>
      </c>
      <c r="H29" s="37">
        <f t="shared" si="4"/>
        <v>1.1595744316223891E-2</v>
      </c>
      <c r="I29" s="37">
        <f t="shared" si="4"/>
        <v>8.5395784760669863E-2</v>
      </c>
      <c r="J29" s="37">
        <f t="shared" si="4"/>
        <v>0.13513981676609479</v>
      </c>
      <c r="K29" s="37">
        <f t="shared" si="4"/>
        <v>6.5489155009007718E-2</v>
      </c>
      <c r="L29" s="37">
        <f t="shared" si="4"/>
        <v>0.25921119620381156</v>
      </c>
      <c r="M29" s="37">
        <f t="shared" si="4"/>
        <v>0.22159997068173148</v>
      </c>
      <c r="N29" s="37">
        <f t="shared" si="4"/>
        <v>1</v>
      </c>
      <c r="P29" s="38">
        <f>P26/$N26</f>
        <v>0.51918883311445696</v>
      </c>
      <c r="Q29" s="1"/>
    </row>
    <row r="30" spans="1:18" ht="30" customHeight="1">
      <c r="A30" s="59" t="s">
        <v>41</v>
      </c>
      <c r="B30" s="39">
        <v>87447</v>
      </c>
      <c r="C30" s="40">
        <v>121311</v>
      </c>
      <c r="D30" s="40">
        <v>376690</v>
      </c>
      <c r="E30" s="40">
        <v>56025</v>
      </c>
      <c r="F30" s="40">
        <v>82803</v>
      </c>
      <c r="G30" s="40">
        <v>63138</v>
      </c>
      <c r="H30" s="40">
        <v>51786</v>
      </c>
      <c r="I30" s="40">
        <v>321295</v>
      </c>
      <c r="J30" s="40">
        <v>466038</v>
      </c>
      <c r="K30" s="40">
        <v>238170</v>
      </c>
      <c r="L30" s="40">
        <v>894644</v>
      </c>
      <c r="M30" s="40">
        <v>965379</v>
      </c>
      <c r="N30" s="40">
        <v>3724726</v>
      </c>
      <c r="P30" s="33">
        <f>N30-L30-M30</f>
        <v>1864703</v>
      </c>
      <c r="Q30" s="1"/>
    </row>
    <row r="31" spans="1:18" ht="13">
      <c r="D31" s="41"/>
      <c r="K31" s="42"/>
      <c r="N31" s="41"/>
      <c r="P31" s="1"/>
      <c r="Q31" s="1"/>
    </row>
    <row r="32" spans="1:18" ht="13" hidden="1">
      <c r="D32" s="43">
        <f>(D7+D8+D25)/D26</f>
        <v>0.9948134730688577</v>
      </c>
      <c r="J32" s="1" t="s">
        <v>42</v>
      </c>
      <c r="K32" s="44">
        <f>1-L29-M29</f>
        <v>0.51918883311445696</v>
      </c>
      <c r="N32" s="43"/>
      <c r="P32" s="1"/>
      <c r="Q32" s="1"/>
    </row>
    <row r="33" spans="1:17" ht="13" hidden="1">
      <c r="K33" s="45"/>
      <c r="P33" s="1"/>
      <c r="Q33" s="1"/>
    </row>
    <row r="34" spans="1:17" ht="12.5" hidden="1">
      <c r="A34" t="s">
        <v>43</v>
      </c>
      <c r="B34" s="1" t="b">
        <f>(B27*B36)&gt;0</f>
        <v>0</v>
      </c>
      <c r="C34" s="1" t="b">
        <f t="shared" ref="C34:J34" si="5">(C27*C36)&gt;0</f>
        <v>1</v>
      </c>
      <c r="D34" s="1" t="b">
        <f t="shared" si="5"/>
        <v>0</v>
      </c>
      <c r="E34" s="1" t="b">
        <f t="shared" si="5"/>
        <v>0</v>
      </c>
      <c r="F34" s="1" t="b">
        <f t="shared" si="5"/>
        <v>1</v>
      </c>
      <c r="G34" s="1" t="b">
        <f t="shared" si="5"/>
        <v>0</v>
      </c>
      <c r="H34" s="1" t="b">
        <f t="shared" si="5"/>
        <v>1</v>
      </c>
      <c r="I34" s="1" t="b">
        <f t="shared" si="5"/>
        <v>0</v>
      </c>
      <c r="J34" s="1" t="b">
        <f t="shared" si="5"/>
        <v>1</v>
      </c>
      <c r="K34" s="1" t="b">
        <f>(K27*K36)&gt;0</f>
        <v>1</v>
      </c>
      <c r="P34" s="1"/>
      <c r="Q34" s="1"/>
    </row>
    <row r="35" spans="1:17" ht="52.5" hidden="1">
      <c r="B35" s="6" t="s">
        <v>6</v>
      </c>
      <c r="C35" s="6" t="s">
        <v>7</v>
      </c>
      <c r="D35" s="6" t="s">
        <v>8</v>
      </c>
      <c r="E35" s="6" t="s">
        <v>9</v>
      </c>
      <c r="F35" s="6" t="s">
        <v>10</v>
      </c>
      <c r="G35" s="6" t="s">
        <v>11</v>
      </c>
      <c r="H35" s="6" t="s">
        <v>12</v>
      </c>
      <c r="I35" s="6" t="s">
        <v>13</v>
      </c>
      <c r="J35" s="6" t="s">
        <v>14</v>
      </c>
      <c r="K35" s="6" t="s">
        <v>15</v>
      </c>
      <c r="L35" s="6" t="s">
        <v>16</v>
      </c>
      <c r="M35" s="6" t="s">
        <v>17</v>
      </c>
      <c r="P35" s="1"/>
      <c r="Q35" s="1"/>
    </row>
    <row r="36" spans="1:17" ht="17.5" hidden="1">
      <c r="A36" s="34" t="s">
        <v>44</v>
      </c>
      <c r="B36" s="35">
        <v>-5985</v>
      </c>
      <c r="C36" s="35">
        <v>7873</v>
      </c>
      <c r="D36" s="35">
        <v>-44209</v>
      </c>
      <c r="E36" s="35">
        <v>9147</v>
      </c>
      <c r="F36" s="35">
        <v>-118145</v>
      </c>
      <c r="G36" s="35">
        <v>11735</v>
      </c>
      <c r="H36" s="35">
        <v>-23705</v>
      </c>
      <c r="I36" s="35">
        <v>-9790</v>
      </c>
      <c r="J36" s="35">
        <v>22561</v>
      </c>
      <c r="K36" s="35">
        <v>20424</v>
      </c>
      <c r="L36" s="35">
        <v>1349</v>
      </c>
      <c r="M36" s="35">
        <v>92205</v>
      </c>
      <c r="P36" s="1"/>
      <c r="Q36" s="1"/>
    </row>
    <row r="37" spans="1:17" ht="12.5">
      <c r="P37" s="1"/>
      <c r="Q37" s="1"/>
    </row>
    <row r="38" spans="1:17" ht="12.5">
      <c r="P38" s="1"/>
      <c r="Q38" s="1"/>
    </row>
    <row r="39" spans="1:17" ht="12.5">
      <c r="P39" s="1"/>
      <c r="Q39" s="1"/>
    </row>
    <row r="40" spans="1:17" ht="12.5">
      <c r="P40" s="1"/>
      <c r="Q40" s="1"/>
    </row>
    <row r="41" spans="1:17" ht="12.5">
      <c r="P41" s="1"/>
      <c r="Q41" s="1"/>
    </row>
    <row r="42" spans="1:17" ht="12.5">
      <c r="P42" s="1"/>
      <c r="Q42" s="1"/>
    </row>
    <row r="43" spans="1:17" ht="12.5">
      <c r="P43" s="1"/>
      <c r="Q43" s="1"/>
    </row>
    <row r="44" spans="1:17" ht="12.5">
      <c r="P44" s="1"/>
      <c r="Q44" s="1"/>
    </row>
    <row r="66" spans="12:12">
      <c r="L66" s="46"/>
    </row>
  </sheetData>
  <mergeCells count="1">
    <mergeCell ref="B4:M4"/>
  </mergeCells>
  <phoneticPr fontId="3" type="noConversion"/>
  <printOptions horizontalCentered="1" verticalCentered="1" gridLinesSet="0"/>
  <pageMargins left="0.7" right="0.7" top="1" bottom="1" header="0.5" footer="0.5"/>
  <pageSetup paperSize="9" scale="49" orientation="landscape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79501</cp:lastModifiedBy>
  <dcterms:created xsi:type="dcterms:W3CDTF">2024-11-20T08:27:31Z</dcterms:created>
  <dcterms:modified xsi:type="dcterms:W3CDTF">2026-01-22T03:29:56Z</dcterms:modified>
</cp:coreProperties>
</file>