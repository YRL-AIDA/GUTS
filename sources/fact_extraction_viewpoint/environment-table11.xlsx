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pecial levies forecast 2022-23" sheetId="1" r:id="rId1"/>
  </sheets>
  <externalReferences>
    <externalReference r:id="rId2"/>
  </externalReferences>
  <definedNames>
    <definedName name="_xlnm.Print_Area" localSheetId="0">'[1]Total summary'!#REF!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5" i="1" l="1"/>
  <c r="D465" i="1"/>
  <c r="B465" i="1"/>
  <c r="A465" i="1"/>
  <c r="E464" i="1"/>
  <c r="E461" i="1"/>
  <c r="E457" i="1"/>
  <c r="E452" i="1"/>
  <c r="E448" i="1"/>
  <c r="E444" i="1"/>
  <c r="E438" i="1"/>
  <c r="E430" i="1"/>
  <c r="E426" i="1"/>
  <c r="E422" i="1"/>
  <c r="E419" i="1"/>
  <c r="E415" i="1"/>
  <c r="E411" i="1"/>
  <c r="E404" i="1"/>
  <c r="E394" i="1"/>
  <c r="E385" i="1"/>
  <c r="E382" i="1"/>
  <c r="E379" i="1"/>
  <c r="E374" i="1"/>
  <c r="E370" i="1"/>
  <c r="E365" i="1"/>
  <c r="E362" i="1"/>
  <c r="E359" i="1"/>
  <c r="E355" i="1"/>
  <c r="E352" i="1"/>
  <c r="E349" i="1"/>
  <c r="E345" i="1"/>
  <c r="E342" i="1"/>
  <c r="E338" i="1"/>
  <c r="E335" i="1"/>
  <c r="E330" i="1"/>
  <c r="E323" i="1"/>
  <c r="E320" i="1"/>
  <c r="E315" i="1"/>
  <c r="E312" i="1"/>
  <c r="E309" i="1"/>
  <c r="E306" i="1"/>
  <c r="E303" i="1"/>
  <c r="E300" i="1"/>
  <c r="E297" i="1"/>
  <c r="E294" i="1"/>
  <c r="E291" i="1"/>
  <c r="E285" i="1"/>
  <c r="E279" i="1"/>
  <c r="E276" i="1"/>
  <c r="E273" i="1"/>
  <c r="E270" i="1"/>
  <c r="E266" i="1"/>
  <c r="E263" i="1"/>
  <c r="E260" i="1"/>
  <c r="E257" i="1"/>
  <c r="E252" i="1"/>
  <c r="E248" i="1"/>
  <c r="E243" i="1"/>
  <c r="E235" i="1"/>
  <c r="E232" i="1"/>
  <c r="E229" i="1"/>
  <c r="E225" i="1"/>
  <c r="E222" i="1"/>
  <c r="E217" i="1"/>
  <c r="E214" i="1"/>
  <c r="E211" i="1"/>
  <c r="E208" i="1"/>
  <c r="E205" i="1"/>
  <c r="E202" i="1"/>
  <c r="E199" i="1"/>
  <c r="E196" i="1"/>
  <c r="E192" i="1"/>
  <c r="E182" i="1"/>
  <c r="E176" i="1"/>
  <c r="E172" i="1"/>
  <c r="E168" i="1"/>
  <c r="E165" i="1"/>
  <c r="E161" i="1"/>
  <c r="E156" i="1"/>
  <c r="E152" i="1"/>
  <c r="E148" i="1"/>
  <c r="E145" i="1"/>
  <c r="E142" i="1"/>
  <c r="E139" i="1"/>
  <c r="E136" i="1"/>
  <c r="E130" i="1"/>
  <c r="E127" i="1"/>
  <c r="E124" i="1"/>
  <c r="E121" i="1"/>
  <c r="E115" i="1"/>
  <c r="E112" i="1"/>
  <c r="E109" i="1"/>
  <c r="E106" i="1"/>
  <c r="E101" i="1"/>
  <c r="E98" i="1"/>
  <c r="E90" i="1"/>
  <c r="E87" i="1"/>
  <c r="E84" i="1"/>
  <c r="E81" i="1"/>
  <c r="E78" i="1"/>
  <c r="E75" i="1"/>
  <c r="E71" i="1"/>
  <c r="E64" i="1"/>
  <c r="E58" i="1"/>
  <c r="E55" i="1"/>
  <c r="E52" i="1"/>
  <c r="E46" i="1"/>
  <c r="E42" i="1"/>
  <c r="E39" i="1"/>
  <c r="E35" i="1"/>
  <c r="E29" i="1"/>
  <c r="E23" i="1"/>
  <c r="E18" i="1"/>
  <c r="E14" i="1"/>
  <c r="E11" i="1"/>
  <c r="E7" i="1"/>
</calcChain>
</file>

<file path=xl/sharedStrings.xml><?xml version="1.0" encoding="utf-8"?>
<sst xmlns="http://schemas.openxmlformats.org/spreadsheetml/2006/main" count="471" uniqueCount="232">
  <si>
    <t>Date Rec'd</t>
  </si>
  <si>
    <t>IDB</t>
  </si>
  <si>
    <t>Name of local Authority</t>
  </si>
  <si>
    <t>Forecast</t>
  </si>
  <si>
    <t>Total</t>
  </si>
  <si>
    <t>Notes</t>
  </si>
  <si>
    <t>Update by</t>
  </si>
  <si>
    <t>Ainsty</t>
  </si>
  <si>
    <t>Harrogate Borough Council</t>
  </si>
  <si>
    <t>Leeds City Council</t>
  </si>
  <si>
    <t>Selby District Council</t>
  </si>
  <si>
    <t>JB</t>
  </si>
  <si>
    <t>City of York Council</t>
  </si>
  <si>
    <t>Airedale Drainage Commissioners</t>
  </si>
  <si>
    <t>Bradford Metropolitan Council</t>
  </si>
  <si>
    <t>Craven District Council</t>
  </si>
  <si>
    <t>Alconbury and Ellington</t>
  </si>
  <si>
    <t>Huntingdonshire District Council</t>
  </si>
  <si>
    <t>Ancholme Internal Drainage Board</t>
  </si>
  <si>
    <t>North Lincolnshire District Council</t>
  </si>
  <si>
    <t>West Lindsey District Council</t>
  </si>
  <si>
    <t>Axe Brue</t>
  </si>
  <si>
    <t>Mendip District Council</t>
  </si>
  <si>
    <t>North Somerset Unitary Authority</t>
  </si>
  <si>
    <t>Sedgemoor District Council</t>
  </si>
  <si>
    <t>Axeholme &amp; North Notts</t>
  </si>
  <si>
    <t>North Lincolnshire Council</t>
  </si>
  <si>
    <t>Bassetlaw District Council</t>
  </si>
  <si>
    <t>Doncaster Metropolitan Borough Council</t>
  </si>
  <si>
    <t>East Riding of Yorkshire Council</t>
  </si>
  <si>
    <t>Bedfordshire and River Ivel</t>
  </si>
  <si>
    <t>Bedford Borough Council</t>
  </si>
  <si>
    <t>Central Bedfordshire Council</t>
  </si>
  <si>
    <t>North Herts District Council</t>
  </si>
  <si>
    <t>South Cambs District Council</t>
  </si>
  <si>
    <t>Benwick</t>
  </si>
  <si>
    <t>Fenland District Council</t>
  </si>
  <si>
    <t>Beverley and North Holderness</t>
  </si>
  <si>
    <t>Black Drain Drainage Board</t>
  </si>
  <si>
    <t>Black Sluice</t>
  </si>
  <si>
    <t>Boston Borough Council</t>
  </si>
  <si>
    <t>South Holland District Council</t>
  </si>
  <si>
    <t>North Kesteven District Council</t>
  </si>
  <si>
    <t>South Kesteven District Council</t>
  </si>
  <si>
    <t>Bluntisham</t>
  </si>
  <si>
    <t>Braunton Marsh</t>
  </si>
  <si>
    <t>North Devon Council</t>
  </si>
  <si>
    <t>Broads</t>
  </si>
  <si>
    <t>Broadland District Council</t>
  </si>
  <si>
    <t>Great Yarmouth Borough Council</t>
  </si>
  <si>
    <t>North Norfolk District Council</t>
  </si>
  <si>
    <t>South Norfolk</t>
  </si>
  <si>
    <t>Buckingham and River Ouzel</t>
  </si>
  <si>
    <t>Buckinghamshire CC</t>
  </si>
  <si>
    <t>Cherwell District Council</t>
  </si>
  <si>
    <t>Milton Keynes Council</t>
  </si>
  <si>
    <t>South Northamptonshire Council</t>
  </si>
  <si>
    <t>Burnt Fen</t>
  </si>
  <si>
    <t>West Suffolk Council</t>
  </si>
  <si>
    <t>East Cambridgeshire District Council</t>
  </si>
  <si>
    <t>Cawdle Fen</t>
  </si>
  <si>
    <t>Churchfield and Plawfield</t>
  </si>
  <si>
    <t>Kings Lynn &amp; West Norfolk DC</t>
  </si>
  <si>
    <t>Connington &amp; Holme</t>
  </si>
  <si>
    <t>Cowick and Snaith</t>
  </si>
  <si>
    <t>Curf and Wimblington Combined</t>
  </si>
  <si>
    <t>Danvm Drainage Commissioners</t>
  </si>
  <si>
    <t>Wakefield Metropolitan District Council</t>
  </si>
  <si>
    <t>Barnsley Metropolitan Borough Council</t>
  </si>
  <si>
    <t>Rotherham Metropolitan Borough Council</t>
  </si>
  <si>
    <t xml:space="preserve">Dempster </t>
  </si>
  <si>
    <t>Doncaster East</t>
  </si>
  <si>
    <t>Downham &amp; Stow Bardolph</t>
  </si>
  <si>
    <t>Borough council of king's Lynn and West Norfolk</t>
  </si>
  <si>
    <t>Earby &amp; Salterforth</t>
  </si>
  <si>
    <t>Pendle</t>
  </si>
  <si>
    <t>East Harling</t>
  </si>
  <si>
    <t>Breckland Council</t>
  </si>
  <si>
    <t>East Suffolk</t>
  </si>
  <si>
    <t>Babergh District Council</t>
  </si>
  <si>
    <t>Ipswich Borough Council</t>
  </si>
  <si>
    <t>Mid-Suffolk District Council</t>
  </si>
  <si>
    <t>East Suffolk Council</t>
  </si>
  <si>
    <t>East of the Ouse, Polver and Nar</t>
  </si>
  <si>
    <t>Borough of Kings Lynn &amp; West Norfolk</t>
  </si>
  <si>
    <t>Euixmoor</t>
  </si>
  <si>
    <t>Feldale</t>
  </si>
  <si>
    <t>Foss</t>
  </si>
  <si>
    <t>East Riding of Yorkshire</t>
  </si>
  <si>
    <t>Hambleton District Council</t>
  </si>
  <si>
    <t>Ryedale District Council</t>
  </si>
  <si>
    <t>Goole Fields</t>
  </si>
  <si>
    <t>Goole &amp; Airmyn</t>
  </si>
  <si>
    <t>Haddenham Level</t>
  </si>
  <si>
    <t>Holmewood and District</t>
  </si>
  <si>
    <t>Huntingdonshire</t>
  </si>
  <si>
    <t>Hundred Foot Washes</t>
  </si>
  <si>
    <t>Borough Council Kings Lynn &amp; West Norfolk</t>
  </si>
  <si>
    <t>Hundred of Wisbech</t>
  </si>
  <si>
    <t>Kings Lynn</t>
  </si>
  <si>
    <t>Kings Lynn &amp; West Norfolk Borough Council</t>
  </si>
  <si>
    <t>Kyle and Upper Ouse</t>
  </si>
  <si>
    <t>Lakenheath</t>
  </si>
  <si>
    <t>Lindsey Marsh</t>
  </si>
  <si>
    <t>East Lindsey District Council</t>
  </si>
  <si>
    <t>North East Lincolnshire Council</t>
  </si>
  <si>
    <t>Littleport and Downham</t>
  </si>
  <si>
    <t>King's Lynn and West Norfolk Borough Council</t>
  </si>
  <si>
    <t>Lower Medway</t>
  </si>
  <si>
    <t>Canterbury City Council</t>
  </si>
  <si>
    <t>Medway Council</t>
  </si>
  <si>
    <t>Swale Borough Council</t>
  </si>
  <si>
    <t>Tonbridge and Malling Borough Council</t>
  </si>
  <si>
    <t>Lower Severn IDB (2005)</t>
  </si>
  <si>
    <t>Bristol City Council</t>
  </si>
  <si>
    <t>South Gloucestershire Council</t>
  </si>
  <si>
    <t>Stroud District Council</t>
  </si>
  <si>
    <t>Gloucester City Council</t>
  </si>
  <si>
    <t>Forest of Dean Council</t>
  </si>
  <si>
    <t>Herefordshire Council</t>
  </si>
  <si>
    <t>Tewkesbury Borough Council</t>
  </si>
  <si>
    <t>Malvern Hills Council</t>
  </si>
  <si>
    <t>Manea &amp; Welney</t>
  </si>
  <si>
    <t>Borough Council of Kings Lynn &amp; West Norfolk</t>
  </si>
  <si>
    <t>March West and White Fen</t>
  </si>
  <si>
    <t>March 3rd</t>
  </si>
  <si>
    <t>March 5th</t>
  </si>
  <si>
    <t>March 6th</t>
  </si>
  <si>
    <t>March East</t>
  </si>
  <si>
    <t>Melverley</t>
  </si>
  <si>
    <t>Shropshire Council</t>
  </si>
  <si>
    <t>Middle Fen and Mere</t>
  </si>
  <si>
    <t>Middle Level Commissioners</t>
  </si>
  <si>
    <t>Mildenhall</t>
  </si>
  <si>
    <t>Needham and Laddus</t>
  </si>
  <si>
    <t>Nightlayers</t>
  </si>
  <si>
    <t>Nordelph</t>
  </si>
  <si>
    <t>Norfolk Rivers</t>
  </si>
  <si>
    <t>Breckland District Council</t>
  </si>
  <si>
    <t>Norwich City Council</t>
  </si>
  <si>
    <t>South Norfolk District Council</t>
  </si>
  <si>
    <t>North East Lindsey</t>
  </si>
  <si>
    <t>North Kent Marshes</t>
  </si>
  <si>
    <t>Gravesham BC</t>
  </si>
  <si>
    <t xml:space="preserve">North Level District </t>
  </si>
  <si>
    <t>Peterborough City Council</t>
  </si>
  <si>
    <t>North Somerset Levels</t>
  </si>
  <si>
    <t>North Somerset District Council</t>
  </si>
  <si>
    <t>Northwold</t>
  </si>
  <si>
    <t>Old West</t>
  </si>
  <si>
    <t>South Cambridgeshire District Council</t>
  </si>
  <si>
    <t>Ouse and Derwent</t>
  </si>
  <si>
    <t>Ouse and Humber</t>
  </si>
  <si>
    <t>Over and Willingham</t>
  </si>
  <si>
    <t>Padnal and Waterden</t>
  </si>
  <si>
    <t>Parrett</t>
  </si>
  <si>
    <t>Taunton Deane District Council</t>
  </si>
  <si>
    <t>South Somerset District Council</t>
  </si>
  <si>
    <t>Pevensey and Cuckmere</t>
  </si>
  <si>
    <t>Wealden District Council</t>
  </si>
  <si>
    <t>Hastings Borough Council</t>
  </si>
  <si>
    <t>Rother District Council</t>
  </si>
  <si>
    <t>Eastbourne District Council</t>
  </si>
  <si>
    <t>Ramsey</t>
  </si>
  <si>
    <t>Huntingdon District Council</t>
  </si>
  <si>
    <t>Ramsey 1st (Hollow)</t>
  </si>
  <si>
    <t xml:space="preserve">Ramsey 4th (Middlemoor) </t>
  </si>
  <si>
    <t>Ramsey Upwood and Gt Raveley</t>
  </si>
  <si>
    <t>Ransonmoor</t>
  </si>
  <si>
    <t>Rawcliffe</t>
  </si>
  <si>
    <t>Rea Internal Drainage Board</t>
  </si>
  <si>
    <t>Reedness and Swinefleet</t>
  </si>
  <si>
    <t>River Arun</t>
  </si>
  <si>
    <t>Arun District Council</t>
  </si>
  <si>
    <t>Horsham District Council</t>
  </si>
  <si>
    <t>Chichester District Council</t>
  </si>
  <si>
    <t>River Lugg</t>
  </si>
  <si>
    <t>Herefordshire</t>
  </si>
  <si>
    <t>River Stour</t>
  </si>
  <si>
    <t>Ashford Borough Council</t>
  </si>
  <si>
    <t>Dover District Council</t>
  </si>
  <si>
    <t>Folkestone &amp; Hythe District Council</t>
  </si>
  <si>
    <t>Thanet District Council</t>
  </si>
  <si>
    <t>Romney Marshes</t>
  </si>
  <si>
    <t>Sawtry</t>
  </si>
  <si>
    <t>Scunthorpe and Gainsborough WLM Board</t>
  </si>
  <si>
    <t>Selby Area</t>
  </si>
  <si>
    <t>South Holland</t>
  </si>
  <si>
    <t>Southery &amp; District</t>
  </si>
  <si>
    <t>South Holderness</t>
  </si>
  <si>
    <t>Sow and Penk</t>
  </si>
  <si>
    <t>Stafford Borough Council</t>
  </si>
  <si>
    <t>South Staffordshire District Council</t>
  </si>
  <si>
    <t>Stoke Ferry</t>
  </si>
  <si>
    <t>Stringside</t>
  </si>
  <si>
    <t>Sutton &amp; Mepal</t>
  </si>
  <si>
    <t>Swaffham</t>
  </si>
  <si>
    <t>Swale and Ure</t>
  </si>
  <si>
    <t>Richmondshire District Council</t>
  </si>
  <si>
    <t>Swavesey</t>
  </si>
  <si>
    <t>Thorntree</t>
  </si>
  <si>
    <t>Trent Valley</t>
  </si>
  <si>
    <t xml:space="preserve">Newark &amp; Sherwood </t>
  </si>
  <si>
    <t>Rushcliffe District Council</t>
  </si>
  <si>
    <t>Gedling Borough Council</t>
  </si>
  <si>
    <t>Melton Borough Council</t>
  </si>
  <si>
    <t>Upper Medway</t>
  </si>
  <si>
    <t>Maidstone Borough Council</t>
  </si>
  <si>
    <t>Mid Sussex District Council</t>
  </si>
  <si>
    <t>Sevenoaks District Council</t>
  </si>
  <si>
    <t>Tandridge District Council</t>
  </si>
  <si>
    <t>Tonbridge Wells Borough Council</t>
  </si>
  <si>
    <t>Wealdon District Council</t>
  </si>
  <si>
    <t>Upper Witham</t>
  </si>
  <si>
    <t>Newark and Sherwood District Council</t>
  </si>
  <si>
    <t>City of Lincoln Council</t>
  </si>
  <si>
    <t>Upwell</t>
  </si>
  <si>
    <t>Vale of Pickering</t>
  </si>
  <si>
    <t>Scarborough Borough Council</t>
  </si>
  <si>
    <t>Waldersey</t>
  </si>
  <si>
    <t>Warboys, Somersham and Pidley</t>
  </si>
  <si>
    <t>Waterbeach Level</t>
  </si>
  <si>
    <t>South Cambridgeshire</t>
  </si>
  <si>
    <t>Waveney, Lower Yare and Lothingland</t>
  </si>
  <si>
    <t>Great Yarmouth District Council</t>
  </si>
  <si>
    <t>Wellend and Deepings</t>
  </si>
  <si>
    <t>Whittlesey and District</t>
  </si>
  <si>
    <t>Witham 1st</t>
  </si>
  <si>
    <t>Witham 3rd</t>
  </si>
  <si>
    <t>Witham 4th</t>
  </si>
  <si>
    <t>Woodwalton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</si>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</sst>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-&quot;£&quot;* #,##0.00_-;\-&quot;£&quot;* #,##0.00_-;_-&quot;£&quot;* &quot;-&quot;??_-;_-@_-"/>
    <numFmt numFmtId="167" formatCode="_-&quot;£&quot;* #,##0_-;\-&quot;£&quot;* #,##0_-;_-&quot;£&quot;* &quot;-&quot;_-;_-@_-"/>
    <numFmt numFmtId="168" formatCode="&quot;£&quot;#,##0"/>
  </numFmts>
  <fonts count="12">
    <font>
      <sz val="10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indexed="10"/>
      <name val="Arial"/>
      <charset val="134"/>
    </font>
    <font>
      <sz val="10"/>
      <color indexed="8"/>
      <name val="Arial"/>
      <charset val="134"/>
    </font>
    <font>
      <b/>
      <sz val="10"/>
      <color rgb="FFFFFF00"/>
      <name val="Arial"/>
      <charset val="134"/>
    </font>
    <font>
      <sz val="10"/>
      <color theme="1"/>
      <name val="Arial"/>
      <charset val="134"/>
    </font>
    <font>
      <sz val="10"/>
      <color rgb="FFFFFF00"/>
      <name val="Arial"/>
      <charset val="134"/>
    </font>
    <font>
      <b/>
      <sz val="10"/>
      <color theme="1"/>
      <name val="Arial"/>
      <charset val="134"/>
    </font>
    <font>
      <sz val="10"/>
      <color rgb="FF1F497D"/>
      <name val="Calibri"/>
      <charset val="134"/>
    </font>
    <font>
      <sz val="10"/>
      <name val="Calibri"/>
      <charset val="134"/>
    </font>
    <font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</borders>
  <cellStyleXfs count="4">
    <xf numFmtId="0" fontId="0" fillId="0" borderId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1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4" fillId="0" borderId="2" xfId="0" applyFont="1" applyBorder="1" applyAlignment="1">
      <alignment wrapText="1"/>
    </xf>
    <xf numFmtId="166" fontId="4" fillId="0" borderId="2" xfId="0" applyNumberFormat="1" applyFont="1" applyBorder="1"/>
    <xf numFmtId="166" fontId="2" fillId="0" borderId="2" xfId="0" applyNumberFormat="1" applyFont="1" applyBorder="1"/>
    <xf numFmtId="0" fontId="0" fillId="3" borderId="2" xfId="0" applyFont="1" applyFill="1" applyBorder="1"/>
    <xf numFmtId="166" fontId="4" fillId="0" borderId="2" xfId="1" applyFont="1" applyBorder="1"/>
    <xf numFmtId="166" fontId="2" fillId="0" borderId="1" xfId="0" applyNumberFormat="1" applyFont="1" applyBorder="1"/>
    <xf numFmtId="0" fontId="2" fillId="0" borderId="3" xfId="0" applyFont="1" applyBorder="1"/>
    <xf numFmtId="0" fontId="4" fillId="0" borderId="3" xfId="0" applyFont="1" applyBorder="1" applyAlignment="1">
      <alignment wrapText="1"/>
    </xf>
    <xf numFmtId="166" fontId="4" fillId="0" borderId="3" xfId="0" applyNumberFormat="1" applyFont="1" applyBorder="1"/>
    <xf numFmtId="0" fontId="0" fillId="3" borderId="3" xfId="0" applyFont="1" applyFill="1" applyBorder="1"/>
    <xf numFmtId="0" fontId="0" fillId="3" borderId="4" xfId="0" applyFont="1" applyFill="1" applyBorder="1"/>
    <xf numFmtId="0" fontId="2" fillId="0" borderId="1" xfId="0" applyFont="1" applyBorder="1"/>
    <xf numFmtId="0" fontId="4" fillId="0" borderId="1" xfId="0" applyFont="1" applyBorder="1" applyAlignment="1">
      <alignment wrapText="1"/>
    </xf>
    <xf numFmtId="166" fontId="4" fillId="0" borderId="1" xfId="0" applyNumberFormat="1" applyFont="1" applyBorder="1"/>
    <xf numFmtId="166" fontId="2" fillId="0" borderId="3" xfId="0" applyNumberFormat="1" applyFont="1" applyBorder="1"/>
    <xf numFmtId="166" fontId="2" fillId="0" borderId="1" xfId="1" applyFont="1" applyBorder="1"/>
    <xf numFmtId="166" fontId="4" fillId="0" borderId="3" xfId="2" applyNumberFormat="1" applyFont="1" applyFill="1" applyBorder="1"/>
    <xf numFmtId="166" fontId="4" fillId="0" borderId="2" xfId="1" applyFont="1" applyFill="1" applyBorder="1"/>
    <xf numFmtId="166" fontId="2" fillId="0" borderId="1" xfId="1" applyFont="1" applyFill="1" applyBorder="1"/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166" fontId="2" fillId="4" borderId="1" xfId="0" applyNumberFormat="1" applyFont="1" applyFill="1" applyBorder="1"/>
    <xf numFmtId="0" fontId="0" fillId="3" borderId="2" xfId="0" applyFont="1" applyFill="1" applyBorder="1" applyAlignment="1">
      <alignment wrapText="1"/>
    </xf>
    <xf numFmtId="166" fontId="4" fillId="0" borderId="1" xfId="1" applyFont="1" applyFill="1" applyBorder="1"/>
    <xf numFmtId="166" fontId="2" fillId="0" borderId="3" xfId="1" applyFont="1" applyBorder="1"/>
    <xf numFmtId="166" fontId="2" fillId="0" borderId="2" xfId="1" applyFont="1" applyBorder="1"/>
    <xf numFmtId="166" fontId="4" fillId="0" borderId="1" xfId="1" applyFont="1" applyBorder="1"/>
    <xf numFmtId="0" fontId="1" fillId="0" borderId="2" xfId="0" applyFont="1" applyBorder="1"/>
    <xf numFmtId="0" fontId="0" fillId="0" borderId="2" xfId="0" applyFont="1" applyBorder="1"/>
    <xf numFmtId="14" fontId="0" fillId="3" borderId="4" xfId="0" applyNumberFormat="1" applyFont="1" applyFill="1" applyBorder="1"/>
    <xf numFmtId="0" fontId="1" fillId="0" borderId="3" xfId="0" applyFont="1" applyBorder="1" applyAlignment="1">
      <alignment wrapText="1"/>
    </xf>
    <xf numFmtId="0" fontId="0" fillId="0" borderId="3" xfId="0" applyFont="1" applyBorder="1" applyAlignment="1">
      <alignment wrapText="1"/>
    </xf>
    <xf numFmtId="166" fontId="5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 applyAlignment="1">
      <alignment wrapText="1"/>
    </xf>
    <xf numFmtId="0" fontId="5" fillId="0" borderId="1" xfId="0" applyFont="1" applyBorder="1"/>
    <xf numFmtId="0" fontId="7" fillId="0" borderId="1" xfId="0" applyFont="1" applyBorder="1" applyAlignment="1">
      <alignment wrapText="1"/>
    </xf>
    <xf numFmtId="166" fontId="8" fillId="0" borderId="1" xfId="0" applyNumberFormat="1" applyFont="1" applyBorder="1"/>
    <xf numFmtId="0" fontId="0" fillId="3" borderId="1" xfId="0" applyFont="1" applyFill="1" applyBorder="1"/>
    <xf numFmtId="0" fontId="0" fillId="3" borderId="5" xfId="0" applyFont="1" applyFill="1" applyBorder="1"/>
    <xf numFmtId="0" fontId="2" fillId="0" borderId="1" xfId="0" applyFont="1" applyBorder="1" applyAlignment="1">
      <alignment wrapText="1"/>
    </xf>
    <xf numFmtId="168" fontId="4" fillId="0" borderId="2" xfId="0" applyNumberFormat="1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9" fillId="3" borderId="2" xfId="0" applyFont="1" applyFill="1" applyBorder="1"/>
    <xf numFmtId="0" fontId="10" fillId="3" borderId="2" xfId="3" applyFont="1" applyFill="1" applyBorder="1"/>
    <xf numFmtId="0" fontId="0" fillId="3" borderId="2" xfId="3" applyFont="1" applyFill="1" applyBorder="1"/>
    <xf numFmtId="0" fontId="1" fillId="0" borderId="3" xfId="0" applyFont="1" applyBorder="1"/>
    <xf numFmtId="166" fontId="0" fillId="0" borderId="2" xfId="1" applyFont="1" applyFill="1" applyBorder="1"/>
    <xf numFmtId="166" fontId="1" fillId="0" borderId="3" xfId="0" applyNumberFormat="1" applyFont="1" applyBorder="1"/>
    <xf numFmtId="166" fontId="1" fillId="0" borderId="2" xfId="0" applyNumberFormat="1" applyFont="1" applyBorder="1"/>
    <xf numFmtId="0" fontId="1" fillId="0" borderId="1" xfId="0" applyFont="1" applyBorder="1"/>
    <xf numFmtId="166" fontId="0" fillId="0" borderId="1" xfId="1" applyFont="1" applyFill="1" applyBorder="1"/>
    <xf numFmtId="166" fontId="2" fillId="4" borderId="1" xfId="1" applyFont="1" applyFill="1" applyBorder="1"/>
    <xf numFmtId="166" fontId="4" fillId="0" borderId="2" xfId="1" applyFont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4" fillId="3" borderId="2" xfId="0" applyFont="1" applyFill="1" applyBorder="1"/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/>
    </xf>
    <xf numFmtId="14" fontId="0" fillId="0" borderId="0" xfId="0" applyNumberFormat="1" applyFont="1"/>
    <xf numFmtId="0" fontId="9" fillId="0" borderId="0" xfId="0" applyFont="1"/>
    <xf numFmtId="0" fontId="10" fillId="0" borderId="0" xfId="3" applyFont="1"/>
    <xf numFmtId="0" fontId="0" fillId="0" borderId="0" xfId="3" applyFont="1"/>
    <xf numFmtId="0" fontId="4" fillId="0" borderId="0" xfId="0" applyFont="1"/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4" fontId="1" fillId="4" borderId="3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5" borderId="3" xfId="0" applyFont="1" applyFill="1" applyBorder="1"/>
    <xf numFmtId="166" fontId="2" fillId="5" borderId="3" xfId="1" applyFont="1" applyFill="1" applyBorder="1"/>
    <xf numFmtId="0" fontId="0" fillId="0" borderId="0" xfId="0" applyFont="1" applyFill="1"/>
    <xf numFmtId="0" fontId="4" fillId="0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4">
    <cellStyle name="Normal 2" xfId="3"/>
    <cellStyle name="Денежный" xfId="1" builtinId="4"/>
    <cellStyle name="Денежный [0]" xfId="2" builtinId="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JU&#30740;/&#24322;&#24418;&#34920;benchmark/paper/&#34920;&#26684;&#33609;&#31295;&#31665;/Internal_Drainage_Board_expenditure_and_administrative_data_2021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B Forms 2021-22"/>
      <sheetName val="Special levies forecast 2022-23"/>
      <sheetName val="Section B"/>
      <sheetName val="Total summary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5"/>
  <sheetViews>
    <sheetView tabSelected="1" zoomScale="85" zoomScaleNormal="85" workbookViewId="0">
      <pane ySplit="1" topLeftCell="A2" activePane="bottomLeft" state="frozen"/>
      <selection pane="bottomLeft" activeCell="B11" sqref="B11"/>
    </sheetView>
  </sheetViews>
  <sheetFormatPr defaultColWidth="9.08984375" defaultRowHeight="13"/>
  <cols>
    <col min="1" max="1" width="13.453125" style="1" customWidth="1"/>
    <col min="2" max="2" width="35.08984375" style="2" customWidth="1"/>
    <col min="3" max="3" width="42.08984375" style="3" customWidth="1"/>
    <col min="4" max="4" width="21" style="2" customWidth="1"/>
    <col min="5" max="5" width="20.08984375" style="4" customWidth="1"/>
    <col min="6" max="6" width="22.36328125" style="2" customWidth="1"/>
    <col min="7" max="7" width="13.08984375" style="2" customWidth="1"/>
    <col min="8" max="8" width="20.36328125" style="2" customWidth="1"/>
    <col min="9" max="9" width="15.6328125" style="2" customWidth="1"/>
    <col min="10" max="16384" width="9.08984375" style="2"/>
  </cols>
  <sheetData>
    <row r="1" spans="1:7" ht="33.75" customHeight="1">
      <c r="A1" s="90" t="s">
        <v>0</v>
      </c>
      <c r="B1" s="91" t="s">
        <v>1</v>
      </c>
      <c r="C1" s="90" t="s">
        <v>2</v>
      </c>
      <c r="D1" s="92" t="s">
        <v>3</v>
      </c>
      <c r="E1" s="93" t="s">
        <v>4</v>
      </c>
      <c r="F1" s="5" t="s">
        <v>5</v>
      </c>
      <c r="G1" s="6" t="s">
        <v>6</v>
      </c>
    </row>
    <row r="2" spans="1:7">
      <c r="A2" s="73">
        <v>44872</v>
      </c>
      <c r="B2" s="7" t="s">
        <v>7</v>
      </c>
      <c r="C2" s="8"/>
      <c r="D2" s="9"/>
      <c r="E2" s="10"/>
      <c r="F2" s="11"/>
      <c r="G2" s="11"/>
    </row>
    <row r="3" spans="1:7">
      <c r="A3" s="73"/>
      <c r="B3" s="7"/>
      <c r="C3" s="8" t="s">
        <v>8</v>
      </c>
      <c r="D3" s="12">
        <v>39500</v>
      </c>
      <c r="E3" s="10"/>
      <c r="F3" s="11"/>
      <c r="G3" s="11"/>
    </row>
    <row r="4" spans="1:7">
      <c r="A4" s="73"/>
      <c r="B4" s="7"/>
      <c r="C4" s="8" t="s">
        <v>9</v>
      </c>
      <c r="D4" s="12">
        <v>8075</v>
      </c>
      <c r="E4" s="10"/>
      <c r="F4" s="11"/>
      <c r="G4" s="11"/>
    </row>
    <row r="5" spans="1:7">
      <c r="A5" s="73"/>
      <c r="B5" s="7"/>
      <c r="C5" s="8" t="s">
        <v>10</v>
      </c>
      <c r="D5" s="12">
        <v>33352</v>
      </c>
      <c r="E5" s="10"/>
      <c r="F5" s="11"/>
      <c r="G5" s="11" t="s">
        <v>11</v>
      </c>
    </row>
    <row r="6" spans="1:7">
      <c r="A6" s="73"/>
      <c r="B6" s="7"/>
      <c r="C6" s="8" t="s">
        <v>12</v>
      </c>
      <c r="D6" s="12">
        <v>249154</v>
      </c>
      <c r="E6" s="10"/>
      <c r="F6" s="11"/>
      <c r="G6" s="11"/>
    </row>
    <row r="7" spans="1:7">
      <c r="A7" s="73"/>
      <c r="B7" s="7"/>
      <c r="C7" s="8"/>
      <c r="D7" s="12"/>
      <c r="E7" s="13">
        <f>SUM(D3:D6)</f>
        <v>330081</v>
      </c>
      <c r="F7" s="11"/>
      <c r="G7" s="11"/>
    </row>
    <row r="8" spans="1:7">
      <c r="A8" s="74">
        <v>44872</v>
      </c>
      <c r="B8" s="14" t="s">
        <v>13</v>
      </c>
      <c r="C8" s="15"/>
      <c r="D8" s="16"/>
      <c r="E8" s="10"/>
      <c r="F8" s="17"/>
      <c r="G8" s="18"/>
    </row>
    <row r="9" spans="1:7">
      <c r="A9" s="73"/>
      <c r="B9" s="7"/>
      <c r="C9" s="8" t="s">
        <v>14</v>
      </c>
      <c r="D9" s="12">
        <v>7229</v>
      </c>
      <c r="E9" s="10"/>
      <c r="F9" s="11"/>
      <c r="G9" s="11"/>
    </row>
    <row r="10" spans="1:7">
      <c r="A10" s="73"/>
      <c r="B10" s="7"/>
      <c r="C10" s="8" t="s">
        <v>15</v>
      </c>
      <c r="D10" s="12">
        <v>12408</v>
      </c>
      <c r="E10" s="10"/>
      <c r="F10" s="11"/>
      <c r="G10" s="11" t="s">
        <v>11</v>
      </c>
    </row>
    <row r="11" spans="1:7">
      <c r="A11" s="75"/>
      <c r="B11" s="19"/>
      <c r="C11" s="20"/>
      <c r="D11" s="21"/>
      <c r="E11" s="13">
        <f>SUM(D9:D10)</f>
        <v>19637</v>
      </c>
      <c r="F11" s="11"/>
      <c r="G11" s="11"/>
    </row>
    <row r="12" spans="1:7">
      <c r="A12" s="74">
        <v>44880</v>
      </c>
      <c r="B12" s="14" t="s">
        <v>16</v>
      </c>
      <c r="C12" s="15"/>
      <c r="D12" s="16"/>
      <c r="E12" s="22"/>
      <c r="F12" s="17"/>
      <c r="G12" s="18"/>
    </row>
    <row r="13" spans="1:7">
      <c r="A13" s="73"/>
      <c r="B13" s="7"/>
      <c r="C13" s="8" t="s">
        <v>17</v>
      </c>
      <c r="D13" s="12">
        <v>85295</v>
      </c>
      <c r="E13" s="10"/>
      <c r="F13" s="11"/>
      <c r="G13" s="11" t="s">
        <v>11</v>
      </c>
    </row>
    <row r="14" spans="1:7">
      <c r="A14" s="75"/>
      <c r="B14" s="19"/>
      <c r="C14" s="20"/>
      <c r="D14" s="21"/>
      <c r="E14" s="23">
        <f>SUM('Special levies forecast 2022-23'!D13:D13)</f>
        <v>85295</v>
      </c>
      <c r="F14" s="11"/>
      <c r="G14" s="11"/>
    </row>
    <row r="15" spans="1:7">
      <c r="A15" s="74">
        <v>44886</v>
      </c>
      <c r="B15" s="14" t="s">
        <v>18</v>
      </c>
      <c r="C15" s="15"/>
      <c r="D15" s="9"/>
      <c r="E15" s="22"/>
      <c r="F15" s="17"/>
      <c r="G15" s="18"/>
    </row>
    <row r="16" spans="1:7">
      <c r="A16" s="73"/>
      <c r="B16" s="7"/>
      <c r="C16" s="8" t="s">
        <v>19</v>
      </c>
      <c r="D16" s="12">
        <v>206609</v>
      </c>
      <c r="E16" s="10"/>
      <c r="F16" s="11"/>
      <c r="G16" s="11"/>
    </row>
    <row r="17" spans="1:7">
      <c r="A17" s="73"/>
      <c r="B17" s="7"/>
      <c r="C17" s="8" t="s">
        <v>20</v>
      </c>
      <c r="D17" s="12">
        <v>18850</v>
      </c>
      <c r="E17" s="10"/>
      <c r="F17" s="11"/>
      <c r="G17" s="11" t="s">
        <v>11</v>
      </c>
    </row>
    <row r="18" spans="1:7">
      <c r="A18" s="75"/>
      <c r="B18" s="19"/>
      <c r="C18" s="20"/>
      <c r="D18" s="21"/>
      <c r="E18" s="13">
        <f>SUM('Special levies forecast 2022-23'!D16:D17)</f>
        <v>225459</v>
      </c>
      <c r="F18" s="11"/>
      <c r="G18" s="11"/>
    </row>
    <row r="19" spans="1:7">
      <c r="A19" s="74">
        <v>44875</v>
      </c>
      <c r="B19" s="14" t="s">
        <v>21</v>
      </c>
      <c r="C19" s="15"/>
      <c r="D19" s="24"/>
      <c r="E19" s="22"/>
      <c r="F19" s="17"/>
      <c r="G19" s="18"/>
    </row>
    <row r="20" spans="1:7">
      <c r="A20" s="73"/>
      <c r="B20" s="7"/>
      <c r="C20" s="8" t="s">
        <v>22</v>
      </c>
      <c r="D20" s="25">
        <v>136830</v>
      </c>
      <c r="E20" s="10"/>
      <c r="F20" s="11"/>
      <c r="G20" s="11"/>
    </row>
    <row r="21" spans="1:7">
      <c r="A21" s="73"/>
      <c r="B21" s="7"/>
      <c r="C21" s="8" t="s">
        <v>23</v>
      </c>
      <c r="D21" s="25">
        <v>17487</v>
      </c>
      <c r="E21" s="10"/>
      <c r="F21" s="11"/>
      <c r="G21" s="11" t="s">
        <v>11</v>
      </c>
    </row>
    <row r="22" spans="1:7">
      <c r="A22" s="73"/>
      <c r="B22" s="7"/>
      <c r="C22" s="8" t="s">
        <v>24</v>
      </c>
      <c r="D22" s="25">
        <v>928629</v>
      </c>
      <c r="E22" s="10"/>
      <c r="F22" s="11"/>
      <c r="G22" s="11"/>
    </row>
    <row r="23" spans="1:7">
      <c r="A23" s="75"/>
      <c r="B23" s="19"/>
      <c r="C23" s="20"/>
      <c r="D23" s="21"/>
      <c r="E23" s="26">
        <f>SUM(D20:D22)</f>
        <v>1082946</v>
      </c>
      <c r="F23" s="11"/>
      <c r="G23" s="11"/>
    </row>
    <row r="24" spans="1:7">
      <c r="A24" s="74">
        <v>44875</v>
      </c>
      <c r="B24" s="27" t="s">
        <v>25</v>
      </c>
      <c r="C24" s="15"/>
      <c r="D24" s="16"/>
      <c r="E24" s="22"/>
      <c r="F24" s="17"/>
      <c r="G24" s="18"/>
    </row>
    <row r="25" spans="1:7">
      <c r="A25" s="73"/>
      <c r="B25" s="28"/>
      <c r="C25" s="8" t="s">
        <v>26</v>
      </c>
      <c r="D25" s="9">
        <v>752687</v>
      </c>
      <c r="E25" s="10"/>
      <c r="F25" s="11"/>
      <c r="G25" s="11"/>
    </row>
    <row r="26" spans="1:7">
      <c r="A26" s="73"/>
      <c r="B26" s="28"/>
      <c r="C26" s="8" t="s">
        <v>27</v>
      </c>
      <c r="D26" s="9">
        <v>135058</v>
      </c>
      <c r="E26" s="10"/>
      <c r="F26" s="11"/>
      <c r="G26" s="11"/>
    </row>
    <row r="27" spans="1:7">
      <c r="A27" s="73"/>
      <c r="B27" s="28"/>
      <c r="C27" s="8" t="s">
        <v>28</v>
      </c>
      <c r="D27" s="9">
        <v>1620</v>
      </c>
      <c r="E27" s="10"/>
      <c r="F27" s="11"/>
      <c r="G27" s="11" t="s">
        <v>11</v>
      </c>
    </row>
    <row r="28" spans="1:7">
      <c r="A28" s="73"/>
      <c r="B28" s="28"/>
      <c r="C28" s="8" t="s">
        <v>29</v>
      </c>
      <c r="D28" s="9">
        <v>11054</v>
      </c>
      <c r="E28" s="10"/>
      <c r="F28" s="11"/>
      <c r="G28" s="11"/>
    </row>
    <row r="29" spans="1:7">
      <c r="A29" s="75"/>
      <c r="B29" s="19"/>
      <c r="C29" s="20"/>
      <c r="D29" s="21"/>
      <c r="E29" s="13">
        <f>SUM(D25:D28)</f>
        <v>900419</v>
      </c>
      <c r="F29" s="11"/>
      <c r="G29" s="11"/>
    </row>
    <row r="30" spans="1:7">
      <c r="A30" s="74">
        <v>44876</v>
      </c>
      <c r="B30" s="14" t="s">
        <v>30</v>
      </c>
      <c r="C30" s="15"/>
      <c r="D30" s="16"/>
      <c r="E30" s="22"/>
      <c r="F30" s="17"/>
      <c r="G30" s="18"/>
    </row>
    <row r="31" spans="1:7">
      <c r="A31" s="73"/>
      <c r="B31" s="7"/>
      <c r="C31" s="8" t="s">
        <v>31</v>
      </c>
      <c r="D31" s="12">
        <v>611639</v>
      </c>
      <c r="E31" s="10"/>
      <c r="F31" s="11"/>
      <c r="G31" s="11"/>
    </row>
    <row r="32" spans="1:7">
      <c r="A32" s="73"/>
      <c r="B32" s="7"/>
      <c r="C32" s="8" t="s">
        <v>32</v>
      </c>
      <c r="D32" s="12">
        <v>374393</v>
      </c>
      <c r="E32" s="10"/>
      <c r="F32" s="11"/>
      <c r="G32" s="11" t="s">
        <v>11</v>
      </c>
    </row>
    <row r="33" spans="1:7">
      <c r="A33" s="73"/>
      <c r="B33" s="7"/>
      <c r="C33" s="8" t="s">
        <v>33</v>
      </c>
      <c r="D33" s="12">
        <v>5263</v>
      </c>
      <c r="E33" s="10"/>
      <c r="F33" s="11"/>
      <c r="G33" s="11"/>
    </row>
    <row r="34" spans="1:7">
      <c r="A34" s="73"/>
      <c r="B34" s="7"/>
      <c r="C34" s="8" t="s">
        <v>34</v>
      </c>
      <c r="D34" s="12">
        <v>161</v>
      </c>
      <c r="E34" s="10"/>
      <c r="F34" s="11"/>
      <c r="G34" s="11"/>
    </row>
    <row r="35" spans="1:7">
      <c r="A35" s="75"/>
      <c r="B35" s="19"/>
      <c r="C35" s="29"/>
      <c r="D35" s="21"/>
      <c r="E35" s="23">
        <f>SUM('Special levies forecast 2022-23'!D31:D34)</f>
        <v>991456</v>
      </c>
      <c r="F35" s="11"/>
      <c r="G35" s="11"/>
    </row>
    <row r="36" spans="1:7">
      <c r="A36" s="74">
        <v>44886</v>
      </c>
      <c r="B36" s="14" t="s">
        <v>35</v>
      </c>
      <c r="C36" s="15"/>
      <c r="D36" s="16"/>
      <c r="E36" s="22"/>
      <c r="F36" s="17"/>
      <c r="G36" s="18"/>
    </row>
    <row r="37" spans="1:7">
      <c r="A37" s="73"/>
      <c r="B37" s="7"/>
      <c r="C37" s="8" t="s">
        <v>36</v>
      </c>
      <c r="D37" s="12">
        <v>27078</v>
      </c>
      <c r="E37" s="10"/>
      <c r="F37" s="11"/>
      <c r="G37" s="11"/>
    </row>
    <row r="38" spans="1:7">
      <c r="A38" s="73"/>
      <c r="B38" s="7"/>
      <c r="C38" s="8" t="s">
        <v>17</v>
      </c>
      <c r="D38" s="12">
        <v>2166</v>
      </c>
      <c r="E38" s="10"/>
      <c r="F38" s="11"/>
      <c r="G38" s="11" t="s">
        <v>11</v>
      </c>
    </row>
    <row r="39" spans="1:7">
      <c r="A39" s="75"/>
      <c r="B39" s="19"/>
      <c r="C39" s="20"/>
      <c r="D39" s="21"/>
      <c r="E39" s="13">
        <f>SUM('Special levies forecast 2022-23'!D37:D38)</f>
        <v>29244</v>
      </c>
      <c r="F39" s="11"/>
      <c r="G39" s="11"/>
    </row>
    <row r="40" spans="1:7">
      <c r="A40" s="74">
        <v>44872</v>
      </c>
      <c r="B40" s="14" t="s">
        <v>37</v>
      </c>
      <c r="C40" s="15"/>
      <c r="D40" s="16"/>
      <c r="E40" s="22"/>
      <c r="F40" s="17"/>
      <c r="G40" s="18"/>
    </row>
    <row r="41" spans="1:7">
      <c r="A41" s="73"/>
      <c r="B41" s="7"/>
      <c r="C41" s="8" t="s">
        <v>29</v>
      </c>
      <c r="D41" s="12">
        <v>389786</v>
      </c>
      <c r="E41" s="10"/>
      <c r="F41" s="11"/>
      <c r="G41" s="11" t="s">
        <v>11</v>
      </c>
    </row>
    <row r="42" spans="1:7">
      <c r="A42" s="75"/>
      <c r="B42" s="19"/>
      <c r="C42" s="20"/>
      <c r="D42" s="21"/>
      <c r="E42" s="13">
        <f>SUM('Special levies forecast 2022-23'!D41)</f>
        <v>389786</v>
      </c>
      <c r="F42" s="11"/>
      <c r="G42" s="11"/>
    </row>
    <row r="43" spans="1:7">
      <c r="A43" s="74">
        <v>44874</v>
      </c>
      <c r="B43" s="14" t="s">
        <v>38</v>
      </c>
      <c r="C43" s="15"/>
      <c r="D43" s="16"/>
      <c r="E43" s="22"/>
      <c r="F43" s="17"/>
      <c r="G43" s="18"/>
    </row>
    <row r="44" spans="1:7">
      <c r="A44" s="73"/>
      <c r="B44" s="7"/>
      <c r="C44" s="8" t="s">
        <v>28</v>
      </c>
      <c r="D44" s="9">
        <v>84629</v>
      </c>
      <c r="E44" s="10"/>
      <c r="F44" s="11"/>
      <c r="G44" s="11" t="s">
        <v>11</v>
      </c>
    </row>
    <row r="45" spans="1:7">
      <c r="A45" s="73"/>
      <c r="B45" s="7"/>
      <c r="C45" s="8" t="s">
        <v>29</v>
      </c>
      <c r="D45" s="12">
        <v>595</v>
      </c>
      <c r="E45" s="10"/>
      <c r="F45" s="11"/>
      <c r="G45" s="11"/>
    </row>
    <row r="46" spans="1:7">
      <c r="A46" s="75"/>
      <c r="B46" s="19"/>
      <c r="C46" s="20"/>
      <c r="D46" s="21"/>
      <c r="E46" s="30">
        <f>SUM('Special levies forecast 2022-23'!D44:D45)</f>
        <v>85224</v>
      </c>
      <c r="F46" s="11"/>
      <c r="G46" s="11"/>
    </row>
    <row r="47" spans="1:7">
      <c r="A47" s="74">
        <v>44867</v>
      </c>
      <c r="B47" s="14" t="s">
        <v>39</v>
      </c>
      <c r="C47" s="15"/>
      <c r="D47" s="16"/>
      <c r="E47" s="22"/>
      <c r="F47" s="17"/>
      <c r="G47" s="18"/>
    </row>
    <row r="48" spans="1:7">
      <c r="A48" s="73"/>
      <c r="B48" s="7"/>
      <c r="C48" s="8" t="s">
        <v>40</v>
      </c>
      <c r="D48" s="9">
        <v>885734</v>
      </c>
      <c r="E48" s="10"/>
      <c r="F48" s="11"/>
      <c r="G48" s="11"/>
    </row>
    <row r="49" spans="1:7">
      <c r="A49" s="73"/>
      <c r="B49" s="7"/>
      <c r="C49" s="8" t="s">
        <v>41</v>
      </c>
      <c r="D49" s="9">
        <v>166133</v>
      </c>
      <c r="E49" s="10"/>
      <c r="F49" s="11"/>
      <c r="G49" s="11"/>
    </row>
    <row r="50" spans="1:7">
      <c r="A50" s="73"/>
      <c r="B50" s="7"/>
      <c r="C50" s="8" t="s">
        <v>42</v>
      </c>
      <c r="D50" s="9">
        <v>75250</v>
      </c>
      <c r="E50" s="10"/>
      <c r="F50" s="11"/>
      <c r="G50" s="11" t="s">
        <v>11</v>
      </c>
    </row>
    <row r="51" spans="1:7">
      <c r="A51" s="73"/>
      <c r="B51" s="7"/>
      <c r="C51" s="8" t="s">
        <v>43</v>
      </c>
      <c r="D51" s="12">
        <v>63233</v>
      </c>
      <c r="E51" s="10"/>
      <c r="F51" s="11"/>
      <c r="G51" s="11"/>
    </row>
    <row r="52" spans="1:7">
      <c r="A52" s="75"/>
      <c r="B52" s="19"/>
      <c r="C52" s="8"/>
      <c r="D52" s="21"/>
      <c r="E52" s="13">
        <f>SUM('Special levies forecast 2022-23'!D48:D51)</f>
        <v>1190350</v>
      </c>
      <c r="F52" s="11"/>
      <c r="G52" s="11"/>
    </row>
    <row r="53" spans="1:7">
      <c r="A53" s="74">
        <v>44886</v>
      </c>
      <c r="B53" s="14" t="s">
        <v>44</v>
      </c>
      <c r="C53" s="15"/>
      <c r="D53" s="16"/>
      <c r="E53" s="22"/>
      <c r="F53" s="17"/>
      <c r="G53" s="18"/>
    </row>
    <row r="54" spans="1:7">
      <c r="A54" s="73"/>
      <c r="B54" s="7"/>
      <c r="C54" s="8" t="s">
        <v>17</v>
      </c>
      <c r="D54" s="12">
        <v>12176</v>
      </c>
      <c r="E54" s="10"/>
      <c r="F54" s="11"/>
      <c r="G54" s="11" t="s">
        <v>11</v>
      </c>
    </row>
    <row r="55" spans="1:7">
      <c r="A55" s="75"/>
      <c r="B55" s="19"/>
      <c r="C55" s="20"/>
      <c r="D55" s="21"/>
      <c r="E55" s="13">
        <f>SUM('Special levies forecast 2022-23'!D54)</f>
        <v>12176</v>
      </c>
      <c r="F55" s="11"/>
      <c r="G55" s="11"/>
    </row>
    <row r="56" spans="1:7">
      <c r="A56" s="74">
        <v>44874</v>
      </c>
      <c r="B56" s="14" t="s">
        <v>45</v>
      </c>
      <c r="C56" s="15"/>
      <c r="D56" s="16"/>
      <c r="E56" s="22"/>
      <c r="F56" s="17"/>
      <c r="G56" s="18"/>
    </row>
    <row r="57" spans="1:7">
      <c r="A57" s="73"/>
      <c r="B57" s="7"/>
      <c r="C57" s="8" t="s">
        <v>46</v>
      </c>
      <c r="D57" s="25">
        <v>28687</v>
      </c>
      <c r="E57" s="10"/>
      <c r="F57" s="11"/>
      <c r="G57" s="11" t="s">
        <v>11</v>
      </c>
    </row>
    <row r="58" spans="1:7">
      <c r="A58" s="75"/>
      <c r="B58" s="19"/>
      <c r="C58" s="20"/>
      <c r="D58" s="21"/>
      <c r="E58" s="26">
        <f>SUM('Special levies forecast 2022-23'!D57)</f>
        <v>28687</v>
      </c>
      <c r="F58" s="11"/>
      <c r="G58" s="11"/>
    </row>
    <row r="59" spans="1:7">
      <c r="A59" s="74">
        <v>44879</v>
      </c>
      <c r="B59" s="14" t="s">
        <v>47</v>
      </c>
      <c r="C59" s="15"/>
      <c r="D59" s="16"/>
      <c r="E59" s="22"/>
      <c r="F59" s="17"/>
      <c r="G59" s="18"/>
    </row>
    <row r="60" spans="1:7">
      <c r="A60" s="73"/>
      <c r="B60" s="7"/>
      <c r="C60" s="8" t="s">
        <v>48</v>
      </c>
      <c r="D60" s="9">
        <v>186118</v>
      </c>
      <c r="E60" s="10"/>
      <c r="F60" s="11"/>
      <c r="G60" s="11"/>
    </row>
    <row r="61" spans="1:7">
      <c r="A61" s="73"/>
      <c r="B61" s="7"/>
      <c r="C61" s="8" t="s">
        <v>49</v>
      </c>
      <c r="D61" s="9">
        <v>210486</v>
      </c>
      <c r="E61" s="10"/>
      <c r="F61" s="11"/>
      <c r="G61" s="11" t="s">
        <v>11</v>
      </c>
    </row>
    <row r="62" spans="1:7">
      <c r="A62" s="73"/>
      <c r="B62" s="7"/>
      <c r="C62" s="8" t="s">
        <v>50</v>
      </c>
      <c r="D62" s="9">
        <v>328021</v>
      </c>
      <c r="E62" s="10"/>
      <c r="F62" s="11"/>
      <c r="G62" s="11"/>
    </row>
    <row r="63" spans="1:7">
      <c r="A63" s="73"/>
      <c r="B63" s="7"/>
      <c r="C63" s="8" t="s">
        <v>51</v>
      </c>
      <c r="D63" s="12">
        <v>2902</v>
      </c>
      <c r="E63" s="10"/>
      <c r="F63" s="11"/>
      <c r="G63" s="11"/>
    </row>
    <row r="64" spans="1:7">
      <c r="A64" s="75"/>
      <c r="B64" s="19"/>
      <c r="C64" s="20"/>
      <c r="D64" s="21"/>
      <c r="E64" s="13">
        <f>SUM(D60:D63)</f>
        <v>727527</v>
      </c>
      <c r="F64" s="11"/>
      <c r="G64" s="11"/>
    </row>
    <row r="65" spans="1:7">
      <c r="A65" s="74">
        <v>44876</v>
      </c>
      <c r="B65" s="14" t="s">
        <v>52</v>
      </c>
      <c r="C65" s="15"/>
      <c r="D65" s="16"/>
      <c r="E65" s="22"/>
      <c r="F65" s="17"/>
      <c r="G65" s="18"/>
    </row>
    <row r="66" spans="1:7">
      <c r="A66" s="73"/>
      <c r="B66" s="7"/>
      <c r="C66" s="8" t="s">
        <v>53</v>
      </c>
      <c r="D66" s="9">
        <v>27109</v>
      </c>
      <c r="E66" s="10"/>
      <c r="F66" s="31"/>
      <c r="G66" s="11"/>
    </row>
    <row r="67" spans="1:7">
      <c r="A67" s="73"/>
      <c r="B67" s="7"/>
      <c r="C67" s="8" t="s">
        <v>32</v>
      </c>
      <c r="D67" s="9">
        <v>280369</v>
      </c>
      <c r="E67" s="10"/>
      <c r="F67" s="31"/>
      <c r="G67" s="11"/>
    </row>
    <row r="68" spans="1:7">
      <c r="A68" s="73"/>
      <c r="B68" s="7"/>
      <c r="C68" s="8" t="s">
        <v>54</v>
      </c>
      <c r="D68" s="9">
        <v>90</v>
      </c>
      <c r="E68" s="10"/>
      <c r="F68" s="11"/>
      <c r="G68" s="11" t="s">
        <v>11</v>
      </c>
    </row>
    <row r="69" spans="1:7">
      <c r="A69" s="73"/>
      <c r="B69" s="7"/>
      <c r="C69" s="8" t="s">
        <v>55</v>
      </c>
      <c r="D69" s="9">
        <v>351164</v>
      </c>
      <c r="E69" s="10"/>
      <c r="F69" s="11"/>
      <c r="G69" s="11"/>
    </row>
    <row r="70" spans="1:7">
      <c r="A70" s="73"/>
      <c r="B70" s="7"/>
      <c r="C70" s="8" t="s">
        <v>56</v>
      </c>
      <c r="D70" s="9">
        <v>14275</v>
      </c>
      <c r="E70" s="10"/>
      <c r="F70" s="11"/>
      <c r="G70" s="11"/>
    </row>
    <row r="71" spans="1:7">
      <c r="A71" s="75"/>
      <c r="B71" s="19"/>
      <c r="C71" s="20"/>
      <c r="D71" s="21"/>
      <c r="E71" s="13">
        <f>SUM(D66:D70)</f>
        <v>673007</v>
      </c>
      <c r="F71" s="11"/>
      <c r="G71" s="11"/>
    </row>
    <row r="72" spans="1:7">
      <c r="A72" s="74">
        <v>44882</v>
      </c>
      <c r="B72" s="14" t="s">
        <v>57</v>
      </c>
      <c r="C72" s="15"/>
      <c r="D72" s="16"/>
      <c r="E72" s="22"/>
      <c r="F72" s="17"/>
      <c r="G72" s="18"/>
    </row>
    <row r="73" spans="1:7">
      <c r="A73" s="73"/>
      <c r="B73" s="7"/>
      <c r="C73" s="8" t="s">
        <v>58</v>
      </c>
      <c r="D73" s="9">
        <v>16180</v>
      </c>
      <c r="E73" s="10"/>
      <c r="F73" s="31"/>
      <c r="G73" s="11"/>
    </row>
    <row r="74" spans="1:7">
      <c r="A74" s="73"/>
      <c r="B74" s="7"/>
      <c r="C74" s="8" t="s">
        <v>59</v>
      </c>
      <c r="D74" s="25">
        <v>26095</v>
      </c>
      <c r="E74" s="10"/>
      <c r="F74" s="11"/>
      <c r="G74" s="11" t="s">
        <v>11</v>
      </c>
    </row>
    <row r="75" spans="1:7">
      <c r="A75" s="75"/>
      <c r="B75" s="19"/>
      <c r="C75" s="20"/>
      <c r="D75" s="21"/>
      <c r="E75" s="26">
        <f>SUM(D73:D74)</f>
        <v>42275</v>
      </c>
      <c r="F75" s="11"/>
      <c r="G75" s="11"/>
    </row>
    <row r="76" spans="1:7">
      <c r="A76" s="74">
        <v>44882</v>
      </c>
      <c r="B76" s="14" t="s">
        <v>60</v>
      </c>
      <c r="C76" s="15"/>
      <c r="D76" s="16"/>
      <c r="E76" s="22"/>
      <c r="F76" s="17"/>
      <c r="G76" s="18"/>
    </row>
    <row r="77" spans="1:7">
      <c r="A77" s="73"/>
      <c r="B77" s="7"/>
      <c r="C77" s="8" t="s">
        <v>59</v>
      </c>
      <c r="D77" s="25">
        <v>20982</v>
      </c>
      <c r="E77" s="10"/>
      <c r="F77" s="11"/>
      <c r="G77" s="11" t="s">
        <v>11</v>
      </c>
    </row>
    <row r="78" spans="1:7">
      <c r="A78" s="75"/>
      <c r="B78" s="19"/>
      <c r="C78" s="20"/>
      <c r="D78" s="32"/>
      <c r="E78" s="26">
        <f>SUM('Special levies forecast 2022-23'!D77)</f>
        <v>20982</v>
      </c>
      <c r="F78" s="11"/>
      <c r="G78" s="11"/>
    </row>
    <row r="79" spans="1:7">
      <c r="A79" s="74">
        <v>44887</v>
      </c>
      <c r="B79" s="14" t="s">
        <v>61</v>
      </c>
      <c r="C79" s="15"/>
      <c r="D79" s="16"/>
      <c r="E79" s="22"/>
      <c r="F79" s="17"/>
      <c r="G79" s="18"/>
    </row>
    <row r="80" spans="1:7">
      <c r="A80" s="73"/>
      <c r="B80" s="7"/>
      <c r="C80" s="8" t="s">
        <v>62</v>
      </c>
      <c r="D80" s="25">
        <v>31858</v>
      </c>
      <c r="E80" s="10"/>
      <c r="F80" s="11"/>
      <c r="G80" s="11" t="s">
        <v>11</v>
      </c>
    </row>
    <row r="81" spans="1:7">
      <c r="A81" s="75"/>
      <c r="B81" s="19"/>
      <c r="C81" s="20"/>
      <c r="D81" s="21"/>
      <c r="E81" s="13">
        <f>SUM('Special levies forecast 2022-23'!D80:D80)</f>
        <v>31858</v>
      </c>
      <c r="F81" s="11"/>
      <c r="G81" s="11"/>
    </row>
    <row r="82" spans="1:7">
      <c r="A82" s="74">
        <v>44887</v>
      </c>
      <c r="B82" s="14" t="s">
        <v>63</v>
      </c>
      <c r="C82" s="15"/>
      <c r="D82" s="16"/>
      <c r="E82" s="22"/>
      <c r="F82" s="17"/>
      <c r="G82" s="18"/>
    </row>
    <row r="83" spans="1:7">
      <c r="A83" s="73"/>
      <c r="B83" s="7"/>
      <c r="C83" s="8" t="s">
        <v>17</v>
      </c>
      <c r="D83" s="12">
        <v>6542</v>
      </c>
      <c r="E83" s="10"/>
      <c r="F83" s="11"/>
      <c r="G83" s="11" t="s">
        <v>11</v>
      </c>
    </row>
    <row r="84" spans="1:7">
      <c r="A84" s="73"/>
      <c r="B84" s="7"/>
      <c r="C84" s="8"/>
      <c r="D84" s="12"/>
      <c r="E84" s="13">
        <f>SUM('Special levies forecast 2022-23'!D83:D83)</f>
        <v>6542</v>
      </c>
      <c r="F84" s="11"/>
      <c r="G84" s="11"/>
    </row>
    <row r="85" spans="1:7">
      <c r="A85" s="74">
        <v>44873</v>
      </c>
      <c r="B85" s="14" t="s">
        <v>64</v>
      </c>
      <c r="C85" s="15"/>
      <c r="D85" s="16"/>
      <c r="E85" s="22"/>
      <c r="F85" s="17"/>
      <c r="G85" s="18"/>
    </row>
    <row r="86" spans="1:7">
      <c r="A86" s="73"/>
      <c r="B86" s="7"/>
      <c r="C86" s="8" t="s">
        <v>29</v>
      </c>
      <c r="D86" s="12">
        <v>73535</v>
      </c>
      <c r="E86" s="10"/>
      <c r="F86" s="11"/>
      <c r="G86" s="11" t="s">
        <v>11</v>
      </c>
    </row>
    <row r="87" spans="1:7">
      <c r="A87" s="75"/>
      <c r="B87" s="19"/>
      <c r="C87" s="20"/>
      <c r="D87" s="21"/>
      <c r="E87" s="13">
        <f>SUM('Special levies forecast 2022-23'!D86)</f>
        <v>73535</v>
      </c>
      <c r="F87" s="11"/>
      <c r="G87" s="11"/>
    </row>
    <row r="88" spans="1:7">
      <c r="A88" s="74">
        <v>44887</v>
      </c>
      <c r="B88" s="14" t="s">
        <v>65</v>
      </c>
      <c r="C88" s="15"/>
      <c r="D88" s="16"/>
      <c r="E88" s="22"/>
      <c r="F88" s="17"/>
      <c r="G88" s="18"/>
    </row>
    <row r="89" spans="1:7">
      <c r="A89" s="73"/>
      <c r="B89" s="7"/>
      <c r="C89" s="8" t="s">
        <v>36</v>
      </c>
      <c r="D89" s="12">
        <v>9753</v>
      </c>
      <c r="E89" s="10"/>
      <c r="F89" s="11"/>
      <c r="G89" s="11" t="s">
        <v>11</v>
      </c>
    </row>
    <row r="90" spans="1:7">
      <c r="A90" s="75"/>
      <c r="B90" s="19"/>
      <c r="C90" s="29"/>
      <c r="D90" s="9"/>
      <c r="E90" s="10">
        <f>SUM('Special levies forecast 2022-23'!D89:D89)</f>
        <v>9753</v>
      </c>
      <c r="F90" s="11"/>
      <c r="G90" s="11"/>
    </row>
    <row r="91" spans="1:7">
      <c r="A91" s="74">
        <v>44874</v>
      </c>
      <c r="B91" s="14" t="s">
        <v>66</v>
      </c>
      <c r="C91" s="15"/>
      <c r="D91" s="16"/>
      <c r="E91" s="33"/>
      <c r="F91" s="17"/>
      <c r="G91" s="18"/>
    </row>
    <row r="92" spans="1:7">
      <c r="A92" s="73"/>
      <c r="B92" s="7"/>
      <c r="C92" s="8" t="s">
        <v>28</v>
      </c>
      <c r="D92" s="12">
        <v>490157</v>
      </c>
      <c r="E92" s="34"/>
      <c r="F92" s="11"/>
      <c r="G92" s="11"/>
    </row>
    <row r="93" spans="1:7">
      <c r="A93" s="73"/>
      <c r="B93" s="7"/>
      <c r="C93" s="8" t="s">
        <v>29</v>
      </c>
      <c r="D93" s="12">
        <v>31954</v>
      </c>
      <c r="E93" s="34"/>
      <c r="F93" s="11"/>
      <c r="G93" s="11"/>
    </row>
    <row r="94" spans="1:7">
      <c r="A94" s="73"/>
      <c r="B94" s="7"/>
      <c r="C94" s="8" t="s">
        <v>10</v>
      </c>
      <c r="D94" s="12">
        <v>478112</v>
      </c>
      <c r="E94" s="34"/>
      <c r="F94" s="11"/>
      <c r="G94" s="11" t="s">
        <v>11</v>
      </c>
    </row>
    <row r="95" spans="1:7">
      <c r="A95" s="73"/>
      <c r="B95" s="7"/>
      <c r="C95" s="8" t="s">
        <v>67</v>
      </c>
      <c r="D95" s="12">
        <v>117694</v>
      </c>
      <c r="E95" s="34"/>
      <c r="F95" s="11"/>
      <c r="G95" s="11"/>
    </row>
    <row r="96" spans="1:7">
      <c r="A96" s="73"/>
      <c r="B96" s="7"/>
      <c r="C96" s="8" t="s">
        <v>68</v>
      </c>
      <c r="D96" s="12">
        <v>45495</v>
      </c>
      <c r="E96" s="34"/>
      <c r="F96" s="11"/>
      <c r="G96" s="11"/>
    </row>
    <row r="97" spans="1:7">
      <c r="A97" s="73"/>
      <c r="B97" s="7"/>
      <c r="C97" s="8" t="s">
        <v>69</v>
      </c>
      <c r="D97" s="12">
        <v>3029</v>
      </c>
      <c r="E97" s="34"/>
      <c r="F97" s="11"/>
      <c r="G97" s="11"/>
    </row>
    <row r="98" spans="1:7">
      <c r="A98" s="75"/>
      <c r="B98" s="19"/>
      <c r="C98" s="20"/>
      <c r="D98" s="21"/>
      <c r="E98" s="23">
        <f>SUM('Special levies forecast 2022-23'!D92:D97)</f>
        <v>1166441</v>
      </c>
      <c r="F98" s="11"/>
      <c r="G98" s="11"/>
    </row>
    <row r="99" spans="1:7">
      <c r="A99" s="74">
        <v>44873</v>
      </c>
      <c r="B99" s="14" t="s">
        <v>70</v>
      </c>
      <c r="C99" s="15"/>
      <c r="D99" s="16"/>
      <c r="E99" s="22"/>
      <c r="F99" s="17"/>
      <c r="G99" s="18"/>
    </row>
    <row r="100" spans="1:7">
      <c r="A100" s="73"/>
      <c r="B100" s="7"/>
      <c r="C100" s="8" t="s">
        <v>29</v>
      </c>
      <c r="D100" s="12">
        <v>29763</v>
      </c>
      <c r="E100" s="10"/>
      <c r="F100" s="11"/>
      <c r="G100" s="11" t="s">
        <v>11</v>
      </c>
    </row>
    <row r="101" spans="1:7">
      <c r="A101" s="75"/>
      <c r="B101" s="19"/>
      <c r="C101" s="20"/>
      <c r="D101" s="21"/>
      <c r="E101" s="13">
        <f>SUM('Special levies forecast 2022-23'!D100)</f>
        <v>29763</v>
      </c>
      <c r="F101" s="11"/>
      <c r="G101" s="11"/>
    </row>
    <row r="102" spans="1:7">
      <c r="A102" s="74">
        <v>44876</v>
      </c>
      <c r="B102" s="14" t="s">
        <v>71</v>
      </c>
      <c r="C102" s="15"/>
      <c r="D102" s="16"/>
      <c r="E102" s="22"/>
      <c r="F102" s="17"/>
      <c r="G102" s="18"/>
    </row>
    <row r="103" spans="1:7">
      <c r="A103" s="73"/>
      <c r="B103" s="7"/>
      <c r="C103" s="8" t="s">
        <v>28</v>
      </c>
      <c r="D103" s="12">
        <v>866868</v>
      </c>
      <c r="E103" s="10"/>
      <c r="F103" s="11"/>
      <c r="G103" s="11"/>
    </row>
    <row r="104" spans="1:7">
      <c r="A104" s="73"/>
      <c r="B104" s="7"/>
      <c r="C104" s="8" t="s">
        <v>26</v>
      </c>
      <c r="D104" s="12">
        <v>16543</v>
      </c>
      <c r="E104" s="10"/>
      <c r="F104" s="11"/>
      <c r="G104" s="11" t="s">
        <v>11</v>
      </c>
    </row>
    <row r="105" spans="1:7">
      <c r="A105" s="73"/>
      <c r="B105" s="7"/>
      <c r="C105" s="8" t="s">
        <v>27</v>
      </c>
      <c r="D105" s="12">
        <v>13368</v>
      </c>
      <c r="E105" s="10"/>
      <c r="F105" s="11"/>
      <c r="G105" s="11"/>
    </row>
    <row r="106" spans="1:7">
      <c r="A106" s="73"/>
      <c r="B106" s="7"/>
      <c r="C106" s="8"/>
      <c r="D106" s="35"/>
      <c r="E106" s="30">
        <f>SUM(D103:D105)</f>
        <v>896779</v>
      </c>
      <c r="F106" s="11"/>
      <c r="G106" s="11"/>
    </row>
    <row r="107" spans="1:7">
      <c r="A107" s="74">
        <v>44882</v>
      </c>
      <c r="B107" s="27" t="s">
        <v>72</v>
      </c>
      <c r="C107" s="15"/>
      <c r="D107" s="12"/>
      <c r="E107" s="10"/>
      <c r="F107" s="17"/>
      <c r="G107" s="18"/>
    </row>
    <row r="108" spans="1:7">
      <c r="A108" s="73"/>
      <c r="B108" s="28"/>
      <c r="C108" s="8" t="s">
        <v>73</v>
      </c>
      <c r="D108" s="12">
        <v>61512</v>
      </c>
      <c r="E108" s="10"/>
      <c r="F108" s="11"/>
      <c r="G108" s="11" t="s">
        <v>11</v>
      </c>
    </row>
    <row r="109" spans="1:7">
      <c r="A109" s="75"/>
      <c r="B109" s="19"/>
      <c r="C109" s="20"/>
      <c r="D109" s="35"/>
      <c r="E109" s="13">
        <f>SUM('Special levies forecast 2022-23'!D108)</f>
        <v>61512</v>
      </c>
      <c r="F109" s="11"/>
      <c r="G109" s="11"/>
    </row>
    <row r="110" spans="1:7">
      <c r="A110" s="73">
        <v>44886</v>
      </c>
      <c r="B110" s="7" t="s">
        <v>74</v>
      </c>
      <c r="C110" s="8"/>
      <c r="D110" s="12"/>
      <c r="E110" s="10"/>
      <c r="F110" s="17"/>
      <c r="G110" s="18"/>
    </row>
    <row r="111" spans="1:7">
      <c r="A111" s="73"/>
      <c r="B111" s="7"/>
      <c r="C111" s="8" t="s">
        <v>75</v>
      </c>
      <c r="D111" s="12">
        <v>8750</v>
      </c>
      <c r="E111" s="10"/>
      <c r="F111" s="11"/>
      <c r="G111" s="11" t="s">
        <v>11</v>
      </c>
    </row>
    <row r="112" spans="1:7">
      <c r="A112" s="75"/>
      <c r="B112" s="19"/>
      <c r="C112" s="20"/>
      <c r="D112" s="35"/>
      <c r="E112" s="13">
        <f>SUM('Special levies forecast 2022-23'!D111)</f>
        <v>8750</v>
      </c>
      <c r="F112" s="11"/>
      <c r="G112" s="11"/>
    </row>
    <row r="113" spans="1:7">
      <c r="A113" s="76">
        <v>44868</v>
      </c>
      <c r="B113" s="36" t="s">
        <v>76</v>
      </c>
      <c r="C113" s="37"/>
      <c r="D113" s="12"/>
      <c r="E113" s="10"/>
      <c r="F113" s="17"/>
      <c r="G113" s="38"/>
    </row>
    <row r="114" spans="1:7">
      <c r="A114" s="77"/>
      <c r="B114" s="36"/>
      <c r="C114" s="37" t="s">
        <v>77</v>
      </c>
      <c r="D114" s="12">
        <v>23280</v>
      </c>
      <c r="E114" s="10"/>
      <c r="F114" s="11"/>
      <c r="G114" s="11" t="s">
        <v>11</v>
      </c>
    </row>
    <row r="115" spans="1:7">
      <c r="A115" s="78"/>
      <c r="B115" s="36"/>
      <c r="C115" s="37"/>
      <c r="D115" s="35"/>
      <c r="E115" s="13">
        <f>SUM(D113:D114)</f>
        <v>23280</v>
      </c>
      <c r="F115" s="11"/>
      <c r="G115" s="11"/>
    </row>
    <row r="116" spans="1:7">
      <c r="A116" s="74">
        <v>44879</v>
      </c>
      <c r="B116" s="14" t="s">
        <v>78</v>
      </c>
      <c r="C116" s="15"/>
      <c r="D116" s="12"/>
      <c r="E116" s="10"/>
      <c r="F116" s="17"/>
      <c r="G116" s="18"/>
    </row>
    <row r="117" spans="1:7">
      <c r="A117" s="73"/>
      <c r="B117" s="7"/>
      <c r="C117" s="28" t="s">
        <v>79</v>
      </c>
      <c r="D117" s="12">
        <v>1907</v>
      </c>
      <c r="E117" s="10"/>
      <c r="F117" s="31"/>
      <c r="G117" s="11"/>
    </row>
    <row r="118" spans="1:7">
      <c r="A118" s="73"/>
      <c r="B118" s="7"/>
      <c r="C118" s="8" t="s">
        <v>80</v>
      </c>
      <c r="D118" s="12">
        <v>40389</v>
      </c>
      <c r="E118" s="10"/>
      <c r="F118" s="31"/>
      <c r="G118" s="11" t="s">
        <v>11</v>
      </c>
    </row>
    <row r="119" spans="1:7">
      <c r="A119" s="73"/>
      <c r="B119" s="7"/>
      <c r="C119" s="8" t="s">
        <v>81</v>
      </c>
      <c r="D119" s="12">
        <v>42954</v>
      </c>
      <c r="E119" s="10"/>
      <c r="F119" s="31"/>
      <c r="G119" s="11"/>
    </row>
    <row r="120" spans="1:7">
      <c r="A120" s="73"/>
      <c r="B120" s="7"/>
      <c r="C120" s="8" t="s">
        <v>82</v>
      </c>
      <c r="D120" s="12">
        <v>125533</v>
      </c>
      <c r="E120" s="10"/>
      <c r="F120" s="11"/>
      <c r="G120" s="11"/>
    </row>
    <row r="121" spans="1:7">
      <c r="A121" s="75"/>
      <c r="B121" s="19"/>
      <c r="C121" s="20"/>
      <c r="D121" s="35"/>
      <c r="E121" s="13">
        <f>SUM('Special levies forecast 2022-23'!D117:D120)</f>
        <v>210783</v>
      </c>
      <c r="F121" s="11"/>
      <c r="G121" s="11"/>
    </row>
    <row r="122" spans="1:7">
      <c r="A122" s="79">
        <v>44882</v>
      </c>
      <c r="B122" s="39" t="s">
        <v>83</v>
      </c>
      <c r="C122" s="40"/>
      <c r="D122" s="12"/>
      <c r="E122" s="41"/>
      <c r="F122" s="17"/>
      <c r="G122" s="18"/>
    </row>
    <row r="123" spans="1:7">
      <c r="A123" s="80"/>
      <c r="B123" s="42"/>
      <c r="C123" s="43" t="s">
        <v>84</v>
      </c>
      <c r="D123" s="12">
        <v>271226</v>
      </c>
      <c r="E123" s="41"/>
      <c r="F123" s="11"/>
      <c r="G123" s="11" t="s">
        <v>11</v>
      </c>
    </row>
    <row r="124" spans="1:7">
      <c r="A124" s="81"/>
      <c r="B124" s="44"/>
      <c r="C124" s="45"/>
      <c r="D124" s="35"/>
      <c r="E124" s="46">
        <f>SUM('Special levies forecast 2022-23'!D123:D123)</f>
        <v>271226</v>
      </c>
      <c r="F124" s="11"/>
      <c r="G124" s="11"/>
    </row>
    <row r="125" spans="1:7">
      <c r="A125" s="74">
        <v>44887</v>
      </c>
      <c r="B125" s="14" t="s">
        <v>85</v>
      </c>
      <c r="C125" s="15"/>
      <c r="D125" s="12"/>
      <c r="E125" s="10"/>
      <c r="F125" s="17"/>
      <c r="G125" s="18"/>
    </row>
    <row r="126" spans="1:7">
      <c r="A126" s="73"/>
      <c r="B126" s="7"/>
      <c r="C126" s="8" t="s">
        <v>36</v>
      </c>
      <c r="D126" s="12">
        <v>2731</v>
      </c>
      <c r="E126" s="10"/>
      <c r="F126" s="11"/>
      <c r="G126" s="11" t="s">
        <v>11</v>
      </c>
    </row>
    <row r="127" spans="1:7">
      <c r="A127" s="75"/>
      <c r="B127" s="19"/>
      <c r="C127" s="20"/>
      <c r="D127" s="35"/>
      <c r="E127" s="13">
        <f>SUM('Special levies forecast 2022-23'!D126)</f>
        <v>2731</v>
      </c>
      <c r="F127" s="11"/>
      <c r="G127" s="11"/>
    </row>
    <row r="128" spans="1:7">
      <c r="A128" s="74">
        <v>44872</v>
      </c>
      <c r="B128" s="14" t="s">
        <v>86</v>
      </c>
      <c r="C128" s="15"/>
      <c r="D128" s="12"/>
      <c r="E128" s="10"/>
      <c r="F128" s="17"/>
      <c r="G128" s="18"/>
    </row>
    <row r="129" spans="1:7">
      <c r="A129" s="73"/>
      <c r="B129" s="7"/>
      <c r="C129" s="8" t="s">
        <v>36</v>
      </c>
      <c r="D129" s="12">
        <v>10562.11</v>
      </c>
      <c r="E129" s="10"/>
      <c r="F129" s="11"/>
      <c r="G129" s="11" t="s">
        <v>11</v>
      </c>
    </row>
    <row r="130" spans="1:7">
      <c r="A130" s="75"/>
      <c r="B130" s="19"/>
      <c r="C130" s="20"/>
      <c r="D130" s="35"/>
      <c r="E130" s="13">
        <f>SUM('Special levies forecast 2022-23'!D129)</f>
        <v>10562.11</v>
      </c>
      <c r="F130" s="11"/>
      <c r="G130" s="11"/>
    </row>
    <row r="131" spans="1:7">
      <c r="A131" s="74">
        <v>44872</v>
      </c>
      <c r="B131" s="14" t="s">
        <v>87</v>
      </c>
      <c r="C131" s="15"/>
      <c r="D131" s="12"/>
      <c r="E131" s="10"/>
      <c r="F131" s="17"/>
      <c r="G131" s="18"/>
    </row>
    <row r="132" spans="1:7">
      <c r="A132" s="73"/>
      <c r="B132" s="7"/>
      <c r="C132" s="8" t="s">
        <v>12</v>
      </c>
      <c r="D132" s="12">
        <v>306750</v>
      </c>
      <c r="E132" s="10"/>
      <c r="F132" s="11"/>
      <c r="G132" s="11"/>
    </row>
    <row r="133" spans="1:7">
      <c r="A133" s="73"/>
      <c r="B133" s="7"/>
      <c r="C133" s="8" t="s">
        <v>88</v>
      </c>
      <c r="D133" s="12">
        <v>16964</v>
      </c>
      <c r="E133" s="10"/>
      <c r="F133" s="11"/>
      <c r="G133" s="11" t="s">
        <v>11</v>
      </c>
    </row>
    <row r="134" spans="1:7">
      <c r="A134" s="73"/>
      <c r="B134" s="7"/>
      <c r="C134" s="8" t="s">
        <v>89</v>
      </c>
      <c r="D134" s="12">
        <v>981</v>
      </c>
      <c r="E134" s="10"/>
      <c r="F134" s="11"/>
      <c r="G134" s="11"/>
    </row>
    <row r="135" spans="1:7">
      <c r="A135" s="73"/>
      <c r="B135" s="7"/>
      <c r="C135" s="8" t="s">
        <v>90</v>
      </c>
      <c r="D135" s="12">
        <v>4329</v>
      </c>
      <c r="E135" s="10"/>
      <c r="F135" s="11"/>
      <c r="G135" s="11"/>
    </row>
    <row r="136" spans="1:7">
      <c r="A136" s="75"/>
      <c r="B136" s="19"/>
      <c r="C136" s="29"/>
      <c r="D136" s="35"/>
      <c r="E136" s="13">
        <f>SUM(D132:D135)</f>
        <v>329024</v>
      </c>
      <c r="F136" s="11"/>
      <c r="G136" s="11"/>
    </row>
    <row r="137" spans="1:7">
      <c r="A137" s="74">
        <v>44886</v>
      </c>
      <c r="B137" s="14" t="s">
        <v>91</v>
      </c>
      <c r="C137" s="15"/>
      <c r="D137" s="12"/>
      <c r="E137" s="10"/>
      <c r="F137" s="17"/>
      <c r="G137" s="18"/>
    </row>
    <row r="138" spans="1:7">
      <c r="A138" s="73"/>
      <c r="B138" s="7"/>
      <c r="C138" s="8" t="s">
        <v>29</v>
      </c>
      <c r="D138" s="12">
        <v>6791</v>
      </c>
      <c r="E138" s="10"/>
      <c r="F138" s="11"/>
      <c r="G138" s="11" t="s">
        <v>11</v>
      </c>
    </row>
    <row r="139" spans="1:7">
      <c r="A139" s="75"/>
      <c r="B139" s="19"/>
      <c r="C139" s="20"/>
      <c r="D139" s="35"/>
      <c r="E139" s="13">
        <f>SUM(D138)</f>
        <v>6791</v>
      </c>
      <c r="F139" s="11"/>
      <c r="G139" s="11"/>
    </row>
    <row r="140" spans="1:7">
      <c r="A140" s="74">
        <v>44886</v>
      </c>
      <c r="B140" s="14" t="s">
        <v>92</v>
      </c>
      <c r="C140" s="15"/>
      <c r="D140" s="12"/>
      <c r="E140" s="10"/>
      <c r="F140" s="17"/>
      <c r="G140" s="18"/>
    </row>
    <row r="141" spans="1:7">
      <c r="A141" s="73"/>
      <c r="B141" s="7"/>
      <c r="C141" s="8" t="s">
        <v>29</v>
      </c>
      <c r="D141" s="12">
        <v>257414</v>
      </c>
      <c r="E141" s="10"/>
      <c r="F141" s="11"/>
      <c r="G141" s="11" t="s">
        <v>11</v>
      </c>
    </row>
    <row r="142" spans="1:7">
      <c r="A142" s="75"/>
      <c r="B142" s="19"/>
      <c r="C142" s="20"/>
      <c r="D142" s="35"/>
      <c r="E142" s="13">
        <f>SUM('Special levies forecast 2022-23'!D141)</f>
        <v>257414</v>
      </c>
      <c r="F142" s="11"/>
      <c r="G142" s="11"/>
    </row>
    <row r="143" spans="1:7">
      <c r="A143" s="74">
        <v>44887</v>
      </c>
      <c r="B143" s="14" t="s">
        <v>93</v>
      </c>
      <c r="C143" s="15"/>
      <c r="D143" s="12"/>
      <c r="E143" s="22"/>
      <c r="F143" s="17"/>
      <c r="G143" s="18"/>
    </row>
    <row r="144" spans="1:7">
      <c r="A144" s="73"/>
      <c r="B144" s="7"/>
      <c r="C144" s="8" t="s">
        <v>59</v>
      </c>
      <c r="D144" s="12">
        <v>68735</v>
      </c>
      <c r="E144" s="10"/>
      <c r="F144" s="11"/>
      <c r="G144" s="11" t="s">
        <v>11</v>
      </c>
    </row>
    <row r="145" spans="1:7">
      <c r="A145" s="75"/>
      <c r="B145" s="19"/>
      <c r="C145" s="20"/>
      <c r="D145" s="35"/>
      <c r="E145" s="13">
        <f>SUM('Special levies forecast 2022-23'!D144)</f>
        <v>68735</v>
      </c>
      <c r="F145" s="11"/>
      <c r="G145" s="11"/>
    </row>
    <row r="146" spans="1:7">
      <c r="A146" s="74">
        <v>44872</v>
      </c>
      <c r="B146" s="27" t="s">
        <v>94</v>
      </c>
      <c r="C146" s="15"/>
      <c r="D146" s="12"/>
      <c r="E146" s="10"/>
      <c r="F146" s="17"/>
      <c r="G146" s="18"/>
    </row>
    <row r="147" spans="1:7">
      <c r="A147" s="73"/>
      <c r="B147" s="7"/>
      <c r="C147" s="8" t="s">
        <v>95</v>
      </c>
      <c r="D147" s="12">
        <v>2277</v>
      </c>
      <c r="E147" s="10"/>
      <c r="F147" s="11"/>
      <c r="G147" s="11" t="s">
        <v>11</v>
      </c>
    </row>
    <row r="148" spans="1:7">
      <c r="A148" s="75"/>
      <c r="B148" s="19"/>
      <c r="C148" s="20"/>
      <c r="D148" s="35"/>
      <c r="E148" s="13">
        <f>SUM(D146:D147)</f>
        <v>2277</v>
      </c>
      <c r="F148" s="11"/>
      <c r="G148" s="11"/>
    </row>
    <row r="149" spans="1:7">
      <c r="A149" s="74">
        <v>44887</v>
      </c>
      <c r="B149" s="14" t="s">
        <v>96</v>
      </c>
      <c r="C149" s="15"/>
      <c r="D149" s="12"/>
      <c r="E149" s="22"/>
      <c r="F149" s="17"/>
      <c r="G149" s="18"/>
    </row>
    <row r="150" spans="1:7">
      <c r="A150" s="73"/>
      <c r="B150" s="7"/>
      <c r="C150" s="8" t="s">
        <v>97</v>
      </c>
      <c r="D150" s="12">
        <v>151</v>
      </c>
      <c r="E150" s="10"/>
      <c r="F150" s="11"/>
      <c r="G150" s="11" t="s">
        <v>11</v>
      </c>
    </row>
    <row r="151" spans="1:7">
      <c r="A151" s="73"/>
      <c r="B151" s="7"/>
      <c r="C151" s="8" t="s">
        <v>59</v>
      </c>
      <c r="D151" s="12">
        <v>9</v>
      </c>
      <c r="E151" s="10"/>
      <c r="F151" s="11"/>
      <c r="G151" s="11"/>
    </row>
    <row r="152" spans="1:7">
      <c r="A152" s="75"/>
      <c r="B152" s="19"/>
      <c r="C152" s="20"/>
      <c r="D152" s="35"/>
      <c r="E152" s="13">
        <f>SUM(D150:D151)</f>
        <v>160</v>
      </c>
      <c r="F152" s="11"/>
      <c r="G152" s="11"/>
    </row>
    <row r="153" spans="1:7">
      <c r="A153" s="74">
        <v>44887</v>
      </c>
      <c r="B153" s="14" t="s">
        <v>98</v>
      </c>
      <c r="C153" s="15"/>
      <c r="D153" s="12"/>
      <c r="E153" s="22"/>
      <c r="F153" s="17"/>
      <c r="G153" s="18"/>
    </row>
    <row r="154" spans="1:7">
      <c r="A154" s="73"/>
      <c r="B154" s="7"/>
      <c r="C154" s="8" t="s">
        <v>36</v>
      </c>
      <c r="D154" s="12">
        <v>203629</v>
      </c>
      <c r="E154" s="10"/>
      <c r="F154" s="11"/>
      <c r="G154" s="11"/>
    </row>
    <row r="155" spans="1:7">
      <c r="A155" s="73"/>
      <c r="B155" s="7"/>
      <c r="C155" s="8" t="s">
        <v>84</v>
      </c>
      <c r="D155" s="12">
        <v>1194</v>
      </c>
      <c r="E155" s="10"/>
      <c r="F155" s="11"/>
      <c r="G155" s="11" t="s">
        <v>11</v>
      </c>
    </row>
    <row r="156" spans="1:7">
      <c r="A156" s="75"/>
      <c r="B156" s="19"/>
      <c r="C156" s="20"/>
      <c r="D156" s="35"/>
      <c r="E156" s="26">
        <f>SUM(D154:D155)</f>
        <v>204823</v>
      </c>
      <c r="F156" s="11"/>
      <c r="G156" s="11"/>
    </row>
    <row r="157" spans="1:7">
      <c r="A157" s="74">
        <v>44879</v>
      </c>
      <c r="B157" s="14" t="s">
        <v>99</v>
      </c>
      <c r="C157" s="15"/>
      <c r="D157" s="12"/>
      <c r="E157" s="22"/>
      <c r="F157" s="17"/>
      <c r="G157" s="18"/>
    </row>
    <row r="158" spans="1:7">
      <c r="A158" s="73"/>
      <c r="B158" s="7"/>
      <c r="C158" s="8" t="s">
        <v>100</v>
      </c>
      <c r="D158" s="12">
        <v>2037215</v>
      </c>
      <c r="E158" s="10"/>
      <c r="F158" s="11"/>
      <c r="G158" s="11"/>
    </row>
    <row r="159" spans="1:7">
      <c r="A159" s="73"/>
      <c r="B159" s="7"/>
      <c r="C159" s="8" t="s">
        <v>36</v>
      </c>
      <c r="D159" s="12">
        <v>94039</v>
      </c>
      <c r="E159" s="10"/>
      <c r="F159" s="11"/>
      <c r="G159" s="11" t="s">
        <v>11</v>
      </c>
    </row>
    <row r="160" spans="1:7">
      <c r="A160" s="73"/>
      <c r="B160" s="7"/>
      <c r="C160" s="8" t="s">
        <v>41</v>
      </c>
      <c r="D160" s="12">
        <v>26065</v>
      </c>
      <c r="E160" s="10"/>
      <c r="F160" s="11"/>
      <c r="G160" s="11"/>
    </row>
    <row r="161" spans="1:7">
      <c r="A161" s="75"/>
      <c r="B161" s="19"/>
      <c r="C161" s="20"/>
      <c r="D161" s="35"/>
      <c r="E161" s="13">
        <f>SUM(D158:D160)</f>
        <v>2157319</v>
      </c>
      <c r="F161" s="11"/>
      <c r="G161" s="11"/>
    </row>
    <row r="162" spans="1:7">
      <c r="A162" s="74">
        <v>44874</v>
      </c>
      <c r="B162" s="14" t="s">
        <v>101</v>
      </c>
      <c r="C162" s="15"/>
      <c r="D162" s="12"/>
      <c r="E162" s="22"/>
      <c r="F162" s="17"/>
      <c r="G162" s="18"/>
    </row>
    <row r="163" spans="1:7">
      <c r="A163" s="73"/>
      <c r="B163" s="7"/>
      <c r="C163" s="8" t="s">
        <v>89</v>
      </c>
      <c r="D163" s="12">
        <v>16718</v>
      </c>
      <c r="E163" s="10"/>
      <c r="F163" s="11"/>
      <c r="G163" s="11" t="s">
        <v>11</v>
      </c>
    </row>
    <row r="164" spans="1:7">
      <c r="A164" s="73"/>
      <c r="B164" s="7"/>
      <c r="C164" s="8" t="s">
        <v>12</v>
      </c>
      <c r="D164" s="12">
        <v>128078</v>
      </c>
      <c r="E164" s="10"/>
      <c r="F164" s="11"/>
      <c r="G164" s="11"/>
    </row>
    <row r="165" spans="1:7">
      <c r="A165" s="75"/>
      <c r="B165" s="19"/>
      <c r="C165" s="20"/>
      <c r="D165" s="35"/>
      <c r="E165" s="13">
        <f>SUM(D163:D164)</f>
        <v>144796</v>
      </c>
      <c r="F165" s="11"/>
      <c r="G165" s="11"/>
    </row>
    <row r="166" spans="1:7">
      <c r="A166" s="82">
        <v>44880</v>
      </c>
      <c r="B166" s="36" t="s">
        <v>102</v>
      </c>
      <c r="C166" s="37"/>
      <c r="D166" s="12"/>
      <c r="E166" s="10"/>
      <c r="F166" s="17"/>
      <c r="G166" s="18"/>
    </row>
    <row r="167" spans="1:7">
      <c r="A167" s="83"/>
      <c r="B167" s="36"/>
      <c r="C167" s="37" t="s">
        <v>58</v>
      </c>
      <c r="D167" s="12">
        <v>15283</v>
      </c>
      <c r="E167" s="10"/>
      <c r="F167" s="31"/>
      <c r="G167" s="11" t="s">
        <v>11</v>
      </c>
    </row>
    <row r="168" spans="1:7">
      <c r="A168" s="83"/>
      <c r="B168" s="36"/>
      <c r="C168" s="37"/>
      <c r="D168" s="35"/>
      <c r="E168" s="13">
        <f>SUM(D166:D167)</f>
        <v>15283</v>
      </c>
      <c r="F168" s="11"/>
      <c r="G168" s="11"/>
    </row>
    <row r="169" spans="1:7">
      <c r="A169" s="74">
        <v>44876</v>
      </c>
      <c r="B169" s="14" t="s">
        <v>103</v>
      </c>
      <c r="C169" s="15"/>
      <c r="D169" s="12"/>
      <c r="E169" s="22"/>
      <c r="F169" s="17"/>
      <c r="G169" s="18"/>
    </row>
    <row r="170" spans="1:7">
      <c r="A170" s="73"/>
      <c r="B170" s="7"/>
      <c r="C170" s="8" t="s">
        <v>104</v>
      </c>
      <c r="D170" s="12">
        <v>3148331</v>
      </c>
      <c r="E170" s="10"/>
      <c r="F170" s="11"/>
      <c r="G170" s="11"/>
    </row>
    <row r="171" spans="1:7">
      <c r="A171" s="73"/>
      <c r="B171" s="7"/>
      <c r="C171" s="8" t="s">
        <v>105</v>
      </c>
      <c r="D171" s="12">
        <v>9965</v>
      </c>
      <c r="E171" s="10"/>
      <c r="F171" s="11"/>
      <c r="G171" s="11" t="s">
        <v>11</v>
      </c>
    </row>
    <row r="172" spans="1:7">
      <c r="A172" s="75"/>
      <c r="B172" s="19"/>
      <c r="C172" s="20"/>
      <c r="D172" s="35"/>
      <c r="E172" s="23">
        <f>SUM('Special levies forecast 2022-23'!D170:D171)</f>
        <v>3158296</v>
      </c>
      <c r="F172" s="11"/>
      <c r="G172" s="11"/>
    </row>
    <row r="173" spans="1:7">
      <c r="A173" s="74">
        <v>44882</v>
      </c>
      <c r="B173" s="14" t="s">
        <v>106</v>
      </c>
      <c r="C173" s="15"/>
      <c r="D173" s="12"/>
      <c r="E173" s="22"/>
      <c r="F173" s="17"/>
      <c r="G173" s="18"/>
    </row>
    <row r="174" spans="1:7">
      <c r="A174" s="73"/>
      <c r="B174" s="7"/>
      <c r="C174" s="8" t="s">
        <v>59</v>
      </c>
      <c r="D174" s="12">
        <v>204120</v>
      </c>
      <c r="E174" s="10"/>
      <c r="F174" s="11"/>
      <c r="G174" s="11"/>
    </row>
    <row r="175" spans="1:7">
      <c r="A175" s="73"/>
      <c r="B175" s="7"/>
      <c r="C175" s="8" t="s">
        <v>107</v>
      </c>
      <c r="D175" s="12">
        <v>28421</v>
      </c>
      <c r="E175" s="10"/>
      <c r="F175" s="11"/>
      <c r="G175" s="11" t="s">
        <v>11</v>
      </c>
    </row>
    <row r="176" spans="1:7">
      <c r="A176" s="75"/>
      <c r="B176" s="19"/>
      <c r="C176" s="20"/>
      <c r="D176" s="35"/>
      <c r="E176" s="13">
        <f>SUM(D174:D175)</f>
        <v>232541</v>
      </c>
      <c r="F176" s="11"/>
      <c r="G176" s="11"/>
    </row>
    <row r="177" spans="1:7">
      <c r="A177" s="74">
        <v>44875</v>
      </c>
      <c r="B177" s="14" t="s">
        <v>108</v>
      </c>
      <c r="C177" s="15"/>
      <c r="D177" s="12"/>
      <c r="E177" s="22"/>
      <c r="F177" s="17"/>
      <c r="G177" s="18"/>
    </row>
    <row r="178" spans="1:7">
      <c r="A178" s="73"/>
      <c r="B178" s="7"/>
      <c r="C178" s="8" t="s">
        <v>109</v>
      </c>
      <c r="D178" s="12">
        <v>11083</v>
      </c>
      <c r="E178" s="10"/>
      <c r="F178" s="11"/>
      <c r="G178" s="11"/>
    </row>
    <row r="179" spans="1:7">
      <c r="A179" s="73"/>
      <c r="B179" s="7"/>
      <c r="C179" s="8" t="s">
        <v>110</v>
      </c>
      <c r="D179" s="12">
        <v>404117</v>
      </c>
      <c r="E179" s="10"/>
      <c r="F179" s="11"/>
      <c r="G179" s="11"/>
    </row>
    <row r="180" spans="1:7">
      <c r="A180" s="73"/>
      <c r="B180" s="7"/>
      <c r="C180" s="8" t="s">
        <v>111</v>
      </c>
      <c r="D180" s="12">
        <v>906019</v>
      </c>
      <c r="E180" s="10"/>
      <c r="F180" s="11"/>
      <c r="G180" s="11" t="s">
        <v>11</v>
      </c>
    </row>
    <row r="181" spans="1:7">
      <c r="A181" s="73"/>
      <c r="B181" s="7"/>
      <c r="C181" s="8" t="s">
        <v>112</v>
      </c>
      <c r="D181" s="12">
        <v>216247</v>
      </c>
      <c r="E181" s="10"/>
      <c r="F181" s="11"/>
      <c r="G181" s="11"/>
    </row>
    <row r="182" spans="1:7">
      <c r="A182" s="75"/>
      <c r="B182" s="19"/>
      <c r="C182" s="29"/>
      <c r="D182" s="35"/>
      <c r="E182" s="13">
        <f>SUM(D178:D181)</f>
        <v>1537466</v>
      </c>
      <c r="F182" s="11"/>
      <c r="G182" s="11"/>
    </row>
    <row r="183" spans="1:7">
      <c r="A183" s="74">
        <v>44869</v>
      </c>
      <c r="B183" s="14" t="s">
        <v>113</v>
      </c>
      <c r="C183" s="15"/>
      <c r="D183" s="12"/>
      <c r="E183" s="22"/>
      <c r="F183" s="17"/>
      <c r="G183" s="18"/>
    </row>
    <row r="184" spans="1:7">
      <c r="A184" s="73"/>
      <c r="B184" s="7"/>
      <c r="C184" s="8" t="s">
        <v>114</v>
      </c>
      <c r="D184" s="12">
        <v>804477</v>
      </c>
      <c r="E184" s="10"/>
      <c r="F184" s="11"/>
      <c r="G184" s="11"/>
    </row>
    <row r="185" spans="1:7">
      <c r="A185" s="73"/>
      <c r="B185" s="7"/>
      <c r="C185" s="8" t="s">
        <v>115</v>
      </c>
      <c r="D185" s="12">
        <v>361488</v>
      </c>
      <c r="E185" s="10"/>
      <c r="F185" s="11"/>
      <c r="G185" s="11"/>
    </row>
    <row r="186" spans="1:7">
      <c r="A186" s="73"/>
      <c r="B186" s="7"/>
      <c r="C186" s="8" t="s">
        <v>116</v>
      </c>
      <c r="D186" s="12">
        <v>171228</v>
      </c>
      <c r="E186" s="10"/>
      <c r="F186" s="11"/>
      <c r="G186" s="11"/>
    </row>
    <row r="187" spans="1:7">
      <c r="A187" s="73"/>
      <c r="B187" s="7"/>
      <c r="C187" s="8" t="s">
        <v>117</v>
      </c>
      <c r="D187" s="12">
        <v>77282</v>
      </c>
      <c r="E187" s="10"/>
      <c r="F187" s="11"/>
      <c r="G187" s="11"/>
    </row>
    <row r="188" spans="1:7">
      <c r="A188" s="73"/>
      <c r="B188" s="7"/>
      <c r="C188" s="8" t="s">
        <v>118</v>
      </c>
      <c r="D188" s="12">
        <v>47753</v>
      </c>
      <c r="E188" s="10"/>
      <c r="F188" s="11"/>
      <c r="G188" s="11" t="s">
        <v>11</v>
      </c>
    </row>
    <row r="189" spans="1:7">
      <c r="A189" s="73"/>
      <c r="B189" s="7"/>
      <c r="C189" s="8" t="s">
        <v>119</v>
      </c>
      <c r="D189" s="12">
        <v>13047</v>
      </c>
      <c r="E189" s="10"/>
      <c r="F189" s="11"/>
      <c r="G189" s="11"/>
    </row>
    <row r="190" spans="1:7">
      <c r="A190" s="73"/>
      <c r="B190" s="7"/>
      <c r="C190" s="8" t="s">
        <v>120</v>
      </c>
      <c r="D190" s="12">
        <v>7837</v>
      </c>
      <c r="E190" s="10"/>
      <c r="F190" s="11"/>
      <c r="G190" s="11"/>
    </row>
    <row r="191" spans="1:7">
      <c r="A191" s="73"/>
      <c r="B191" s="7"/>
      <c r="C191" s="8" t="s">
        <v>121</v>
      </c>
      <c r="D191" s="12">
        <v>1789</v>
      </c>
      <c r="E191" s="10"/>
      <c r="F191" s="11"/>
      <c r="G191" s="11"/>
    </row>
    <row r="192" spans="1:7">
      <c r="A192" s="75"/>
      <c r="B192" s="19"/>
      <c r="C192" s="20"/>
      <c r="D192" s="35"/>
      <c r="E192" s="13">
        <f>SUM('Special levies forecast 2022-23'!D184:D191)</f>
        <v>1484901</v>
      </c>
      <c r="F192" s="47"/>
      <c r="G192" s="11"/>
    </row>
    <row r="193" spans="1:7">
      <c r="A193" s="74">
        <v>44887</v>
      </c>
      <c r="B193" s="14" t="s">
        <v>122</v>
      </c>
      <c r="C193" s="15"/>
      <c r="D193" s="12"/>
      <c r="E193" s="22"/>
      <c r="F193" s="11"/>
      <c r="G193" s="18"/>
    </row>
    <row r="194" spans="1:7">
      <c r="A194" s="73"/>
      <c r="B194" s="7"/>
      <c r="C194" s="8" t="s">
        <v>36</v>
      </c>
      <c r="D194" s="12">
        <v>36146</v>
      </c>
      <c r="E194" s="10"/>
      <c r="F194" s="11"/>
      <c r="G194" s="11"/>
    </row>
    <row r="195" spans="1:7">
      <c r="A195" s="73"/>
      <c r="B195" s="7"/>
      <c r="C195" s="8" t="s">
        <v>123</v>
      </c>
      <c r="D195" s="12">
        <v>21372</v>
      </c>
      <c r="E195" s="10"/>
      <c r="F195" s="11"/>
      <c r="G195" s="11" t="s">
        <v>11</v>
      </c>
    </row>
    <row r="196" spans="1:7">
      <c r="A196" s="75"/>
      <c r="B196" s="19"/>
      <c r="C196" s="20"/>
      <c r="D196" s="35"/>
      <c r="E196" s="13">
        <f>SUM('Special levies forecast 2022-23'!D194:D195)</f>
        <v>57518</v>
      </c>
      <c r="F196" s="11"/>
      <c r="G196" s="11"/>
    </row>
    <row r="197" spans="1:7">
      <c r="A197" s="74">
        <v>44887</v>
      </c>
      <c r="B197" s="14" t="s">
        <v>124</v>
      </c>
      <c r="C197" s="15"/>
      <c r="D197" s="12"/>
      <c r="E197" s="22"/>
      <c r="F197" s="17"/>
      <c r="G197" s="18"/>
    </row>
    <row r="198" spans="1:7">
      <c r="A198" s="73"/>
      <c r="B198" s="7"/>
      <c r="C198" s="8" t="s">
        <v>36</v>
      </c>
      <c r="D198" s="12">
        <v>42134</v>
      </c>
      <c r="E198" s="10"/>
      <c r="F198" s="11"/>
      <c r="G198" s="11" t="s">
        <v>11</v>
      </c>
    </row>
    <row r="199" spans="1:7">
      <c r="A199" s="75"/>
      <c r="B199" s="19"/>
      <c r="C199" s="20"/>
      <c r="D199" s="35"/>
      <c r="E199" s="13">
        <f>SUM('Special levies forecast 2022-23'!D198:D198)</f>
        <v>42134</v>
      </c>
      <c r="F199" s="11"/>
      <c r="G199" s="11"/>
    </row>
    <row r="200" spans="1:7">
      <c r="A200" s="74">
        <v>44887</v>
      </c>
      <c r="B200" s="14" t="s">
        <v>125</v>
      </c>
      <c r="C200" s="15"/>
      <c r="D200" s="12"/>
      <c r="E200" s="22"/>
      <c r="F200" s="17"/>
      <c r="G200" s="18"/>
    </row>
    <row r="201" spans="1:7">
      <c r="A201" s="73"/>
      <c r="B201" s="7"/>
      <c r="C201" s="8" t="s">
        <v>36</v>
      </c>
      <c r="D201" s="12">
        <v>719</v>
      </c>
      <c r="E201" s="10"/>
      <c r="F201" s="11"/>
      <c r="G201" s="11" t="s">
        <v>11</v>
      </c>
    </row>
    <row r="202" spans="1:7">
      <c r="A202" s="75"/>
      <c r="B202" s="19"/>
      <c r="C202" s="20"/>
      <c r="D202" s="35"/>
      <c r="E202" s="13">
        <f>SUM('Special levies forecast 2022-23'!D201)</f>
        <v>719</v>
      </c>
      <c r="F202" s="11"/>
      <c r="G202" s="11"/>
    </row>
    <row r="203" spans="1:7">
      <c r="A203" s="74">
        <v>44887</v>
      </c>
      <c r="B203" s="14" t="s">
        <v>126</v>
      </c>
      <c r="C203" s="15"/>
      <c r="D203" s="12"/>
      <c r="E203" s="22"/>
      <c r="F203" s="17"/>
      <c r="G203" s="18"/>
    </row>
    <row r="204" spans="1:7">
      <c r="A204" s="73"/>
      <c r="B204" s="7"/>
      <c r="C204" s="8" t="s">
        <v>36</v>
      </c>
      <c r="D204" s="12">
        <v>25829</v>
      </c>
      <c r="E204" s="10"/>
      <c r="F204" s="11"/>
      <c r="G204" s="11" t="s">
        <v>11</v>
      </c>
    </row>
    <row r="205" spans="1:7">
      <c r="A205" s="75"/>
      <c r="B205" s="19"/>
      <c r="C205" s="20"/>
      <c r="D205" s="35"/>
      <c r="E205" s="13">
        <f>SUM('Special levies forecast 2022-23'!D204:D204)</f>
        <v>25829</v>
      </c>
      <c r="F205" s="11"/>
      <c r="G205" s="11"/>
    </row>
    <row r="206" spans="1:7">
      <c r="A206" s="74">
        <v>44887</v>
      </c>
      <c r="B206" s="14" t="s">
        <v>127</v>
      </c>
      <c r="C206" s="15"/>
      <c r="D206" s="12"/>
      <c r="E206" s="22"/>
      <c r="F206" s="17"/>
      <c r="G206" s="18"/>
    </row>
    <row r="207" spans="1:7">
      <c r="A207" s="73"/>
      <c r="B207" s="7"/>
      <c r="C207" s="8" t="s">
        <v>36</v>
      </c>
      <c r="D207" s="12">
        <v>4079</v>
      </c>
      <c r="E207" s="10"/>
      <c r="F207" s="11"/>
      <c r="G207" s="11" t="s">
        <v>11</v>
      </c>
    </row>
    <row r="208" spans="1:7">
      <c r="A208" s="75"/>
      <c r="B208" s="19"/>
      <c r="C208" s="29"/>
      <c r="D208" s="35"/>
      <c r="E208" s="13">
        <f>SUM('Special levies forecast 2022-23'!D207:D207)</f>
        <v>4079</v>
      </c>
      <c r="F208" s="11"/>
      <c r="G208" s="11"/>
    </row>
    <row r="209" spans="1:7">
      <c r="A209" s="74">
        <v>44887</v>
      </c>
      <c r="B209" s="14" t="s">
        <v>128</v>
      </c>
      <c r="C209" s="15"/>
      <c r="D209" s="12"/>
      <c r="E209" s="22"/>
      <c r="F209" s="17"/>
      <c r="G209" s="18"/>
    </row>
    <row r="210" spans="1:7">
      <c r="A210" s="73"/>
      <c r="B210" s="7"/>
      <c r="C210" s="8" t="s">
        <v>36</v>
      </c>
      <c r="D210" s="12">
        <v>52542</v>
      </c>
      <c r="E210" s="10"/>
      <c r="F210" s="11"/>
      <c r="G210" s="11" t="s">
        <v>11</v>
      </c>
    </row>
    <row r="211" spans="1:7">
      <c r="A211" s="75"/>
      <c r="B211" s="19"/>
      <c r="C211" s="20"/>
      <c r="D211" s="35"/>
      <c r="E211" s="23">
        <f>SUM('Special levies forecast 2022-23'!D210:D210)</f>
        <v>52542</v>
      </c>
      <c r="F211" s="11"/>
      <c r="G211" s="11"/>
    </row>
    <row r="212" spans="1:7">
      <c r="A212" s="82">
        <v>44873</v>
      </c>
      <c r="B212" s="36" t="s">
        <v>129</v>
      </c>
      <c r="C212" s="37"/>
      <c r="D212" s="12"/>
      <c r="E212" s="22"/>
      <c r="F212" s="17"/>
      <c r="G212" s="18"/>
    </row>
    <row r="213" spans="1:7">
      <c r="A213" s="83"/>
      <c r="B213" s="36"/>
      <c r="C213" s="37" t="s">
        <v>130</v>
      </c>
      <c r="D213" s="12">
        <v>8443</v>
      </c>
      <c r="E213" s="10"/>
      <c r="F213" s="11"/>
      <c r="G213" s="11" t="s">
        <v>11</v>
      </c>
    </row>
    <row r="214" spans="1:7">
      <c r="A214" s="84"/>
      <c r="B214" s="36"/>
      <c r="C214" s="37"/>
      <c r="D214" s="35"/>
      <c r="E214" s="13">
        <f>SUM('Special levies forecast 2022-23'!D213:D213)</f>
        <v>8443</v>
      </c>
      <c r="F214" s="11"/>
      <c r="G214" s="48"/>
    </row>
    <row r="215" spans="1:7">
      <c r="A215" s="74">
        <v>44881</v>
      </c>
      <c r="B215" s="14" t="s">
        <v>131</v>
      </c>
      <c r="C215" s="15"/>
      <c r="D215" s="12"/>
      <c r="E215" s="22"/>
      <c r="F215" s="17"/>
      <c r="G215" s="11"/>
    </row>
    <row r="216" spans="1:7">
      <c r="A216" s="73"/>
      <c r="B216" s="7"/>
      <c r="C216" s="8" t="s">
        <v>59</v>
      </c>
      <c r="D216" s="12">
        <v>88321</v>
      </c>
      <c r="E216" s="10"/>
      <c r="F216" s="11"/>
      <c r="G216" s="11" t="s">
        <v>11</v>
      </c>
    </row>
    <row r="217" spans="1:7">
      <c r="A217" s="75"/>
      <c r="B217" s="19"/>
      <c r="C217" s="20"/>
      <c r="D217" s="35"/>
      <c r="E217" s="26">
        <f>SUM('Special levies forecast 2022-23'!D216:D216)</f>
        <v>88321</v>
      </c>
      <c r="F217" s="11"/>
      <c r="G217" s="48"/>
    </row>
    <row r="218" spans="1:7">
      <c r="A218" s="74">
        <v>44873</v>
      </c>
      <c r="B218" s="14" t="s">
        <v>132</v>
      </c>
      <c r="C218" s="15"/>
      <c r="D218" s="12"/>
      <c r="E218" s="22"/>
      <c r="F218" s="17"/>
      <c r="G218" s="11"/>
    </row>
    <row r="219" spans="1:7">
      <c r="A219" s="73"/>
      <c r="B219" s="7"/>
      <c r="C219" s="8" t="s">
        <v>123</v>
      </c>
      <c r="D219" s="12">
        <v>223002</v>
      </c>
      <c r="E219" s="10"/>
      <c r="F219" s="11"/>
      <c r="G219" s="11"/>
    </row>
    <row r="220" spans="1:7">
      <c r="A220" s="73"/>
      <c r="B220" s="7"/>
      <c r="C220" s="8" t="s">
        <v>36</v>
      </c>
      <c r="D220" s="12">
        <v>545014</v>
      </c>
      <c r="E220" s="10"/>
      <c r="F220" s="11"/>
      <c r="G220" s="11" t="s">
        <v>11</v>
      </c>
    </row>
    <row r="221" spans="1:7">
      <c r="A221" s="73"/>
      <c r="B221" s="7"/>
      <c r="C221" s="8" t="s">
        <v>17</v>
      </c>
      <c r="D221" s="12">
        <v>226919</v>
      </c>
      <c r="E221" s="10"/>
      <c r="F221" s="11"/>
      <c r="G221" s="11"/>
    </row>
    <row r="222" spans="1:7">
      <c r="A222" s="75"/>
      <c r="B222" s="19"/>
      <c r="C222" s="20"/>
      <c r="D222" s="35"/>
      <c r="E222" s="23">
        <f>SUM(D219:D221)</f>
        <v>994935</v>
      </c>
      <c r="F222" s="11"/>
      <c r="G222" s="48"/>
    </row>
    <row r="223" spans="1:7">
      <c r="A223" s="74">
        <v>44881</v>
      </c>
      <c r="B223" s="14" t="s">
        <v>133</v>
      </c>
      <c r="C223" s="15"/>
      <c r="D223" s="12"/>
      <c r="E223" s="22"/>
      <c r="F223" s="17"/>
      <c r="G223" s="11"/>
    </row>
    <row r="224" spans="1:7">
      <c r="A224" s="73"/>
      <c r="B224" s="7"/>
      <c r="C224" s="8" t="s">
        <v>58</v>
      </c>
      <c r="D224" s="12">
        <v>72790</v>
      </c>
      <c r="E224" s="10"/>
      <c r="F224" s="31"/>
      <c r="G224" s="11" t="s">
        <v>11</v>
      </c>
    </row>
    <row r="225" spans="1:7">
      <c r="A225" s="75"/>
      <c r="B225" s="19"/>
      <c r="C225" s="20"/>
      <c r="D225" s="35"/>
      <c r="E225" s="26">
        <f>SUM('Special levies forecast 2022-23'!D224:D224)</f>
        <v>72790</v>
      </c>
      <c r="F225" s="11"/>
      <c r="G225" s="48"/>
    </row>
    <row r="226" spans="1:7">
      <c r="A226" s="74">
        <v>44886</v>
      </c>
      <c r="B226" s="14" t="s">
        <v>134</v>
      </c>
      <c r="C226" s="15"/>
      <c r="D226" s="12"/>
      <c r="E226" s="22"/>
      <c r="F226" s="17"/>
      <c r="G226" s="11"/>
    </row>
    <row r="227" spans="1:7">
      <c r="A227" s="73"/>
      <c r="B227" s="7"/>
      <c r="C227" s="8" t="s">
        <v>36</v>
      </c>
      <c r="D227" s="12">
        <v>4293</v>
      </c>
      <c r="E227" s="10"/>
      <c r="F227" s="11"/>
      <c r="G227" s="11"/>
    </row>
    <row r="228" spans="1:7">
      <c r="A228" s="73"/>
      <c r="B228" s="7"/>
      <c r="C228" s="8" t="s">
        <v>123</v>
      </c>
      <c r="D228" s="12">
        <v>25941</v>
      </c>
      <c r="E228" s="10"/>
      <c r="F228" s="11"/>
      <c r="G228" s="11" t="s">
        <v>11</v>
      </c>
    </row>
    <row r="229" spans="1:7">
      <c r="A229" s="75"/>
      <c r="B229" s="19"/>
      <c r="C229" s="20"/>
      <c r="D229" s="35"/>
      <c r="E229" s="13">
        <f>SUM('Special levies forecast 2022-23'!D227:D228)</f>
        <v>30234</v>
      </c>
      <c r="F229" s="11"/>
      <c r="G229" s="48"/>
    </row>
    <row r="230" spans="1:7">
      <c r="A230" s="74">
        <v>44888</v>
      </c>
      <c r="B230" s="14" t="s">
        <v>135</v>
      </c>
      <c r="C230" s="15"/>
      <c r="D230" s="12"/>
      <c r="E230" s="22"/>
      <c r="F230" s="17"/>
      <c r="G230" s="11"/>
    </row>
    <row r="231" spans="1:7">
      <c r="A231" s="73"/>
      <c r="B231" s="7"/>
      <c r="C231" s="8" t="s">
        <v>36</v>
      </c>
      <c r="D231" s="12">
        <v>27214</v>
      </c>
      <c r="E231" s="10"/>
      <c r="F231" s="11"/>
      <c r="G231" s="11" t="s">
        <v>11</v>
      </c>
    </row>
    <row r="232" spans="1:7">
      <c r="A232" s="75"/>
      <c r="B232" s="19"/>
      <c r="C232" s="20"/>
      <c r="D232" s="35"/>
      <c r="E232" s="13">
        <f>SUM('Special levies forecast 2022-23'!D231:D231)</f>
        <v>27214</v>
      </c>
      <c r="F232" s="11"/>
      <c r="G232" s="48"/>
    </row>
    <row r="233" spans="1:7">
      <c r="A233" s="74">
        <v>44888</v>
      </c>
      <c r="B233" s="27" t="s">
        <v>136</v>
      </c>
      <c r="C233" s="15"/>
      <c r="D233" s="12"/>
      <c r="E233" s="22"/>
      <c r="F233" s="17"/>
      <c r="G233" s="11"/>
    </row>
    <row r="234" spans="1:7">
      <c r="A234" s="73"/>
      <c r="B234" s="28"/>
      <c r="C234" s="8" t="s">
        <v>97</v>
      </c>
      <c r="D234" s="12">
        <v>1514</v>
      </c>
      <c r="E234" s="10"/>
      <c r="F234" s="11"/>
      <c r="G234" s="11" t="s">
        <v>11</v>
      </c>
    </row>
    <row r="235" spans="1:7">
      <c r="A235" s="75"/>
      <c r="B235" s="49"/>
      <c r="C235" s="20"/>
      <c r="D235" s="35"/>
      <c r="E235" s="23">
        <f>SUM('Special levies forecast 2022-23'!D234)</f>
        <v>1514</v>
      </c>
      <c r="F235" s="47"/>
      <c r="G235" s="48"/>
    </row>
    <row r="236" spans="1:7">
      <c r="A236" s="74">
        <v>44879</v>
      </c>
      <c r="B236" s="27" t="s">
        <v>137</v>
      </c>
      <c r="C236" s="15"/>
      <c r="D236" s="12"/>
      <c r="E236" s="33"/>
      <c r="F236" s="11"/>
      <c r="G236" s="11"/>
    </row>
    <row r="237" spans="1:7">
      <c r="A237" s="73"/>
      <c r="B237" s="28"/>
      <c r="C237" s="8" t="s">
        <v>138</v>
      </c>
      <c r="D237" s="12">
        <v>55607</v>
      </c>
      <c r="E237" s="34"/>
      <c r="F237" s="11"/>
      <c r="G237" s="11"/>
    </row>
    <row r="238" spans="1:7">
      <c r="A238" s="73"/>
      <c r="B238" s="28"/>
      <c r="C238" s="8" t="s">
        <v>48</v>
      </c>
      <c r="D238" s="12">
        <v>83170</v>
      </c>
      <c r="E238" s="34"/>
      <c r="F238" s="11"/>
      <c r="G238" s="11"/>
    </row>
    <row r="239" spans="1:7" ht="24" customHeight="1">
      <c r="A239" s="73"/>
      <c r="B239" s="28"/>
      <c r="C239" s="8" t="s">
        <v>100</v>
      </c>
      <c r="D239" s="12">
        <v>21120</v>
      </c>
      <c r="E239" s="34"/>
      <c r="F239" s="11"/>
      <c r="G239" s="11" t="s">
        <v>11</v>
      </c>
    </row>
    <row r="240" spans="1:7" ht="12" customHeight="1">
      <c r="A240" s="73"/>
      <c r="B240" s="28"/>
      <c r="C240" s="8" t="s">
        <v>50</v>
      </c>
      <c r="D240" s="12">
        <v>110805</v>
      </c>
      <c r="E240" s="34"/>
      <c r="F240" s="11"/>
      <c r="G240" s="11"/>
    </row>
    <row r="241" spans="1:7" ht="12" customHeight="1">
      <c r="A241" s="73"/>
      <c r="B241" s="28"/>
      <c r="C241" s="8" t="s">
        <v>139</v>
      </c>
      <c r="D241" s="12">
        <v>6200</v>
      </c>
      <c r="E241" s="34"/>
      <c r="F241" s="11"/>
      <c r="G241" s="11"/>
    </row>
    <row r="242" spans="1:7">
      <c r="A242" s="73"/>
      <c r="B242" s="28"/>
      <c r="C242" s="8" t="s">
        <v>140</v>
      </c>
      <c r="D242" s="12">
        <v>70531</v>
      </c>
      <c r="E242" s="34"/>
      <c r="F242" s="11"/>
      <c r="G242" s="11"/>
    </row>
    <row r="243" spans="1:7">
      <c r="A243" s="75"/>
      <c r="B243" s="49"/>
      <c r="C243" s="20"/>
      <c r="D243" s="35"/>
      <c r="E243" s="23">
        <f>SUM('Special levies forecast 2022-23'!D237:D242)</f>
        <v>347433</v>
      </c>
      <c r="F243" s="47"/>
      <c r="G243" s="48"/>
    </row>
    <row r="244" spans="1:7">
      <c r="A244" s="73">
        <v>44868</v>
      </c>
      <c r="B244" s="7" t="s">
        <v>141</v>
      </c>
      <c r="C244" s="8"/>
      <c r="D244" s="12"/>
      <c r="E244" s="34"/>
      <c r="F244" s="17"/>
      <c r="G244" s="11"/>
    </row>
    <row r="245" spans="1:7">
      <c r="A245" s="73"/>
      <c r="B245" s="28"/>
      <c r="C245" s="8" t="s">
        <v>26</v>
      </c>
      <c r="D245" s="12">
        <v>167388</v>
      </c>
      <c r="E245" s="34"/>
      <c r="F245" s="11"/>
      <c r="G245" s="11"/>
    </row>
    <row r="246" spans="1:7">
      <c r="A246" s="73"/>
      <c r="B246" s="28"/>
      <c r="C246" s="8" t="s">
        <v>105</v>
      </c>
      <c r="D246" s="12">
        <v>452212</v>
      </c>
      <c r="E246" s="34"/>
      <c r="F246" s="11"/>
      <c r="G246" s="11" t="s">
        <v>11</v>
      </c>
    </row>
    <row r="247" spans="1:7">
      <c r="A247" s="73"/>
      <c r="B247" s="28"/>
      <c r="C247" s="8" t="s">
        <v>20</v>
      </c>
      <c r="D247" s="12">
        <v>3554</v>
      </c>
      <c r="E247" s="34"/>
      <c r="F247" s="11"/>
      <c r="G247" s="11"/>
    </row>
    <row r="248" spans="1:7">
      <c r="A248" s="73"/>
      <c r="B248" s="28"/>
      <c r="C248" s="29"/>
      <c r="D248" s="35"/>
      <c r="E248" s="34">
        <f>SUM(D245:D247)</f>
        <v>623154</v>
      </c>
      <c r="F248" s="47"/>
      <c r="G248" s="48"/>
    </row>
    <row r="249" spans="1:7">
      <c r="A249" s="74">
        <v>44874</v>
      </c>
      <c r="B249" s="27" t="s">
        <v>142</v>
      </c>
      <c r="C249" s="40"/>
      <c r="D249" s="12"/>
      <c r="E249" s="33"/>
      <c r="F249" s="11"/>
      <c r="G249" s="11"/>
    </row>
    <row r="250" spans="1:7">
      <c r="A250" s="73"/>
      <c r="B250" s="28"/>
      <c r="C250" s="29" t="s">
        <v>110</v>
      </c>
      <c r="D250" s="12">
        <v>49926</v>
      </c>
      <c r="E250" s="34"/>
      <c r="F250" s="11"/>
      <c r="G250" s="11" t="s">
        <v>11</v>
      </c>
    </row>
    <row r="251" spans="1:7">
      <c r="A251" s="73"/>
      <c r="B251" s="28"/>
      <c r="C251" s="29" t="s">
        <v>143</v>
      </c>
      <c r="D251" s="12">
        <v>44690</v>
      </c>
      <c r="E251" s="34"/>
      <c r="F251" s="11"/>
      <c r="G251" s="11"/>
    </row>
    <row r="252" spans="1:7">
      <c r="A252" s="73"/>
      <c r="B252" s="28"/>
      <c r="C252" s="29"/>
      <c r="D252" s="35"/>
      <c r="E252" s="34">
        <f>SUM(D249:D251)</f>
        <v>94616</v>
      </c>
      <c r="F252" s="47"/>
      <c r="G252" s="48"/>
    </row>
    <row r="253" spans="1:7">
      <c r="A253" s="74">
        <v>44867</v>
      </c>
      <c r="B253" s="27" t="s">
        <v>144</v>
      </c>
      <c r="C253" s="15"/>
      <c r="D253" s="12"/>
      <c r="E253" s="33"/>
      <c r="F253" s="11"/>
      <c r="G253" s="11"/>
    </row>
    <row r="254" spans="1:7">
      <c r="A254" s="73"/>
      <c r="B254" s="28"/>
      <c r="C254" s="8" t="s">
        <v>36</v>
      </c>
      <c r="D254" s="12">
        <v>430947</v>
      </c>
      <c r="E254" s="34"/>
      <c r="F254" s="11"/>
      <c r="G254" s="11"/>
    </row>
    <row r="255" spans="1:7">
      <c r="A255" s="73"/>
      <c r="B255" s="28"/>
      <c r="C255" s="8" t="s">
        <v>145</v>
      </c>
      <c r="D255" s="12">
        <v>385379</v>
      </c>
      <c r="E255" s="34"/>
      <c r="F255" s="11"/>
      <c r="G255" s="11" t="s">
        <v>11</v>
      </c>
    </row>
    <row r="256" spans="1:7">
      <c r="A256" s="73"/>
      <c r="B256" s="28"/>
      <c r="C256" s="8" t="s">
        <v>41</v>
      </c>
      <c r="D256" s="12">
        <v>166562</v>
      </c>
      <c r="E256" s="34"/>
      <c r="F256" s="11"/>
      <c r="G256" s="11"/>
    </row>
    <row r="257" spans="1:7">
      <c r="A257" s="75"/>
      <c r="B257" s="49"/>
      <c r="C257" s="29"/>
      <c r="D257" s="35"/>
      <c r="E257" s="23">
        <f>SUM('Special levies forecast 2022-23'!D254:D256)</f>
        <v>982888</v>
      </c>
      <c r="F257" s="47"/>
      <c r="G257" s="48"/>
    </row>
    <row r="258" spans="1:7">
      <c r="A258" s="74">
        <v>44875</v>
      </c>
      <c r="B258" s="27" t="s">
        <v>146</v>
      </c>
      <c r="C258" s="15"/>
      <c r="D258" s="12"/>
      <c r="E258" s="22"/>
      <c r="F258" s="11"/>
      <c r="G258" s="11"/>
    </row>
    <row r="259" spans="1:7">
      <c r="A259" s="73"/>
      <c r="B259" s="7"/>
      <c r="C259" s="8" t="s">
        <v>147</v>
      </c>
      <c r="D259" s="12">
        <v>568039</v>
      </c>
      <c r="E259" s="10"/>
      <c r="F259" s="11"/>
      <c r="G259" s="11" t="s">
        <v>11</v>
      </c>
    </row>
    <row r="260" spans="1:7">
      <c r="A260" s="75"/>
      <c r="B260" s="19"/>
      <c r="C260" s="20"/>
      <c r="D260" s="35"/>
      <c r="E260" s="13">
        <f>SUM(D259:D259)</f>
        <v>568039</v>
      </c>
      <c r="F260" s="47"/>
      <c r="G260" s="48"/>
    </row>
    <row r="261" spans="1:7">
      <c r="A261" s="74">
        <v>44882</v>
      </c>
      <c r="B261" s="14" t="s">
        <v>148</v>
      </c>
      <c r="C261" s="15"/>
      <c r="D261" s="12"/>
      <c r="E261" s="22"/>
      <c r="F261" s="11"/>
      <c r="G261" s="11"/>
    </row>
    <row r="262" spans="1:7">
      <c r="A262" s="73"/>
      <c r="B262" s="7"/>
      <c r="C262" s="8" t="s">
        <v>100</v>
      </c>
      <c r="D262" s="12">
        <v>250</v>
      </c>
      <c r="E262" s="10"/>
      <c r="F262" s="11"/>
      <c r="G262" s="11" t="s">
        <v>11</v>
      </c>
    </row>
    <row r="263" spans="1:7">
      <c r="A263" s="75"/>
      <c r="B263" s="19"/>
      <c r="C263" s="50"/>
      <c r="D263" s="35"/>
      <c r="E263" s="26">
        <f>SUM('Special levies forecast 2022-23'!D262:D262)</f>
        <v>250</v>
      </c>
      <c r="F263" s="47"/>
      <c r="G263" s="48"/>
    </row>
    <row r="264" spans="1:7">
      <c r="A264" s="74">
        <v>44881</v>
      </c>
      <c r="B264" s="14" t="s">
        <v>149</v>
      </c>
      <c r="C264" s="15"/>
      <c r="D264" s="12"/>
      <c r="E264" s="22"/>
      <c r="F264" s="11"/>
      <c r="G264" s="11"/>
    </row>
    <row r="265" spans="1:7">
      <c r="A265" s="73"/>
      <c r="B265" s="7"/>
      <c r="C265" s="8" t="s">
        <v>150</v>
      </c>
      <c r="D265" s="12">
        <v>40786</v>
      </c>
      <c r="E265" s="10"/>
      <c r="F265" s="11"/>
      <c r="G265" s="11" t="s">
        <v>11</v>
      </c>
    </row>
    <row r="266" spans="1:7">
      <c r="A266" s="75"/>
      <c r="B266" s="19"/>
      <c r="C266" s="51"/>
      <c r="D266" s="35"/>
      <c r="E266" s="26">
        <f>SUM('Special levies forecast 2022-23'!D265:D265)</f>
        <v>40786</v>
      </c>
      <c r="F266" s="47"/>
      <c r="G266" s="48"/>
    </row>
    <row r="267" spans="1:7">
      <c r="A267" s="74">
        <v>44873</v>
      </c>
      <c r="B267" s="14" t="s">
        <v>151</v>
      </c>
      <c r="C267" s="15"/>
      <c r="D267" s="12"/>
      <c r="E267" s="22"/>
      <c r="F267" s="11"/>
      <c r="G267" s="11"/>
    </row>
    <row r="268" spans="1:7">
      <c r="A268" s="73"/>
      <c r="B268" s="7"/>
      <c r="C268" s="8" t="s">
        <v>10</v>
      </c>
      <c r="D268" s="12">
        <v>263429</v>
      </c>
      <c r="E268" s="10"/>
      <c r="F268" s="11"/>
      <c r="G268" s="11" t="s">
        <v>11</v>
      </c>
    </row>
    <row r="269" spans="1:7">
      <c r="A269" s="73"/>
      <c r="B269" s="7"/>
      <c r="C269" s="8" t="s">
        <v>12</v>
      </c>
      <c r="D269" s="12">
        <v>139952</v>
      </c>
      <c r="E269" s="10"/>
      <c r="F269" s="11"/>
      <c r="G269" s="11"/>
    </row>
    <row r="270" spans="1:7">
      <c r="A270" s="75"/>
      <c r="B270" s="19"/>
      <c r="C270" s="20"/>
      <c r="D270" s="35"/>
      <c r="E270" s="13">
        <f>SUM(D268:D269)</f>
        <v>403381</v>
      </c>
      <c r="F270" s="47"/>
      <c r="G270" s="48"/>
    </row>
    <row r="271" spans="1:7">
      <c r="A271" s="74">
        <v>44874</v>
      </c>
      <c r="B271" s="14" t="s">
        <v>152</v>
      </c>
      <c r="C271" s="15"/>
      <c r="D271" s="12"/>
      <c r="E271" s="22"/>
      <c r="F271" s="11"/>
      <c r="G271" s="11"/>
    </row>
    <row r="272" spans="1:7">
      <c r="A272" s="73"/>
      <c r="B272" s="7"/>
      <c r="C272" s="8" t="s">
        <v>29</v>
      </c>
      <c r="D272" s="12">
        <v>776528</v>
      </c>
      <c r="E272" s="10"/>
      <c r="F272" s="11"/>
      <c r="G272" s="11" t="s">
        <v>11</v>
      </c>
    </row>
    <row r="273" spans="1:7">
      <c r="A273" s="75"/>
      <c r="B273" s="19"/>
      <c r="C273" s="20"/>
      <c r="D273" s="35"/>
      <c r="E273" s="13">
        <f>SUM(D272:D272)</f>
        <v>776528</v>
      </c>
      <c r="F273" s="47"/>
      <c r="G273" s="48"/>
    </row>
    <row r="274" spans="1:7">
      <c r="A274" s="73">
        <v>44888</v>
      </c>
      <c r="B274" s="7" t="s">
        <v>153</v>
      </c>
      <c r="C274" s="8"/>
      <c r="D274" s="12"/>
      <c r="E274" s="10"/>
      <c r="F274" s="11"/>
      <c r="G274" s="11"/>
    </row>
    <row r="275" spans="1:7">
      <c r="A275" s="73"/>
      <c r="B275" s="7"/>
      <c r="C275" s="8" t="s">
        <v>150</v>
      </c>
      <c r="D275" s="12">
        <v>21155</v>
      </c>
      <c r="E275" s="10"/>
      <c r="F275" s="11"/>
      <c r="G275" s="11" t="s">
        <v>11</v>
      </c>
    </row>
    <row r="276" spans="1:7">
      <c r="A276" s="73"/>
      <c r="B276" s="7"/>
      <c r="C276" s="29"/>
      <c r="D276" s="35"/>
      <c r="E276" s="10">
        <f>SUM(D275:D275)</f>
        <v>21155</v>
      </c>
      <c r="F276" s="47"/>
      <c r="G276" s="48"/>
    </row>
    <row r="277" spans="1:7">
      <c r="A277" s="74">
        <v>44881</v>
      </c>
      <c r="B277" s="14" t="s">
        <v>154</v>
      </c>
      <c r="C277" s="15"/>
      <c r="D277" s="12"/>
      <c r="E277" s="22"/>
      <c r="F277" s="11"/>
      <c r="G277" s="11"/>
    </row>
    <row r="278" spans="1:7">
      <c r="A278" s="73"/>
      <c r="B278" s="7"/>
      <c r="C278" s="8" t="s">
        <v>59</v>
      </c>
      <c r="D278" s="12">
        <v>74941</v>
      </c>
      <c r="E278" s="10"/>
      <c r="F278" s="11"/>
      <c r="G278" s="11" t="s">
        <v>11</v>
      </c>
    </row>
    <row r="279" spans="1:7">
      <c r="A279" s="75"/>
      <c r="B279" s="19"/>
      <c r="C279" s="20"/>
      <c r="D279" s="35"/>
      <c r="E279" s="13">
        <f>SUM('Special levies forecast 2022-23'!D278:D278)</f>
        <v>74941</v>
      </c>
      <c r="F279" s="47"/>
      <c r="G279" s="48"/>
    </row>
    <row r="280" spans="1:7">
      <c r="A280" s="74">
        <v>44875</v>
      </c>
      <c r="B280" s="14" t="s">
        <v>155</v>
      </c>
      <c r="C280" s="15"/>
      <c r="D280" s="12"/>
      <c r="E280" s="22"/>
      <c r="F280" s="11"/>
      <c r="G280" s="11"/>
    </row>
    <row r="281" spans="1:7">
      <c r="A281" s="73"/>
      <c r="B281" s="7"/>
      <c r="C281" s="8" t="s">
        <v>22</v>
      </c>
      <c r="D281" s="12">
        <v>5843</v>
      </c>
      <c r="E281" s="10"/>
      <c r="F281" s="11"/>
      <c r="G281" s="11"/>
    </row>
    <row r="282" spans="1:7">
      <c r="A282" s="73"/>
      <c r="B282" s="7"/>
      <c r="C282" s="8" t="s">
        <v>156</v>
      </c>
      <c r="D282" s="12">
        <v>34130</v>
      </c>
      <c r="E282" s="10"/>
      <c r="F282" s="11"/>
      <c r="G282" s="11" t="s">
        <v>11</v>
      </c>
    </row>
    <row r="283" spans="1:7">
      <c r="A283" s="73"/>
      <c r="B283" s="7"/>
      <c r="C283" s="8" t="s">
        <v>24</v>
      </c>
      <c r="D283" s="12">
        <v>832846</v>
      </c>
      <c r="E283" s="10"/>
      <c r="F283" s="11"/>
      <c r="G283" s="11"/>
    </row>
    <row r="284" spans="1:7">
      <c r="A284" s="73"/>
      <c r="B284" s="7"/>
      <c r="C284" s="8" t="s">
        <v>157</v>
      </c>
      <c r="D284" s="12">
        <v>75175</v>
      </c>
      <c r="E284" s="10"/>
      <c r="F284" s="11"/>
      <c r="G284" s="11"/>
    </row>
    <row r="285" spans="1:7">
      <c r="A285" s="75"/>
      <c r="B285" s="19"/>
      <c r="C285" s="20"/>
      <c r="D285" s="35"/>
      <c r="E285" s="13">
        <f>SUM(D281:D284)</f>
        <v>947994</v>
      </c>
      <c r="F285" s="47"/>
      <c r="G285" s="48"/>
    </row>
    <row r="286" spans="1:7">
      <c r="A286" s="73">
        <v>44879</v>
      </c>
      <c r="B286" s="14" t="s">
        <v>158</v>
      </c>
      <c r="C286" s="15"/>
      <c r="D286" s="12"/>
      <c r="E286" s="22"/>
      <c r="F286" s="52"/>
      <c r="G286" s="11"/>
    </row>
    <row r="287" spans="1:7">
      <c r="A287" s="73"/>
      <c r="B287" s="7"/>
      <c r="C287" s="8" t="s">
        <v>159</v>
      </c>
      <c r="D287" s="12">
        <v>66411</v>
      </c>
      <c r="E287" s="10"/>
      <c r="F287" s="11"/>
      <c r="G287" s="11"/>
    </row>
    <row r="288" spans="1:7">
      <c r="A288" s="73"/>
      <c r="B288" s="7"/>
      <c r="C288" s="8" t="s">
        <v>160</v>
      </c>
      <c r="D288" s="12">
        <v>12621</v>
      </c>
      <c r="E288" s="10"/>
      <c r="F288" s="11"/>
      <c r="G288" s="11"/>
    </row>
    <row r="289" spans="1:7">
      <c r="A289" s="73"/>
      <c r="B289" s="7"/>
      <c r="C289" s="8" t="s">
        <v>161</v>
      </c>
      <c r="D289" s="12">
        <v>4626</v>
      </c>
      <c r="E289" s="10"/>
      <c r="F289" s="11"/>
      <c r="G289" s="11" t="s">
        <v>11</v>
      </c>
    </row>
    <row r="290" spans="1:7">
      <c r="A290" s="73"/>
      <c r="B290" s="7"/>
      <c r="C290" s="8" t="s">
        <v>162</v>
      </c>
      <c r="D290" s="12">
        <v>249351</v>
      </c>
      <c r="E290" s="10"/>
      <c r="F290" s="11"/>
      <c r="G290" s="11"/>
    </row>
    <row r="291" spans="1:7">
      <c r="A291" s="75"/>
      <c r="B291" s="19"/>
      <c r="C291" s="20"/>
      <c r="D291" s="35"/>
      <c r="E291" s="13">
        <f>SUM(D287:D290)</f>
        <v>333009</v>
      </c>
      <c r="F291" s="47"/>
      <c r="G291" s="48"/>
    </row>
    <row r="292" spans="1:7">
      <c r="A292" s="74">
        <v>44874</v>
      </c>
      <c r="B292" s="14" t="s">
        <v>163</v>
      </c>
      <c r="C292" s="15"/>
      <c r="D292" s="12"/>
      <c r="E292" s="22"/>
      <c r="F292" s="52"/>
      <c r="G292" s="11"/>
    </row>
    <row r="293" spans="1:7">
      <c r="A293" s="73"/>
      <c r="B293" s="7"/>
      <c r="C293" s="8" t="s">
        <v>164</v>
      </c>
      <c r="D293" s="12">
        <v>31000</v>
      </c>
      <c r="E293" s="10"/>
      <c r="F293" s="11"/>
      <c r="G293" s="11" t="s">
        <v>11</v>
      </c>
    </row>
    <row r="294" spans="1:7">
      <c r="A294" s="75"/>
      <c r="B294" s="19"/>
      <c r="C294" s="20"/>
      <c r="D294" s="35"/>
      <c r="E294" s="23">
        <f>SUM(D293)</f>
        <v>31000</v>
      </c>
      <c r="F294" s="47"/>
      <c r="G294" s="48"/>
    </row>
    <row r="295" spans="1:7">
      <c r="A295" s="74">
        <v>44888</v>
      </c>
      <c r="B295" s="14" t="s">
        <v>165</v>
      </c>
      <c r="C295" s="15"/>
      <c r="D295" s="12"/>
      <c r="E295" s="22"/>
      <c r="F295" s="11"/>
      <c r="G295" s="11"/>
    </row>
    <row r="296" spans="1:7">
      <c r="A296" s="73"/>
      <c r="B296" s="7"/>
      <c r="C296" s="8" t="s">
        <v>17</v>
      </c>
      <c r="D296" s="12">
        <v>4882</v>
      </c>
      <c r="E296" s="10"/>
      <c r="F296" s="53"/>
      <c r="G296" s="11" t="s">
        <v>11</v>
      </c>
    </row>
    <row r="297" spans="1:7">
      <c r="A297" s="75"/>
      <c r="B297" s="19"/>
      <c r="C297" s="29"/>
      <c r="D297" s="35"/>
      <c r="E297" s="13">
        <f>SUM(D296)</f>
        <v>4882</v>
      </c>
      <c r="F297" s="47"/>
      <c r="G297" s="48"/>
    </row>
    <row r="298" spans="1:7">
      <c r="A298" s="74">
        <v>44888</v>
      </c>
      <c r="B298" s="27" t="s">
        <v>166</v>
      </c>
      <c r="C298" s="15"/>
      <c r="D298" s="12"/>
      <c r="E298" s="22"/>
      <c r="F298" s="11"/>
      <c r="G298" s="11"/>
    </row>
    <row r="299" spans="1:7">
      <c r="A299" s="73"/>
      <c r="B299" s="7"/>
      <c r="C299" s="8" t="s">
        <v>17</v>
      </c>
      <c r="D299" s="12">
        <v>21689</v>
      </c>
      <c r="E299" s="10"/>
      <c r="F299" s="11"/>
      <c r="G299" s="11" t="s">
        <v>11</v>
      </c>
    </row>
    <row r="300" spans="1:7">
      <c r="A300" s="75"/>
      <c r="B300" s="19"/>
      <c r="C300" s="20"/>
      <c r="D300" s="35"/>
      <c r="E300" s="13">
        <f>SUM(D299)</f>
        <v>21689</v>
      </c>
      <c r="F300" s="47"/>
      <c r="G300" s="48"/>
    </row>
    <row r="301" spans="1:7">
      <c r="A301" s="74">
        <v>44888</v>
      </c>
      <c r="B301" s="14" t="s">
        <v>167</v>
      </c>
      <c r="C301" s="15"/>
      <c r="D301" s="12"/>
      <c r="E301" s="22"/>
      <c r="F301" s="11"/>
      <c r="G301" s="11"/>
    </row>
    <row r="302" spans="1:7">
      <c r="A302" s="73"/>
      <c r="B302" s="7"/>
      <c r="C302" s="8" t="s">
        <v>17</v>
      </c>
      <c r="D302" s="12">
        <v>35644</v>
      </c>
      <c r="E302" s="10"/>
      <c r="F302" s="11"/>
      <c r="G302" s="11" t="s">
        <v>11</v>
      </c>
    </row>
    <row r="303" spans="1:7">
      <c r="A303" s="75"/>
      <c r="B303" s="19"/>
      <c r="C303" s="20"/>
      <c r="D303" s="35"/>
      <c r="E303" s="13">
        <f>SUM(D302)</f>
        <v>35644</v>
      </c>
      <c r="F303" s="47"/>
      <c r="G303" s="48"/>
    </row>
    <row r="304" spans="1:7">
      <c r="A304" s="74">
        <v>44888</v>
      </c>
      <c r="B304" s="14" t="s">
        <v>168</v>
      </c>
      <c r="C304" s="15"/>
      <c r="D304" s="12"/>
      <c r="E304" s="22"/>
      <c r="F304" s="11"/>
      <c r="G304" s="11"/>
    </row>
    <row r="305" spans="1:7">
      <c r="A305" s="73"/>
      <c r="B305" s="7"/>
      <c r="C305" s="8" t="s">
        <v>36</v>
      </c>
      <c r="D305" s="12">
        <v>9249</v>
      </c>
      <c r="E305" s="10"/>
      <c r="F305" s="11"/>
      <c r="G305" s="11" t="s">
        <v>11</v>
      </c>
    </row>
    <row r="306" spans="1:7">
      <c r="A306" s="75"/>
      <c r="B306" s="19"/>
      <c r="C306" s="20"/>
      <c r="D306" s="35"/>
      <c r="E306" s="13">
        <f>SUM(D305)</f>
        <v>9249</v>
      </c>
      <c r="F306" s="47"/>
      <c r="G306" s="48"/>
    </row>
    <row r="307" spans="1:7">
      <c r="A307" s="74">
        <v>44873</v>
      </c>
      <c r="B307" s="14" t="s">
        <v>169</v>
      </c>
      <c r="C307" s="15"/>
      <c r="D307" s="12"/>
      <c r="E307" s="22"/>
      <c r="F307" s="11"/>
      <c r="G307" s="11"/>
    </row>
    <row r="308" spans="1:7">
      <c r="A308" s="73"/>
      <c r="B308" s="7"/>
      <c r="C308" s="8" t="s">
        <v>29</v>
      </c>
      <c r="D308" s="12">
        <v>81148</v>
      </c>
      <c r="E308" s="10"/>
      <c r="F308" s="54"/>
      <c r="G308" s="11" t="s">
        <v>11</v>
      </c>
    </row>
    <row r="309" spans="1:7">
      <c r="A309" s="75"/>
      <c r="B309" s="19"/>
      <c r="C309" s="51"/>
      <c r="D309" s="35"/>
      <c r="E309" s="13">
        <f>SUM(D308)</f>
        <v>81148</v>
      </c>
      <c r="F309" s="47"/>
      <c r="G309" s="48"/>
    </row>
    <row r="310" spans="1:7">
      <c r="A310" s="73">
        <v>44873</v>
      </c>
      <c r="B310" s="7" t="s">
        <v>170</v>
      </c>
      <c r="C310" s="8"/>
      <c r="D310" s="12"/>
      <c r="E310" s="10"/>
      <c r="F310" s="11"/>
      <c r="G310" s="11"/>
    </row>
    <row r="311" spans="1:7">
      <c r="A311" s="73"/>
      <c r="B311" s="7"/>
      <c r="C311" s="8" t="s">
        <v>130</v>
      </c>
      <c r="D311" s="12">
        <v>638</v>
      </c>
      <c r="E311" s="10"/>
      <c r="F311" s="11"/>
      <c r="G311" s="11" t="s">
        <v>11</v>
      </c>
    </row>
    <row r="312" spans="1:7">
      <c r="A312" s="75"/>
      <c r="B312" s="19"/>
      <c r="C312" s="20"/>
      <c r="D312" s="35"/>
      <c r="E312" s="13">
        <f>SUM(D311)</f>
        <v>638</v>
      </c>
      <c r="F312" s="47"/>
      <c r="G312" s="48"/>
    </row>
    <row r="313" spans="1:7">
      <c r="A313" s="74">
        <v>44874</v>
      </c>
      <c r="B313" s="14" t="s">
        <v>171</v>
      </c>
      <c r="C313" s="15"/>
      <c r="D313" s="12"/>
      <c r="E313" s="22"/>
      <c r="F313" s="11"/>
      <c r="G313" s="11"/>
    </row>
    <row r="314" spans="1:7">
      <c r="A314" s="73"/>
      <c r="B314" s="7"/>
      <c r="C314" s="8" t="s">
        <v>29</v>
      </c>
      <c r="D314" s="12">
        <v>33354</v>
      </c>
      <c r="E314" s="10"/>
      <c r="F314" s="11"/>
      <c r="G314" s="11" t="s">
        <v>11</v>
      </c>
    </row>
    <row r="315" spans="1:7">
      <c r="A315" s="75"/>
      <c r="B315" s="19"/>
      <c r="C315" s="20"/>
      <c r="D315" s="35"/>
      <c r="E315" s="13">
        <f>SUM(D314)</f>
        <v>33354</v>
      </c>
      <c r="F315" s="47"/>
      <c r="G315" s="48"/>
    </row>
    <row r="316" spans="1:7">
      <c r="A316" s="82">
        <v>44868</v>
      </c>
      <c r="B316" s="55" t="s">
        <v>172</v>
      </c>
      <c r="C316" s="40"/>
      <c r="D316" s="56"/>
      <c r="E316" s="57"/>
      <c r="F316" s="11"/>
      <c r="G316" s="11"/>
    </row>
    <row r="317" spans="1:7">
      <c r="A317" s="83"/>
      <c r="B317" s="36"/>
      <c r="C317" s="29" t="s">
        <v>173</v>
      </c>
      <c r="D317" s="56">
        <v>65447</v>
      </c>
      <c r="E317" s="58"/>
      <c r="F317" s="11"/>
      <c r="G317" s="11"/>
    </row>
    <row r="318" spans="1:7">
      <c r="A318" s="83"/>
      <c r="B318" s="36"/>
      <c r="C318" s="29" t="s">
        <v>174</v>
      </c>
      <c r="D318" s="56">
        <v>717</v>
      </c>
      <c r="E318" s="58"/>
      <c r="F318" s="11"/>
      <c r="G318" s="11" t="s">
        <v>11</v>
      </c>
    </row>
    <row r="319" spans="1:7">
      <c r="A319" s="83"/>
      <c r="B319" s="36"/>
      <c r="C319" s="29" t="s">
        <v>175</v>
      </c>
      <c r="D319" s="56">
        <v>298</v>
      </c>
      <c r="E319" s="58"/>
      <c r="F319" s="11"/>
      <c r="G319" s="11"/>
    </row>
    <row r="320" spans="1:7">
      <c r="A320" s="84"/>
      <c r="B320" s="59"/>
      <c r="C320" s="51"/>
      <c r="D320" s="60"/>
      <c r="E320" s="13">
        <f>SUM(D317:D319)</f>
        <v>66462</v>
      </c>
      <c r="F320" s="47"/>
      <c r="G320" s="48"/>
    </row>
    <row r="321" spans="1:7">
      <c r="A321" s="74">
        <v>44886</v>
      </c>
      <c r="B321" s="14" t="s">
        <v>176</v>
      </c>
      <c r="C321" s="15"/>
      <c r="D321" s="12"/>
      <c r="E321" s="22"/>
      <c r="F321" s="11"/>
      <c r="G321" s="11"/>
    </row>
    <row r="322" spans="1:7">
      <c r="A322" s="73"/>
      <c r="B322" s="7"/>
      <c r="C322" s="8" t="s">
        <v>177</v>
      </c>
      <c r="D322" s="12">
        <v>134417</v>
      </c>
      <c r="E322" s="10"/>
      <c r="F322" s="11"/>
      <c r="G322" s="11" t="s">
        <v>11</v>
      </c>
    </row>
    <row r="323" spans="1:7">
      <c r="A323" s="75"/>
      <c r="B323" s="19"/>
      <c r="C323" s="20"/>
      <c r="D323" s="35"/>
      <c r="E323" s="13">
        <f>SUM(D322)</f>
        <v>134417</v>
      </c>
      <c r="F323" s="47"/>
      <c r="G323" s="48"/>
    </row>
    <row r="324" spans="1:7">
      <c r="A324" s="74">
        <v>44868</v>
      </c>
      <c r="B324" s="14" t="s">
        <v>178</v>
      </c>
      <c r="C324" s="15"/>
      <c r="D324" s="12"/>
      <c r="E324" s="22"/>
      <c r="F324" s="11"/>
      <c r="G324" s="11"/>
    </row>
    <row r="325" spans="1:7">
      <c r="A325" s="73"/>
      <c r="B325" s="7"/>
      <c r="C325" s="8" t="s">
        <v>179</v>
      </c>
      <c r="D325" s="12">
        <v>284908</v>
      </c>
      <c r="E325" s="10"/>
      <c r="F325" s="11"/>
      <c r="G325" s="11"/>
    </row>
    <row r="326" spans="1:7">
      <c r="A326" s="73"/>
      <c r="B326" s="7"/>
      <c r="C326" s="8" t="s">
        <v>109</v>
      </c>
      <c r="D326" s="12">
        <v>137438</v>
      </c>
      <c r="E326" s="10"/>
      <c r="F326" s="11"/>
      <c r="G326" s="11"/>
    </row>
    <row r="327" spans="1:7">
      <c r="A327" s="73"/>
      <c r="B327" s="7"/>
      <c r="C327" s="8" t="s">
        <v>180</v>
      </c>
      <c r="D327" s="12">
        <v>83284</v>
      </c>
      <c r="E327" s="10"/>
      <c r="F327" s="11"/>
      <c r="G327" s="11"/>
    </row>
    <row r="328" spans="1:7">
      <c r="A328" s="73"/>
      <c r="B328" s="7"/>
      <c r="C328" s="8" t="s">
        <v>181</v>
      </c>
      <c r="D328" s="12">
        <v>604</v>
      </c>
      <c r="E328" s="10"/>
      <c r="F328" s="11"/>
      <c r="G328" s="11" t="s">
        <v>11</v>
      </c>
    </row>
    <row r="329" spans="1:7">
      <c r="A329" s="73"/>
      <c r="B329" s="7"/>
      <c r="C329" s="8" t="s">
        <v>182</v>
      </c>
      <c r="D329" s="12">
        <v>98152</v>
      </c>
      <c r="E329" s="10"/>
      <c r="F329" s="11"/>
      <c r="G329" s="11"/>
    </row>
    <row r="330" spans="1:7">
      <c r="A330" s="75"/>
      <c r="B330" s="19"/>
      <c r="C330" s="29"/>
      <c r="D330" s="35"/>
      <c r="E330" s="13">
        <f>SUM(D325:D329)</f>
        <v>604386</v>
      </c>
      <c r="F330" s="47"/>
      <c r="G330" s="48"/>
    </row>
    <row r="331" spans="1:7">
      <c r="A331" s="74">
        <v>44872</v>
      </c>
      <c r="B331" s="14" t="s">
        <v>183</v>
      </c>
      <c r="C331" s="15"/>
      <c r="D331" s="12"/>
      <c r="E331" s="22"/>
      <c r="F331" s="11"/>
      <c r="G331" s="11"/>
    </row>
    <row r="332" spans="1:7">
      <c r="A332" s="73"/>
      <c r="B332" s="7"/>
      <c r="C332" s="8" t="s">
        <v>179</v>
      </c>
      <c r="D332" s="12">
        <v>12073</v>
      </c>
      <c r="E332" s="10"/>
      <c r="F332" s="11"/>
      <c r="G332" s="11"/>
    </row>
    <row r="333" spans="1:7">
      <c r="A333" s="73"/>
      <c r="B333" s="7"/>
      <c r="C333" s="8" t="s">
        <v>161</v>
      </c>
      <c r="D333" s="12">
        <v>504916</v>
      </c>
      <c r="E333" s="10"/>
      <c r="F333" s="11"/>
      <c r="G333" s="11" t="s">
        <v>11</v>
      </c>
    </row>
    <row r="334" spans="1:7">
      <c r="A334" s="73"/>
      <c r="B334" s="7"/>
      <c r="C334" s="8" t="s">
        <v>181</v>
      </c>
      <c r="D334" s="12">
        <v>137819</v>
      </c>
      <c r="E334" s="10"/>
      <c r="F334" s="11"/>
      <c r="G334" s="11"/>
    </row>
    <row r="335" spans="1:7">
      <c r="A335" s="75"/>
      <c r="B335" s="19"/>
      <c r="C335" s="20"/>
      <c r="D335" s="35"/>
      <c r="E335" s="26">
        <f>SUM(D332:D334)</f>
        <v>654808</v>
      </c>
      <c r="F335" s="47"/>
      <c r="G335" s="48"/>
    </row>
    <row r="336" spans="1:7">
      <c r="A336" s="74">
        <v>44888</v>
      </c>
      <c r="B336" s="14" t="s">
        <v>184</v>
      </c>
      <c r="C336" s="15"/>
      <c r="D336" s="12"/>
      <c r="E336" s="22"/>
      <c r="F336" s="11"/>
      <c r="G336" s="11"/>
    </row>
    <row r="337" spans="1:7">
      <c r="A337" s="73"/>
      <c r="B337" s="7"/>
      <c r="C337" s="8" t="s">
        <v>17</v>
      </c>
      <c r="D337" s="12"/>
      <c r="E337" s="10">
        <v>20569</v>
      </c>
      <c r="F337" s="11"/>
      <c r="G337" s="11" t="s">
        <v>11</v>
      </c>
    </row>
    <row r="338" spans="1:7">
      <c r="A338" s="75"/>
      <c r="B338" s="19"/>
      <c r="C338" s="20"/>
      <c r="D338" s="35"/>
      <c r="E338" s="13">
        <f>SUM('Special levies forecast 2022-23'!D337)</f>
        <v>0</v>
      </c>
      <c r="F338" s="47"/>
      <c r="G338" s="48"/>
    </row>
    <row r="339" spans="1:7">
      <c r="A339" s="74">
        <v>44886</v>
      </c>
      <c r="B339" s="14" t="s">
        <v>185</v>
      </c>
      <c r="C339" s="15"/>
      <c r="D339" s="12"/>
      <c r="E339" s="22"/>
      <c r="F339" s="11"/>
      <c r="G339" s="11"/>
    </row>
    <row r="340" spans="1:7">
      <c r="A340" s="73"/>
      <c r="B340" s="7"/>
      <c r="C340" s="8" t="s">
        <v>26</v>
      </c>
      <c r="D340" s="12">
        <v>255191</v>
      </c>
      <c r="E340" s="10"/>
      <c r="F340" s="11"/>
      <c r="G340" s="11"/>
    </row>
    <row r="341" spans="1:7">
      <c r="A341" s="73"/>
      <c r="B341" s="7"/>
      <c r="C341" s="8" t="s">
        <v>20</v>
      </c>
      <c r="D341" s="12">
        <v>57496</v>
      </c>
      <c r="E341" s="10"/>
      <c r="F341" s="11"/>
      <c r="G341" s="11" t="s">
        <v>11</v>
      </c>
    </row>
    <row r="342" spans="1:7">
      <c r="A342" s="75"/>
      <c r="B342" s="19"/>
      <c r="C342" s="20"/>
      <c r="D342" s="35"/>
      <c r="E342" s="61">
        <f>SUM(D340:D341)</f>
        <v>312687</v>
      </c>
      <c r="F342" s="47"/>
      <c r="G342" s="48"/>
    </row>
    <row r="343" spans="1:7">
      <c r="A343" s="74">
        <v>44874</v>
      </c>
      <c r="B343" s="14" t="s">
        <v>186</v>
      </c>
      <c r="C343" s="15"/>
      <c r="D343" s="12"/>
      <c r="E343" s="22"/>
      <c r="F343" s="11"/>
      <c r="G343" s="11"/>
    </row>
    <row r="344" spans="1:7">
      <c r="A344" s="73"/>
      <c r="B344" s="7"/>
      <c r="C344" s="8" t="s">
        <v>10</v>
      </c>
      <c r="D344" s="12">
        <v>1048230</v>
      </c>
      <c r="E344" s="10"/>
      <c r="F344" s="11"/>
      <c r="G344" s="11" t="s">
        <v>11</v>
      </c>
    </row>
    <row r="345" spans="1:7">
      <c r="A345" s="75"/>
      <c r="B345" s="19"/>
      <c r="C345" s="20"/>
      <c r="D345" s="35"/>
      <c r="E345" s="13">
        <f>SUM('Special levies forecast 2022-23'!D344)</f>
        <v>1048230</v>
      </c>
      <c r="F345" s="47"/>
      <c r="G345" s="48"/>
    </row>
    <row r="346" spans="1:7">
      <c r="A346" s="74">
        <v>44879</v>
      </c>
      <c r="B346" s="14" t="s">
        <v>187</v>
      </c>
      <c r="C346" s="15"/>
      <c r="D346" s="12"/>
      <c r="E346" s="22"/>
      <c r="F346" s="11"/>
      <c r="G346" s="11"/>
    </row>
    <row r="347" spans="1:7">
      <c r="A347" s="73"/>
      <c r="B347" s="7"/>
      <c r="C347" s="8" t="s">
        <v>40</v>
      </c>
      <c r="D347" s="12">
        <v>1027</v>
      </c>
      <c r="E347" s="10"/>
      <c r="F347" s="11"/>
      <c r="G347" s="11" t="s">
        <v>11</v>
      </c>
    </row>
    <row r="348" spans="1:7">
      <c r="A348" s="73"/>
      <c r="B348" s="7"/>
      <c r="C348" s="8" t="s">
        <v>41</v>
      </c>
      <c r="D348" s="12">
        <v>1461582</v>
      </c>
      <c r="E348" s="10"/>
      <c r="F348" s="11"/>
      <c r="G348" s="11"/>
    </row>
    <row r="349" spans="1:7">
      <c r="A349" s="75"/>
      <c r="B349" s="19"/>
      <c r="C349" s="20"/>
      <c r="D349" s="35"/>
      <c r="E349" s="10">
        <f>SUM(D347:D348)</f>
        <v>1462609</v>
      </c>
      <c r="F349" s="47"/>
      <c r="G349" s="48"/>
    </row>
    <row r="350" spans="1:7">
      <c r="A350" s="74">
        <v>44882</v>
      </c>
      <c r="B350" s="14" t="s">
        <v>188</v>
      </c>
      <c r="C350" s="15"/>
      <c r="D350" s="12"/>
      <c r="E350" s="22"/>
      <c r="F350" s="11"/>
      <c r="G350" s="11"/>
    </row>
    <row r="351" spans="1:7">
      <c r="A351" s="73"/>
      <c r="B351" s="7"/>
      <c r="C351" s="8" t="s">
        <v>100</v>
      </c>
      <c r="D351" s="12">
        <v>211062</v>
      </c>
      <c r="E351" s="10"/>
      <c r="F351" s="11"/>
      <c r="G351" s="11" t="s">
        <v>11</v>
      </c>
    </row>
    <row r="352" spans="1:7">
      <c r="A352" s="75"/>
      <c r="B352" s="19"/>
      <c r="C352" s="20"/>
      <c r="D352" s="35"/>
      <c r="E352" s="13">
        <f>SUM('Special levies forecast 2022-23'!D351)</f>
        <v>211062</v>
      </c>
      <c r="F352" s="47"/>
      <c r="G352" s="48"/>
    </row>
    <row r="353" spans="1:7">
      <c r="A353" s="74">
        <v>44869</v>
      </c>
      <c r="B353" s="14" t="s">
        <v>189</v>
      </c>
      <c r="C353" s="15"/>
      <c r="D353" s="12"/>
      <c r="E353" s="22"/>
      <c r="F353" s="11"/>
      <c r="G353" s="11"/>
    </row>
    <row r="354" spans="1:7">
      <c r="A354" s="73"/>
      <c r="B354" s="7"/>
      <c r="C354" s="8" t="s">
        <v>29</v>
      </c>
      <c r="D354" s="12">
        <v>6127640</v>
      </c>
      <c r="E354" s="10"/>
      <c r="F354" s="11"/>
      <c r="G354" s="11" t="s">
        <v>11</v>
      </c>
    </row>
    <row r="355" spans="1:7">
      <c r="A355" s="75"/>
      <c r="B355" s="19"/>
      <c r="C355" s="20"/>
      <c r="D355" s="35"/>
      <c r="E355" s="13">
        <f>SUM(D354)</f>
        <v>6127640</v>
      </c>
      <c r="F355" s="47"/>
      <c r="G355" s="48"/>
    </row>
    <row r="356" spans="1:7">
      <c r="A356" s="74">
        <v>44886</v>
      </c>
      <c r="B356" s="14" t="s">
        <v>190</v>
      </c>
      <c r="C356" s="15"/>
      <c r="D356" s="12"/>
      <c r="E356" s="22"/>
      <c r="F356" s="11"/>
      <c r="G356" s="11"/>
    </row>
    <row r="357" spans="1:7">
      <c r="A357" s="73"/>
      <c r="B357" s="7"/>
      <c r="C357" s="8" t="s">
        <v>191</v>
      </c>
      <c r="D357" s="12">
        <v>108979</v>
      </c>
      <c r="E357" s="10"/>
      <c r="F357" s="11"/>
      <c r="G357" s="11"/>
    </row>
    <row r="358" spans="1:7">
      <c r="A358" s="73"/>
      <c r="B358" s="7"/>
      <c r="C358" s="62" t="s">
        <v>192</v>
      </c>
      <c r="D358" s="12">
        <v>3873</v>
      </c>
      <c r="E358" s="10"/>
      <c r="F358" s="11"/>
      <c r="G358" s="11" t="s">
        <v>11</v>
      </c>
    </row>
    <row r="359" spans="1:7">
      <c r="A359" s="75"/>
      <c r="B359" s="19"/>
      <c r="C359" s="20"/>
      <c r="D359" s="35"/>
      <c r="E359" s="30">
        <f>SUM(D357:D358)</f>
        <v>112852</v>
      </c>
      <c r="F359" s="47"/>
      <c r="G359" s="48"/>
    </row>
    <row r="360" spans="1:7">
      <c r="A360" s="74">
        <v>44882</v>
      </c>
      <c r="B360" s="14" t="s">
        <v>193</v>
      </c>
      <c r="C360" s="15"/>
      <c r="D360" s="12"/>
      <c r="E360" s="22"/>
      <c r="F360" s="11"/>
      <c r="G360" s="11"/>
    </row>
    <row r="361" spans="1:7">
      <c r="A361" s="73"/>
      <c r="B361" s="7"/>
      <c r="C361" s="8" t="s">
        <v>100</v>
      </c>
      <c r="D361" s="12">
        <v>45982.45</v>
      </c>
      <c r="E361" s="10"/>
      <c r="F361" s="11"/>
      <c r="G361" s="11" t="s">
        <v>11</v>
      </c>
    </row>
    <row r="362" spans="1:7">
      <c r="A362" s="75"/>
      <c r="B362" s="19"/>
      <c r="C362" s="29"/>
      <c r="D362" s="35"/>
      <c r="E362" s="26">
        <f>SUM('Special levies forecast 2022-23'!D361:D361)</f>
        <v>45982.45</v>
      </c>
      <c r="F362" s="47"/>
      <c r="G362" s="48"/>
    </row>
    <row r="363" spans="1:7">
      <c r="A363" s="73">
        <v>44882</v>
      </c>
      <c r="B363" s="14" t="s">
        <v>194</v>
      </c>
      <c r="C363" s="15"/>
      <c r="D363" s="12"/>
      <c r="E363" s="22"/>
      <c r="F363" s="11"/>
      <c r="G363" s="11"/>
    </row>
    <row r="364" spans="1:7">
      <c r="A364" s="73"/>
      <c r="B364" s="7"/>
      <c r="C364" s="8" t="s">
        <v>100</v>
      </c>
      <c r="D364" s="12">
        <v>2027</v>
      </c>
      <c r="E364" s="10"/>
      <c r="F364" s="11"/>
      <c r="G364" s="11" t="s">
        <v>11</v>
      </c>
    </row>
    <row r="365" spans="1:7">
      <c r="A365" s="73"/>
      <c r="B365" s="19"/>
      <c r="C365" s="20"/>
      <c r="D365" s="35"/>
      <c r="E365" s="26">
        <f>SUM('Special levies forecast 2022-23'!D364:D364)</f>
        <v>2027</v>
      </c>
      <c r="F365" s="63"/>
      <c r="G365" s="48"/>
    </row>
    <row r="366" spans="1:7">
      <c r="A366" s="74">
        <v>44888</v>
      </c>
      <c r="B366" s="14" t="s">
        <v>195</v>
      </c>
      <c r="C366" s="15"/>
      <c r="D366" s="12"/>
      <c r="E366" s="22"/>
      <c r="F366" s="11"/>
      <c r="G366" s="11"/>
    </row>
    <row r="367" spans="1:7">
      <c r="A367" s="73"/>
      <c r="B367" s="7"/>
      <c r="C367" s="8" t="s">
        <v>36</v>
      </c>
      <c r="D367" s="12">
        <v>21891</v>
      </c>
      <c r="E367" s="10"/>
      <c r="F367" s="11"/>
      <c r="G367" s="11"/>
    </row>
    <row r="368" spans="1:7">
      <c r="A368" s="73"/>
      <c r="B368" s="7"/>
      <c r="C368" s="8" t="s">
        <v>17</v>
      </c>
      <c r="D368" s="12">
        <v>18526</v>
      </c>
      <c r="E368" s="10"/>
      <c r="F368" s="11"/>
      <c r="G368" s="11" t="s">
        <v>11</v>
      </c>
    </row>
    <row r="369" spans="1:7">
      <c r="A369" s="73"/>
      <c r="B369" s="7"/>
      <c r="C369" s="8" t="s">
        <v>59</v>
      </c>
      <c r="D369" s="12">
        <v>9861</v>
      </c>
      <c r="E369" s="10"/>
      <c r="F369" s="11"/>
      <c r="G369" s="11"/>
    </row>
    <row r="370" spans="1:7">
      <c r="A370" s="75"/>
      <c r="B370" s="19"/>
      <c r="C370" s="20"/>
      <c r="D370" s="35"/>
      <c r="E370" s="23">
        <f>SUM(D367:D369)</f>
        <v>50278</v>
      </c>
      <c r="F370" s="47"/>
      <c r="G370" s="48"/>
    </row>
    <row r="371" spans="1:7">
      <c r="A371" s="74">
        <v>44882</v>
      </c>
      <c r="B371" s="14" t="s">
        <v>196</v>
      </c>
      <c r="C371" s="15"/>
      <c r="D371" s="12"/>
      <c r="E371" s="22"/>
      <c r="F371" s="11"/>
      <c r="G371" s="11"/>
    </row>
    <row r="372" spans="1:7">
      <c r="A372" s="73"/>
      <c r="B372" s="7"/>
      <c r="C372" s="8" t="s">
        <v>59</v>
      </c>
      <c r="D372" s="12">
        <v>39124</v>
      </c>
      <c r="E372" s="10"/>
      <c r="F372" s="54"/>
      <c r="G372" s="11" t="s">
        <v>11</v>
      </c>
    </row>
    <row r="373" spans="1:7">
      <c r="A373" s="73"/>
      <c r="B373" s="7"/>
      <c r="C373" s="8" t="s">
        <v>150</v>
      </c>
      <c r="D373" s="12">
        <v>1693</v>
      </c>
      <c r="E373" s="10"/>
      <c r="F373" s="54"/>
      <c r="G373" s="11"/>
    </row>
    <row r="374" spans="1:7">
      <c r="A374" s="75"/>
      <c r="B374" s="19"/>
      <c r="C374" s="20"/>
      <c r="D374" s="35"/>
      <c r="E374" s="13">
        <f>SUM(D372:D373)</f>
        <v>40817</v>
      </c>
      <c r="F374" s="47"/>
      <c r="G374" s="48"/>
    </row>
    <row r="375" spans="1:7">
      <c r="A375" s="74">
        <v>44874</v>
      </c>
      <c r="B375" s="14" t="s">
        <v>197</v>
      </c>
      <c r="C375" s="15"/>
      <c r="D375" s="12"/>
      <c r="E375" s="22"/>
      <c r="F375" s="11"/>
      <c r="G375" s="11"/>
    </row>
    <row r="376" spans="1:7">
      <c r="A376" s="73"/>
      <c r="B376" s="7"/>
      <c r="C376" s="8" t="s">
        <v>89</v>
      </c>
      <c r="D376" s="12">
        <v>117054</v>
      </c>
      <c r="E376" s="10"/>
      <c r="F376" s="11"/>
      <c r="G376" s="11"/>
    </row>
    <row r="377" spans="1:7">
      <c r="A377" s="73"/>
      <c r="B377" s="7"/>
      <c r="C377" s="8" t="s">
        <v>8</v>
      </c>
      <c r="D377" s="12">
        <v>94332</v>
      </c>
      <c r="E377" s="10"/>
      <c r="F377" s="11"/>
      <c r="G377" s="11" t="s">
        <v>11</v>
      </c>
    </row>
    <row r="378" spans="1:7">
      <c r="A378" s="73"/>
      <c r="B378" s="7"/>
      <c r="C378" s="8" t="s">
        <v>198</v>
      </c>
      <c r="D378" s="12">
        <v>18426</v>
      </c>
      <c r="E378" s="10"/>
      <c r="F378" s="11"/>
      <c r="G378" s="11"/>
    </row>
    <row r="379" spans="1:7">
      <c r="A379" s="75"/>
      <c r="B379" s="19"/>
      <c r="C379" s="20"/>
      <c r="D379" s="35"/>
      <c r="E379" s="13">
        <f>SUM(D376:D378)</f>
        <v>229812</v>
      </c>
      <c r="F379" s="47"/>
      <c r="G379" s="48"/>
    </row>
    <row r="380" spans="1:7">
      <c r="A380" s="74">
        <v>44889</v>
      </c>
      <c r="B380" s="27" t="s">
        <v>199</v>
      </c>
      <c r="C380" s="15"/>
      <c r="D380" s="12"/>
      <c r="E380" s="22"/>
      <c r="F380" s="11"/>
      <c r="G380" s="11"/>
    </row>
    <row r="381" spans="1:7">
      <c r="A381" s="73"/>
      <c r="B381" s="28"/>
      <c r="C381" s="8" t="s">
        <v>150</v>
      </c>
      <c r="D381" s="12">
        <v>6927</v>
      </c>
      <c r="E381" s="10"/>
      <c r="F381" s="11"/>
      <c r="G381" s="11" t="s">
        <v>11</v>
      </c>
    </row>
    <row r="382" spans="1:7">
      <c r="A382" s="75"/>
      <c r="B382" s="49"/>
      <c r="C382" s="20"/>
      <c r="D382" s="35"/>
      <c r="E382" s="23">
        <f>SUM('Special levies forecast 2022-23'!D381:D381)</f>
        <v>6927</v>
      </c>
      <c r="F382" s="47"/>
      <c r="G382" s="48"/>
    </row>
    <row r="383" spans="1:7">
      <c r="A383" s="74">
        <v>44867</v>
      </c>
      <c r="B383" s="14" t="s">
        <v>200</v>
      </c>
      <c r="C383" s="15"/>
      <c r="D383" s="12"/>
      <c r="E383" s="22"/>
      <c r="F383" s="11"/>
      <c r="G383" s="11"/>
    </row>
    <row r="384" spans="1:7">
      <c r="A384" s="73"/>
      <c r="B384" s="7"/>
      <c r="C384" s="8" t="s">
        <v>88</v>
      </c>
      <c r="D384" s="12">
        <v>2424</v>
      </c>
      <c r="E384" s="10"/>
      <c r="F384" s="11"/>
      <c r="G384" s="11" t="s">
        <v>11</v>
      </c>
    </row>
    <row r="385" spans="1:7">
      <c r="A385" s="75"/>
      <c r="B385" s="19"/>
      <c r="C385" s="8"/>
      <c r="D385" s="35"/>
      <c r="E385" s="13">
        <f>SUM('Special levies forecast 2022-23'!D384:D384)</f>
        <v>2424</v>
      </c>
      <c r="F385" s="47"/>
      <c r="G385" s="48"/>
    </row>
    <row r="386" spans="1:7">
      <c r="A386" s="74">
        <v>44876</v>
      </c>
      <c r="B386" s="14" t="s">
        <v>201</v>
      </c>
      <c r="C386" s="15"/>
      <c r="D386" s="12"/>
      <c r="E386" s="33"/>
      <c r="F386" s="11"/>
      <c r="G386" s="11"/>
    </row>
    <row r="387" spans="1:7">
      <c r="A387" s="73"/>
      <c r="B387" s="28"/>
      <c r="C387" s="8" t="s">
        <v>202</v>
      </c>
      <c r="D387" s="12">
        <v>666146</v>
      </c>
      <c r="E387" s="34"/>
      <c r="F387" s="11"/>
      <c r="G387" s="11"/>
    </row>
    <row r="388" spans="1:7">
      <c r="A388" s="73"/>
      <c r="B388" s="36"/>
      <c r="C388" s="8" t="s">
        <v>27</v>
      </c>
      <c r="D388" s="12">
        <v>487346</v>
      </c>
      <c r="E388" s="34"/>
      <c r="F388" s="11"/>
      <c r="G388" s="11"/>
    </row>
    <row r="389" spans="1:7">
      <c r="A389" s="73"/>
      <c r="B389" s="36"/>
      <c r="C389" s="8" t="s">
        <v>203</v>
      </c>
      <c r="D389" s="12">
        <v>327575</v>
      </c>
      <c r="E389" s="34"/>
      <c r="F389" s="11"/>
      <c r="G389" s="11"/>
    </row>
    <row r="390" spans="1:7">
      <c r="A390" s="73"/>
      <c r="B390" s="36"/>
      <c r="C390" s="8" t="s">
        <v>20</v>
      </c>
      <c r="D390" s="12">
        <v>46689</v>
      </c>
      <c r="E390" s="34"/>
      <c r="F390" s="11"/>
      <c r="G390" s="11" t="s">
        <v>11</v>
      </c>
    </row>
    <row r="391" spans="1:7">
      <c r="A391" s="73"/>
      <c r="B391" s="36"/>
      <c r="C391" s="8" t="s">
        <v>42</v>
      </c>
      <c r="D391" s="12">
        <v>38956</v>
      </c>
      <c r="E391" s="34"/>
      <c r="F391" s="11"/>
      <c r="G391" s="11"/>
    </row>
    <row r="392" spans="1:7">
      <c r="A392" s="73"/>
      <c r="B392" s="36"/>
      <c r="C392" s="8" t="s">
        <v>204</v>
      </c>
      <c r="D392" s="12">
        <v>27497</v>
      </c>
      <c r="E392" s="34"/>
      <c r="F392" s="11"/>
      <c r="G392" s="11"/>
    </row>
    <row r="393" spans="1:7">
      <c r="A393" s="73"/>
      <c r="B393" s="36"/>
      <c r="C393" s="8" t="s">
        <v>205</v>
      </c>
      <c r="D393" s="12">
        <v>21130</v>
      </c>
      <c r="E393" s="34"/>
      <c r="F393" s="11"/>
      <c r="G393" s="64"/>
    </row>
    <row r="394" spans="1:7">
      <c r="A394" s="75"/>
      <c r="B394" s="49"/>
      <c r="C394" s="51"/>
      <c r="D394" s="35"/>
      <c r="E394" s="23">
        <f>SUM(D387:D393)</f>
        <v>1615339</v>
      </c>
      <c r="F394" s="47"/>
      <c r="G394" s="48"/>
    </row>
    <row r="395" spans="1:7">
      <c r="A395" s="73">
        <v>44869</v>
      </c>
      <c r="B395" s="7" t="s">
        <v>206</v>
      </c>
      <c r="C395" s="8"/>
      <c r="D395" s="12"/>
      <c r="E395" s="10"/>
      <c r="F395" s="11"/>
      <c r="G395" s="11"/>
    </row>
    <row r="396" spans="1:7">
      <c r="A396" s="73"/>
      <c r="B396" s="7"/>
      <c r="C396" s="8" t="s">
        <v>179</v>
      </c>
      <c r="D396" s="12">
        <v>1140</v>
      </c>
      <c r="E396" s="10"/>
      <c r="F396" s="11"/>
      <c r="G396" s="64"/>
    </row>
    <row r="397" spans="1:7">
      <c r="A397" s="73"/>
      <c r="B397" s="7"/>
      <c r="C397" s="8" t="s">
        <v>207</v>
      </c>
      <c r="D397" s="12">
        <v>127990</v>
      </c>
      <c r="E397" s="10"/>
      <c r="F397" s="11"/>
      <c r="G397" s="64"/>
    </row>
    <row r="398" spans="1:7">
      <c r="A398" s="73"/>
      <c r="B398" s="7"/>
      <c r="C398" s="8" t="s">
        <v>208</v>
      </c>
      <c r="D398" s="12">
        <v>1032</v>
      </c>
      <c r="E398" s="10"/>
      <c r="F398" s="11"/>
      <c r="G398" s="11"/>
    </row>
    <row r="399" spans="1:7">
      <c r="A399" s="73"/>
      <c r="B399" s="7"/>
      <c r="C399" s="8" t="s">
        <v>209</v>
      </c>
      <c r="D399" s="12">
        <v>18232</v>
      </c>
      <c r="E399" s="10"/>
      <c r="F399" s="11"/>
      <c r="G399" s="11"/>
    </row>
    <row r="400" spans="1:7">
      <c r="A400" s="73"/>
      <c r="B400" s="7"/>
      <c r="C400" s="8" t="s">
        <v>210</v>
      </c>
      <c r="D400" s="12">
        <v>8223</v>
      </c>
      <c r="E400" s="10"/>
      <c r="F400" s="11"/>
      <c r="G400" s="11" t="s">
        <v>11</v>
      </c>
    </row>
    <row r="401" spans="1:7">
      <c r="A401" s="73"/>
      <c r="B401" s="7"/>
      <c r="C401" s="8" t="s">
        <v>112</v>
      </c>
      <c r="D401" s="12">
        <v>244769</v>
      </c>
      <c r="E401" s="10"/>
      <c r="F401" s="11"/>
      <c r="G401" s="11"/>
    </row>
    <row r="402" spans="1:7">
      <c r="A402" s="73"/>
      <c r="B402" s="7"/>
      <c r="C402" s="8" t="s">
        <v>211</v>
      </c>
      <c r="D402" s="12">
        <v>98343</v>
      </c>
      <c r="E402" s="10"/>
      <c r="F402" s="11"/>
      <c r="G402" s="11"/>
    </row>
    <row r="403" spans="1:7">
      <c r="A403" s="73"/>
      <c r="B403" s="7"/>
      <c r="C403" s="8" t="s">
        <v>212</v>
      </c>
      <c r="D403" s="12">
        <v>19100</v>
      </c>
      <c r="E403" s="10"/>
      <c r="F403" s="11"/>
      <c r="G403" s="11"/>
    </row>
    <row r="404" spans="1:7">
      <c r="A404" s="73"/>
      <c r="B404" s="7"/>
      <c r="C404" s="8"/>
      <c r="D404" s="35"/>
      <c r="E404" s="10">
        <f>SUM(D396:D403)</f>
        <v>518829</v>
      </c>
      <c r="F404" s="47"/>
      <c r="G404" s="48"/>
    </row>
    <row r="405" spans="1:7">
      <c r="A405" s="74">
        <v>44868</v>
      </c>
      <c r="B405" s="14" t="s">
        <v>213</v>
      </c>
      <c r="C405" s="15"/>
      <c r="D405" s="12"/>
      <c r="E405" s="22"/>
      <c r="F405" s="11"/>
      <c r="G405" s="11"/>
    </row>
    <row r="406" spans="1:7">
      <c r="A406" s="73"/>
      <c r="B406" s="7"/>
      <c r="C406" s="8" t="s">
        <v>42</v>
      </c>
      <c r="D406" s="12">
        <v>250692</v>
      </c>
      <c r="E406" s="10"/>
      <c r="F406" s="11"/>
      <c r="G406" s="11"/>
    </row>
    <row r="407" spans="1:7">
      <c r="A407" s="73"/>
      <c r="B407" s="7"/>
      <c r="C407" s="8" t="s">
        <v>214</v>
      </c>
      <c r="D407" s="12">
        <v>11827</v>
      </c>
      <c r="E407" s="10"/>
      <c r="F407" s="11"/>
      <c r="G407" s="11"/>
    </row>
    <row r="408" spans="1:7">
      <c r="A408" s="73"/>
      <c r="B408" s="7"/>
      <c r="C408" s="8" t="s">
        <v>43</v>
      </c>
      <c r="D408" s="12">
        <v>148760</v>
      </c>
      <c r="E408" s="10"/>
      <c r="F408" s="11"/>
      <c r="G408" s="11"/>
    </row>
    <row r="409" spans="1:7" ht="14.25" customHeight="1">
      <c r="A409" s="73"/>
      <c r="B409" s="7"/>
      <c r="C409" s="8" t="s">
        <v>20</v>
      </c>
      <c r="D409" s="12">
        <v>51001</v>
      </c>
      <c r="E409" s="10"/>
      <c r="F409" s="11"/>
      <c r="G409" s="11" t="s">
        <v>11</v>
      </c>
    </row>
    <row r="410" spans="1:7">
      <c r="A410" s="73"/>
      <c r="B410" s="7"/>
      <c r="C410" s="8" t="s">
        <v>215</v>
      </c>
      <c r="D410" s="12">
        <v>493068</v>
      </c>
      <c r="E410" s="10"/>
      <c r="F410" s="11"/>
      <c r="G410" s="11"/>
    </row>
    <row r="411" spans="1:7">
      <c r="A411" s="75"/>
      <c r="B411" s="19"/>
      <c r="C411" s="20"/>
      <c r="D411" s="35"/>
      <c r="E411" s="30">
        <f>SUM(D406:D410)</f>
        <v>955348</v>
      </c>
      <c r="F411" s="47"/>
      <c r="G411" s="11"/>
    </row>
    <row r="412" spans="1:7">
      <c r="A412" s="74">
        <v>44889</v>
      </c>
      <c r="B412" s="14" t="s">
        <v>216</v>
      </c>
      <c r="C412" s="15"/>
      <c r="D412" s="12"/>
      <c r="E412" s="22"/>
      <c r="F412" s="11"/>
      <c r="G412" s="18"/>
    </row>
    <row r="413" spans="1:7">
      <c r="A413" s="73"/>
      <c r="B413" s="28"/>
      <c r="C413" s="8" t="s">
        <v>36</v>
      </c>
      <c r="D413" s="12">
        <v>21042</v>
      </c>
      <c r="E413" s="10"/>
      <c r="F413" s="54"/>
      <c r="G413" s="11"/>
    </row>
    <row r="414" spans="1:7">
      <c r="A414" s="73"/>
      <c r="B414" s="28"/>
      <c r="C414" s="8" t="s">
        <v>123</v>
      </c>
      <c r="D414" s="12">
        <v>31675</v>
      </c>
      <c r="E414" s="10"/>
      <c r="F414" s="54"/>
      <c r="G414" s="11" t="s">
        <v>11</v>
      </c>
    </row>
    <row r="415" spans="1:7">
      <c r="A415" s="75"/>
      <c r="B415" s="49"/>
      <c r="C415" s="20"/>
      <c r="D415" s="35"/>
      <c r="E415" s="13">
        <f>SUM('Special levies forecast 2022-23'!D413:D414)</f>
        <v>52717</v>
      </c>
      <c r="F415" s="47"/>
      <c r="G415" s="48"/>
    </row>
    <row r="416" spans="1:7">
      <c r="A416" s="73">
        <v>44874</v>
      </c>
      <c r="B416" s="28" t="s">
        <v>217</v>
      </c>
      <c r="C416" s="8"/>
      <c r="D416" s="12"/>
      <c r="E416" s="10"/>
      <c r="F416" s="11"/>
      <c r="G416" s="11"/>
    </row>
    <row r="417" spans="1:7">
      <c r="A417" s="73"/>
      <c r="B417" s="28"/>
      <c r="C417" s="8" t="s">
        <v>90</v>
      </c>
      <c r="D417" s="12">
        <v>103679</v>
      </c>
      <c r="E417" s="10"/>
      <c r="F417" s="11"/>
      <c r="G417" s="11" t="s">
        <v>11</v>
      </c>
    </row>
    <row r="418" spans="1:7">
      <c r="A418" s="73"/>
      <c r="B418" s="28"/>
      <c r="C418" s="8" t="s">
        <v>218</v>
      </c>
      <c r="D418" s="12">
        <v>30857</v>
      </c>
      <c r="E418" s="10"/>
      <c r="F418" s="11"/>
      <c r="G418" s="11"/>
    </row>
    <row r="419" spans="1:7">
      <c r="A419" s="73"/>
      <c r="B419" s="28"/>
      <c r="C419" s="8"/>
      <c r="D419" s="35"/>
      <c r="E419" s="10">
        <f>SUM(D417:D418)</f>
        <v>134536</v>
      </c>
      <c r="F419" s="47"/>
      <c r="G419" s="48"/>
    </row>
    <row r="420" spans="1:7">
      <c r="A420" s="74">
        <v>44889</v>
      </c>
      <c r="B420" s="14" t="s">
        <v>219</v>
      </c>
      <c r="C420" s="15"/>
      <c r="D420" s="12"/>
      <c r="E420" s="22"/>
      <c r="F420" s="11"/>
      <c r="G420" s="11"/>
    </row>
    <row r="421" spans="1:7">
      <c r="A421" s="73"/>
      <c r="B421" s="7"/>
      <c r="C421" s="8" t="s">
        <v>36</v>
      </c>
      <c r="D421" s="12">
        <v>10986</v>
      </c>
      <c r="E421" s="10"/>
      <c r="F421" s="11"/>
      <c r="G421" s="11" t="s">
        <v>11</v>
      </c>
    </row>
    <row r="422" spans="1:7">
      <c r="A422" s="75"/>
      <c r="B422" s="19"/>
      <c r="C422" s="20"/>
      <c r="D422" s="35"/>
      <c r="E422" s="13">
        <f>SUM('Special levies forecast 2022-23'!D421)</f>
        <v>10986</v>
      </c>
      <c r="F422" s="47"/>
      <c r="G422" s="48"/>
    </row>
    <row r="423" spans="1:7">
      <c r="A423" s="74">
        <v>44889</v>
      </c>
      <c r="B423" s="14" t="s">
        <v>220</v>
      </c>
      <c r="C423" s="15"/>
      <c r="D423" s="12"/>
      <c r="E423" s="22"/>
      <c r="F423" s="11"/>
      <c r="G423" s="11"/>
    </row>
    <row r="424" spans="1:7">
      <c r="A424" s="73"/>
      <c r="B424" s="28"/>
      <c r="C424" s="8" t="s">
        <v>36</v>
      </c>
      <c r="D424" s="12">
        <v>5043</v>
      </c>
      <c r="E424" s="10"/>
      <c r="F424" s="11"/>
      <c r="G424" s="11"/>
    </row>
    <row r="425" spans="1:7">
      <c r="A425" s="73"/>
      <c r="B425" s="28"/>
      <c r="C425" s="8" t="s">
        <v>17</v>
      </c>
      <c r="D425" s="12">
        <v>14778</v>
      </c>
      <c r="E425" s="10"/>
      <c r="F425" s="11"/>
      <c r="G425" s="11" t="s">
        <v>11</v>
      </c>
    </row>
    <row r="426" spans="1:7">
      <c r="A426" s="75"/>
      <c r="B426" s="49"/>
      <c r="C426" s="20"/>
      <c r="D426" s="35"/>
      <c r="E426" s="13">
        <f>SUM('Special levies forecast 2022-23'!D424:D425)</f>
        <v>19821</v>
      </c>
      <c r="F426" s="47"/>
      <c r="G426" s="11"/>
    </row>
    <row r="427" spans="1:7">
      <c r="A427" s="83">
        <v>44882</v>
      </c>
      <c r="B427" s="36" t="s">
        <v>221</v>
      </c>
      <c r="C427" s="37"/>
      <c r="D427" s="12"/>
      <c r="E427" s="22"/>
      <c r="F427" s="11"/>
      <c r="G427" s="18"/>
    </row>
    <row r="428" spans="1:7">
      <c r="A428" s="83"/>
      <c r="B428" s="36"/>
      <c r="C428" s="37" t="s">
        <v>59</v>
      </c>
      <c r="D428" s="12">
        <v>23084</v>
      </c>
      <c r="E428" s="10"/>
      <c r="F428" s="11"/>
      <c r="G428" s="11"/>
    </row>
    <row r="429" spans="1:7">
      <c r="A429" s="83"/>
      <c r="B429" s="36"/>
      <c r="C429" s="8" t="s">
        <v>222</v>
      </c>
      <c r="D429" s="12">
        <v>136864</v>
      </c>
      <c r="E429" s="10"/>
      <c r="F429" s="11"/>
      <c r="G429" s="11" t="s">
        <v>11</v>
      </c>
    </row>
    <row r="430" spans="1:7">
      <c r="A430" s="84"/>
      <c r="B430" s="36"/>
      <c r="C430" s="37"/>
      <c r="D430" s="35"/>
      <c r="E430" s="13">
        <f>SUM('Special levies forecast 2022-23'!D428:D429)</f>
        <v>159948</v>
      </c>
      <c r="F430" s="47"/>
      <c r="G430" s="48"/>
    </row>
    <row r="431" spans="1:7">
      <c r="A431" s="74">
        <v>44879</v>
      </c>
      <c r="B431" s="14" t="s">
        <v>223</v>
      </c>
      <c r="C431" s="15"/>
      <c r="D431" s="12"/>
      <c r="E431" s="22"/>
      <c r="F431" s="17"/>
      <c r="G431" s="11"/>
    </row>
    <row r="432" spans="1:7">
      <c r="A432" s="73"/>
      <c r="B432" s="7"/>
      <c r="C432" s="8" t="s">
        <v>138</v>
      </c>
      <c r="D432" s="12">
        <v>903</v>
      </c>
      <c r="E432" s="10"/>
      <c r="F432" s="11"/>
      <c r="G432" s="11"/>
    </row>
    <row r="433" spans="1:7">
      <c r="A433" s="73"/>
      <c r="B433" s="7"/>
      <c r="C433" s="8" t="s">
        <v>48</v>
      </c>
      <c r="D433" s="12">
        <v>936</v>
      </c>
      <c r="E433" s="10"/>
      <c r="F433" s="11"/>
      <c r="G433" s="11"/>
    </row>
    <row r="434" spans="1:7">
      <c r="A434" s="73"/>
      <c r="B434" s="7"/>
      <c r="C434" s="8" t="s">
        <v>224</v>
      </c>
      <c r="D434" s="12">
        <v>64191</v>
      </c>
      <c r="E434" s="10"/>
      <c r="F434" s="11"/>
      <c r="G434" s="11"/>
    </row>
    <row r="435" spans="1:7">
      <c r="A435" s="73"/>
      <c r="B435" s="7"/>
      <c r="C435" s="8" t="s">
        <v>81</v>
      </c>
      <c r="D435" s="12">
        <v>17706</v>
      </c>
      <c r="E435" s="10"/>
      <c r="F435" s="11"/>
      <c r="G435" s="11" t="s">
        <v>11</v>
      </c>
    </row>
    <row r="436" spans="1:7">
      <c r="A436" s="73"/>
      <c r="B436" s="7"/>
      <c r="C436" s="8" t="s">
        <v>140</v>
      </c>
      <c r="D436" s="12">
        <v>123763</v>
      </c>
      <c r="E436" s="10"/>
      <c r="F436" s="11"/>
      <c r="G436" s="11"/>
    </row>
    <row r="437" spans="1:7">
      <c r="A437" s="73"/>
      <c r="B437" s="7"/>
      <c r="C437" s="8" t="s">
        <v>82</v>
      </c>
      <c r="D437" s="12">
        <v>26974</v>
      </c>
      <c r="E437" s="10"/>
      <c r="F437" s="11"/>
      <c r="G437" s="11"/>
    </row>
    <row r="438" spans="1:7">
      <c r="A438" s="75"/>
      <c r="B438" s="19"/>
      <c r="C438" s="20"/>
      <c r="D438" s="35"/>
      <c r="E438" s="23">
        <f>SUM(D432:D437)</f>
        <v>234473</v>
      </c>
      <c r="F438" s="47"/>
      <c r="G438" s="48"/>
    </row>
    <row r="439" spans="1:7">
      <c r="A439" s="74">
        <v>44867</v>
      </c>
      <c r="B439" s="14" t="s">
        <v>225</v>
      </c>
      <c r="C439" s="15"/>
      <c r="D439" s="12"/>
      <c r="E439" s="22"/>
      <c r="F439" s="11"/>
      <c r="G439" s="11"/>
    </row>
    <row r="440" spans="1:7">
      <c r="A440" s="73"/>
      <c r="B440" s="7"/>
      <c r="C440" s="8" t="s">
        <v>41</v>
      </c>
      <c r="D440" s="12">
        <v>1012257</v>
      </c>
      <c r="E440" s="10"/>
      <c r="F440" s="11"/>
      <c r="G440" s="11" t="s">
        <v>11</v>
      </c>
    </row>
    <row r="441" spans="1:7">
      <c r="A441" s="73"/>
      <c r="B441" s="7"/>
      <c r="C441" s="8" t="s">
        <v>43</v>
      </c>
      <c r="D441" s="12">
        <v>591532</v>
      </c>
      <c r="E441" s="10"/>
      <c r="F441" s="11"/>
      <c r="G441" s="11"/>
    </row>
    <row r="442" spans="1:7">
      <c r="A442" s="73"/>
      <c r="B442" s="7"/>
      <c r="C442" s="8" t="s">
        <v>40</v>
      </c>
      <c r="D442" s="12">
        <v>67120</v>
      </c>
      <c r="E442" s="10"/>
      <c r="F442" s="11"/>
      <c r="G442" s="11"/>
    </row>
    <row r="443" spans="1:7">
      <c r="A443" s="73"/>
      <c r="B443" s="7"/>
      <c r="C443" s="8" t="s">
        <v>145</v>
      </c>
      <c r="D443" s="12">
        <v>194992</v>
      </c>
      <c r="E443" s="10"/>
      <c r="F443" s="11"/>
      <c r="G443" s="11"/>
    </row>
    <row r="444" spans="1:7">
      <c r="A444" s="75"/>
      <c r="B444" s="7"/>
      <c r="C444" s="20"/>
      <c r="D444" s="35"/>
      <c r="E444" s="13">
        <f>SUM(D440:D443)</f>
        <v>1865901</v>
      </c>
      <c r="F444" s="47"/>
      <c r="G444" s="48"/>
    </row>
    <row r="445" spans="1:7">
      <c r="A445" s="74">
        <v>44872</v>
      </c>
      <c r="B445" s="27" t="s">
        <v>226</v>
      </c>
      <c r="C445" s="15"/>
      <c r="D445" s="12"/>
      <c r="E445" s="22"/>
      <c r="F445" s="11"/>
      <c r="G445" s="11"/>
    </row>
    <row r="446" spans="1:7">
      <c r="A446" s="73"/>
      <c r="B446" s="7"/>
      <c r="C446" s="8" t="s">
        <v>36</v>
      </c>
      <c r="D446" s="12">
        <v>206634</v>
      </c>
      <c r="E446" s="10"/>
      <c r="F446" s="11"/>
      <c r="G446" s="11"/>
    </row>
    <row r="447" spans="1:7">
      <c r="A447" s="73"/>
      <c r="B447" s="7"/>
      <c r="C447" s="8" t="s">
        <v>17</v>
      </c>
      <c r="D447" s="12">
        <v>122987</v>
      </c>
      <c r="E447" s="10"/>
      <c r="F447" s="11"/>
      <c r="G447" s="11" t="s">
        <v>11</v>
      </c>
    </row>
    <row r="448" spans="1:7">
      <c r="A448" s="75"/>
      <c r="B448" s="19"/>
      <c r="C448" s="29"/>
      <c r="D448" s="35"/>
      <c r="E448" s="13">
        <f>SUM(D446:D447)</f>
        <v>329621</v>
      </c>
      <c r="F448" s="47"/>
      <c r="G448" s="48"/>
    </row>
    <row r="449" spans="1:7">
      <c r="A449" s="74">
        <v>44869</v>
      </c>
      <c r="B449" s="14" t="s">
        <v>227</v>
      </c>
      <c r="C449" s="15"/>
      <c r="D449" s="12"/>
      <c r="E449" s="22"/>
      <c r="F449" s="11"/>
      <c r="G449" s="11"/>
    </row>
    <row r="450" spans="1:7">
      <c r="A450" s="73"/>
      <c r="B450" s="7"/>
      <c r="C450" s="8" t="s">
        <v>215</v>
      </c>
      <c r="D450" s="12">
        <v>147704</v>
      </c>
      <c r="E450" s="10"/>
      <c r="F450" s="11"/>
      <c r="G450" s="11"/>
    </row>
    <row r="451" spans="1:7">
      <c r="A451" s="73"/>
      <c r="B451" s="7"/>
      <c r="C451" s="8" t="s">
        <v>42</v>
      </c>
      <c r="D451" s="12">
        <v>279054</v>
      </c>
      <c r="E451" s="10"/>
      <c r="F451" s="11"/>
      <c r="G451" s="11" t="s">
        <v>11</v>
      </c>
    </row>
    <row r="452" spans="1:7">
      <c r="A452" s="75"/>
      <c r="B452" s="19"/>
      <c r="C452" s="29"/>
      <c r="D452" s="35"/>
      <c r="E452" s="13">
        <f>SUM(D450:D451)</f>
        <v>426758</v>
      </c>
      <c r="F452" s="47"/>
      <c r="G452" s="48"/>
    </row>
    <row r="453" spans="1:7">
      <c r="A453" s="73">
        <v>44869</v>
      </c>
      <c r="B453" s="14" t="s">
        <v>228</v>
      </c>
      <c r="C453" s="15"/>
      <c r="D453" s="12"/>
      <c r="E453" s="22"/>
      <c r="F453" s="11"/>
      <c r="G453" s="11"/>
    </row>
    <row r="454" spans="1:7">
      <c r="A454" s="73"/>
      <c r="B454" s="7"/>
      <c r="C454" s="8" t="s">
        <v>215</v>
      </c>
      <c r="D454" s="12">
        <v>281925</v>
      </c>
      <c r="E454" s="10"/>
      <c r="F454" s="11"/>
      <c r="G454" s="11"/>
    </row>
    <row r="455" spans="1:7">
      <c r="A455" s="73"/>
      <c r="B455" s="7"/>
      <c r="C455" s="8" t="s">
        <v>104</v>
      </c>
      <c r="D455" s="12">
        <v>382480</v>
      </c>
      <c r="E455" s="10"/>
      <c r="F455" s="11"/>
      <c r="G455" s="11" t="s">
        <v>11</v>
      </c>
    </row>
    <row r="456" spans="1:7">
      <c r="A456" s="73"/>
      <c r="B456" s="7"/>
      <c r="C456" s="8" t="s">
        <v>20</v>
      </c>
      <c r="D456" s="12">
        <v>224710</v>
      </c>
      <c r="E456" s="10"/>
      <c r="F456" s="11"/>
      <c r="G456" s="11"/>
    </row>
    <row r="457" spans="1:7">
      <c r="A457" s="75"/>
      <c r="B457" s="19"/>
      <c r="C457" s="20"/>
      <c r="D457" s="35"/>
      <c r="E457" s="23">
        <f>SUM(D454:D456)</f>
        <v>889115</v>
      </c>
      <c r="F457" s="47"/>
      <c r="G457" s="48"/>
    </row>
    <row r="458" spans="1:7">
      <c r="A458" s="73">
        <v>44867</v>
      </c>
      <c r="B458" s="36" t="s">
        <v>229</v>
      </c>
      <c r="C458" s="65"/>
      <c r="D458" s="12"/>
      <c r="E458" s="22"/>
      <c r="F458" s="11"/>
      <c r="G458" s="11"/>
    </row>
    <row r="459" spans="1:7">
      <c r="A459" s="73"/>
      <c r="B459" s="36"/>
      <c r="C459" s="29" t="s">
        <v>40</v>
      </c>
      <c r="D459" s="12">
        <v>1163420</v>
      </c>
      <c r="E459" s="10"/>
      <c r="F459" s="11"/>
      <c r="G459" s="11"/>
    </row>
    <row r="460" spans="1:7">
      <c r="A460" s="73"/>
      <c r="B460" s="36"/>
      <c r="C460" s="29" t="s">
        <v>104</v>
      </c>
      <c r="D460" s="12">
        <v>410190</v>
      </c>
      <c r="E460" s="10"/>
      <c r="F460" s="11"/>
      <c r="G460" s="11" t="s">
        <v>11</v>
      </c>
    </row>
    <row r="461" spans="1:7">
      <c r="A461" s="73"/>
      <c r="B461" s="36"/>
      <c r="C461" s="65"/>
      <c r="D461" s="35"/>
      <c r="E461" s="13">
        <f>SUM(D459:D460)</f>
        <v>1573610</v>
      </c>
      <c r="F461" s="47"/>
      <c r="G461" s="48"/>
    </row>
    <row r="462" spans="1:7">
      <c r="A462" s="74">
        <v>44872</v>
      </c>
      <c r="B462" s="14" t="s">
        <v>230</v>
      </c>
      <c r="C462" s="15"/>
      <c r="D462" s="12"/>
      <c r="E462" s="22"/>
      <c r="F462" s="11"/>
      <c r="G462" s="11"/>
    </row>
    <row r="463" spans="1:7">
      <c r="A463" s="73"/>
      <c r="B463" s="7"/>
      <c r="C463" s="8" t="s">
        <v>95</v>
      </c>
      <c r="D463" s="12">
        <v>579</v>
      </c>
      <c r="E463" s="10"/>
      <c r="F463" s="11"/>
      <c r="G463" s="11" t="s">
        <v>11</v>
      </c>
    </row>
    <row r="464" spans="1:7">
      <c r="A464" s="75"/>
      <c r="B464" s="19"/>
      <c r="C464" s="20"/>
      <c r="D464" s="35"/>
      <c r="E464" s="26">
        <f>SUM(D462:D463)</f>
        <v>579</v>
      </c>
      <c r="F464" s="47"/>
      <c r="G464" s="48"/>
    </row>
    <row r="465" spans="1:7">
      <c r="A465" s="85">
        <f>COUNT(A2:A464)</f>
        <v>112</v>
      </c>
      <c r="B465" s="86">
        <f>COUNTA(B2:B464)</f>
        <v>112</v>
      </c>
      <c r="C465" s="89"/>
      <c r="D465" s="87">
        <f>SUM(D2:D464)</f>
        <v>45976943.560000002</v>
      </c>
      <c r="E465" s="87">
        <f>SUM(E2:E464)</f>
        <v>45997512.560000002</v>
      </c>
      <c r="F465" s="88"/>
      <c r="G465" s="88"/>
    </row>
    <row r="466" spans="1:7">
      <c r="C466" s="66"/>
      <c r="D466" s="4"/>
      <c r="E466" s="2"/>
    </row>
    <row r="467" spans="1:7">
      <c r="B467" s="3"/>
      <c r="C467" s="2"/>
      <c r="D467" s="4"/>
      <c r="E467" s="2"/>
    </row>
    <row r="470" spans="1:7">
      <c r="A470" s="67"/>
      <c r="C470" s="66"/>
      <c r="E470" s="2"/>
    </row>
    <row r="471" spans="1:7">
      <c r="A471" s="67"/>
      <c r="C471" s="66"/>
      <c r="E471" s="2"/>
    </row>
    <row r="472" spans="1:7">
      <c r="A472" s="67"/>
      <c r="C472" s="66"/>
      <c r="E472" s="2"/>
    </row>
    <row r="473" spans="1:7">
      <c r="A473" s="67"/>
      <c r="C473" s="66"/>
      <c r="E473" s="2"/>
    </row>
    <row r="474" spans="1:7">
      <c r="A474" s="67"/>
      <c r="C474" s="66"/>
      <c r="E474" s="2"/>
    </row>
    <row r="475" spans="1:7">
      <c r="A475" s="67"/>
      <c r="C475" s="66"/>
      <c r="E475" s="2"/>
    </row>
    <row r="476" spans="1:7">
      <c r="A476" s="67"/>
      <c r="C476" s="66"/>
      <c r="E476" s="2"/>
    </row>
    <row r="477" spans="1:7">
      <c r="A477" s="67"/>
      <c r="C477" s="66"/>
      <c r="E477" s="2"/>
    </row>
    <row r="478" spans="1:7">
      <c r="A478" s="67"/>
      <c r="C478" s="66"/>
      <c r="E478" s="2"/>
    </row>
    <row r="479" spans="1:7">
      <c r="A479" s="67"/>
      <c r="C479" s="66"/>
      <c r="E479" s="2"/>
    </row>
    <row r="480" spans="1:7">
      <c r="A480" s="67"/>
      <c r="C480" s="66"/>
      <c r="E480" s="2"/>
    </row>
    <row r="481" spans="1:5">
      <c r="A481" s="67"/>
      <c r="C481" s="66"/>
      <c r="E481" s="2"/>
    </row>
    <row r="482" spans="1:5">
      <c r="A482" s="67"/>
      <c r="C482" s="66"/>
      <c r="E482" s="2"/>
    </row>
    <row r="483" spans="1:5">
      <c r="A483" s="67"/>
      <c r="C483" s="66"/>
      <c r="E483" s="2"/>
    </row>
    <row r="484" spans="1:5">
      <c r="A484" s="67"/>
      <c r="C484" s="66"/>
      <c r="E484" s="2"/>
    </row>
    <row r="485" spans="1:5">
      <c r="A485" s="67"/>
      <c r="C485" s="66"/>
      <c r="E485" s="2"/>
    </row>
    <row r="486" spans="1:5">
      <c r="A486" s="67"/>
      <c r="C486" s="66"/>
      <c r="E486" s="2"/>
    </row>
    <row r="501" spans="8:8">
      <c r="H501" s="2" t="s">
        <v>231</v>
      </c>
    </row>
    <row r="570" spans="8:8">
      <c r="H570" s="68"/>
    </row>
    <row r="747" spans="7:7">
      <c r="G747" s="69"/>
    </row>
    <row r="753" spans="7:7">
      <c r="G753" s="69"/>
    </row>
    <row r="757" spans="7:7">
      <c r="G757" s="70"/>
    </row>
    <row r="769" spans="7:7">
      <c r="G769" s="71"/>
    </row>
    <row r="833" spans="7:7">
      <c r="G833" s="71"/>
    </row>
    <row r="834" spans="7:7">
      <c r="G834" s="71"/>
    </row>
    <row r="854" spans="8:8">
      <c r="H854" s="72"/>
    </row>
    <row r="857" spans="8:8">
      <c r="H857" s="72"/>
    </row>
    <row r="858" spans="8:8">
      <c r="H858" s="72"/>
    </row>
    <row r="874" spans="7:7">
      <c r="G874" s="71"/>
    </row>
    <row r="875" spans="7:7">
      <c r="G875" s="71"/>
    </row>
  </sheetData>
  <mergeCells count="112">
    <mergeCell ref="A449:A452"/>
    <mergeCell ref="A453:A457"/>
    <mergeCell ref="A458:A461"/>
    <mergeCell ref="A462:A464"/>
    <mergeCell ref="A405:A411"/>
    <mergeCell ref="A412:A415"/>
    <mergeCell ref="A416:A419"/>
    <mergeCell ref="A420:A422"/>
    <mergeCell ref="A423:A426"/>
    <mergeCell ref="A427:A430"/>
    <mergeCell ref="A431:A438"/>
    <mergeCell ref="A439:A444"/>
    <mergeCell ref="A445:A448"/>
    <mergeCell ref="A360:A362"/>
    <mergeCell ref="A363:A365"/>
    <mergeCell ref="A366:A370"/>
    <mergeCell ref="A371:A374"/>
    <mergeCell ref="A375:A379"/>
    <mergeCell ref="A380:A382"/>
    <mergeCell ref="A383:A385"/>
    <mergeCell ref="A386:A394"/>
    <mergeCell ref="A395:A404"/>
    <mergeCell ref="A324:A330"/>
    <mergeCell ref="A331:A335"/>
    <mergeCell ref="A336:A338"/>
    <mergeCell ref="A339:A342"/>
    <mergeCell ref="A343:A345"/>
    <mergeCell ref="A346:A349"/>
    <mergeCell ref="A350:A352"/>
    <mergeCell ref="A353:A355"/>
    <mergeCell ref="A356:A359"/>
    <mergeCell ref="A295:A297"/>
    <mergeCell ref="A298:A300"/>
    <mergeCell ref="A301:A303"/>
    <mergeCell ref="A304:A306"/>
    <mergeCell ref="A307:A309"/>
    <mergeCell ref="A310:A312"/>
    <mergeCell ref="A313:A315"/>
    <mergeCell ref="A316:A320"/>
    <mergeCell ref="A321:A323"/>
    <mergeCell ref="A261:A263"/>
    <mergeCell ref="A264:A266"/>
    <mergeCell ref="A267:A270"/>
    <mergeCell ref="A271:A273"/>
    <mergeCell ref="A274:A276"/>
    <mergeCell ref="A277:A279"/>
    <mergeCell ref="A280:A285"/>
    <mergeCell ref="A286:A291"/>
    <mergeCell ref="A292:A294"/>
    <mergeCell ref="A223:A225"/>
    <mergeCell ref="A226:A229"/>
    <mergeCell ref="A230:A232"/>
    <mergeCell ref="A233:A235"/>
    <mergeCell ref="A236:A243"/>
    <mergeCell ref="A244:A248"/>
    <mergeCell ref="A249:A252"/>
    <mergeCell ref="A253:A257"/>
    <mergeCell ref="A258:A260"/>
    <mergeCell ref="A193:A196"/>
    <mergeCell ref="A197:A199"/>
    <mergeCell ref="A200:A202"/>
    <mergeCell ref="A203:A205"/>
    <mergeCell ref="A206:A208"/>
    <mergeCell ref="A209:A211"/>
    <mergeCell ref="A212:A214"/>
    <mergeCell ref="A215:A217"/>
    <mergeCell ref="A218:A222"/>
    <mergeCell ref="A149:A152"/>
    <mergeCell ref="A153:A156"/>
    <mergeCell ref="A157:A161"/>
    <mergeCell ref="A162:A165"/>
    <mergeCell ref="A166:A168"/>
    <mergeCell ref="A169:A172"/>
    <mergeCell ref="A173:A176"/>
    <mergeCell ref="A177:A182"/>
    <mergeCell ref="A183:A192"/>
    <mergeCell ref="A116:A121"/>
    <mergeCell ref="A122:A124"/>
    <mergeCell ref="A125:A127"/>
    <mergeCell ref="A128:A130"/>
    <mergeCell ref="A131:A136"/>
    <mergeCell ref="A137:A139"/>
    <mergeCell ref="A140:A142"/>
    <mergeCell ref="A143:A145"/>
    <mergeCell ref="A146:A148"/>
    <mergeCell ref="A82:A84"/>
    <mergeCell ref="A85:A87"/>
    <mergeCell ref="A88:A90"/>
    <mergeCell ref="A91:A98"/>
    <mergeCell ref="A99:A101"/>
    <mergeCell ref="A102:A106"/>
    <mergeCell ref="A107:A109"/>
    <mergeCell ref="A110:A112"/>
    <mergeCell ref="A113:A115"/>
    <mergeCell ref="A43:A46"/>
    <mergeCell ref="A47:A52"/>
    <mergeCell ref="A53:A55"/>
    <mergeCell ref="A56:A58"/>
    <mergeCell ref="A59:A64"/>
    <mergeCell ref="A65:A71"/>
    <mergeCell ref="A72:A75"/>
    <mergeCell ref="A76:A78"/>
    <mergeCell ref="A79:A81"/>
    <mergeCell ref="A2:A7"/>
    <mergeCell ref="A8:A11"/>
    <mergeCell ref="A12:A14"/>
    <mergeCell ref="A15:A18"/>
    <mergeCell ref="A19:A23"/>
    <mergeCell ref="A24:A29"/>
    <mergeCell ref="A30:A35"/>
    <mergeCell ref="A36:A39"/>
    <mergeCell ref="A40:A42"/>
  </mergeCells>
  <pageMargins left="0.74803149606299202" right="0.74803149606299202" top="0.98425196850393704" bottom="0.98425196850393704" header="0.511811023622047" footer="0.511811023622047"/>
  <pageSetup paperSize="9" orientation="landscape"/>
  <headerFooter alignWithMargins="0">
    <oddHeader>&amp;CIDB Total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Special levies forecast 2022-23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2024-11-20T07:34:00Z</dcterms:created>
  <dcterms:modified xsi:type="dcterms:W3CDTF">2026-01-22T02:10:24Z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C6F3C84D7BA942479CFD02E4DB1B9C19_12</vt:lpwstr>
  </property>
  <property fmtid="{D5CDD505-2E9C-101B-9397-08002B2CF9AE}" pid="3" name="KSOProductBuildVer">
    <vt:lpwstr>2052-12.1.0.19302</vt:lpwstr>
  </property>
</Properties>
</file>