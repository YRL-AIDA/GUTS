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ACTIVITY">'[1]by Months'!$O$2:$O$13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O32" i="1"/>
  <c r="N32" i="1"/>
  <c r="M32" i="1"/>
  <c r="L32" i="1"/>
  <c r="K32" i="1"/>
  <c r="J32" i="1"/>
  <c r="I32" i="1"/>
  <c r="H32" i="1"/>
  <c r="G32" i="1"/>
  <c r="P26" i="1"/>
  <c r="O26" i="1"/>
  <c r="N26" i="1"/>
  <c r="M26" i="1"/>
  <c r="L26" i="1"/>
  <c r="K26" i="1"/>
  <c r="J26" i="1"/>
  <c r="I26" i="1"/>
  <c r="H26" i="1"/>
  <c r="G26" i="1"/>
  <c r="P11" i="1"/>
  <c r="O11" i="1"/>
  <c r="N11" i="1"/>
  <c r="M11" i="1"/>
  <c r="L11" i="1"/>
  <c r="K11" i="1"/>
  <c r="J11" i="1"/>
  <c r="I11" i="1"/>
  <c r="H11" i="1"/>
  <c r="G11" i="1"/>
</calcChain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<sst xmlns="http://schemas.openxmlformats.org/spreadsheetml/2006/main" count="139" uniqueCount="73">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</sst>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168" fontId="3" fillId="2" borderId="5" xfId="0" applyNumberFormat="1" applyFont="1" applyFill="1" applyBorder="1" applyAlignment="1">
      <alignment horizontal="center" vertical="center"/>
    </xf>
    <xf numFmtId="168" fontId="3" fillId="2" borderId="8" xfId="0" applyNumberFormat="1" applyFont="1" applyFill="1" applyBorder="1" applyAlignment="1">
      <alignment horizontal="center" vertical="center"/>
    </xf>
    <xf numFmtId="168" fontId="3" fillId="2" borderId="9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zoomScale="85" zoomScaleNormal="85" workbookViewId="0">
      <selection activeCell="G12" sqref="G12"/>
    </sheetView>
  </sheetViews>
  <sheetFormatPr defaultColWidth="9.26953125" defaultRowHeight="14.5"/>
  <cols>
    <col min="1" max="1" width="16.1796875" customWidth="1"/>
    <col min="2" max="2" width="14.54296875" customWidth="1"/>
    <col min="3" max="3" width="11.36328125" customWidth="1"/>
    <col min="4" max="4" width="21" customWidth="1"/>
    <col min="5" max="5" width="20.6328125" customWidth="1"/>
  </cols>
  <sheetData>
    <row r="1" spans="1:16">
      <c r="A1" s="30" t="s">
        <v>0</v>
      </c>
      <c r="B1" s="31"/>
      <c r="C1" s="31"/>
      <c r="D1" s="31"/>
      <c r="E1" s="32"/>
      <c r="F1" s="33" t="s">
        <v>1</v>
      </c>
      <c r="G1" s="34"/>
      <c r="H1" s="34"/>
      <c r="I1" s="34"/>
      <c r="J1" s="35"/>
      <c r="K1" s="36" t="s">
        <v>2</v>
      </c>
      <c r="L1" s="37"/>
      <c r="M1" s="37"/>
      <c r="N1" s="37"/>
      <c r="O1" s="38"/>
      <c r="P1" s="39" t="s">
        <v>3</v>
      </c>
    </row>
    <row r="2" spans="1:16">
      <c r="A2" s="40" t="s">
        <v>4</v>
      </c>
      <c r="B2" s="41" t="s">
        <v>5</v>
      </c>
      <c r="C2" s="41" t="s">
        <v>6</v>
      </c>
      <c r="D2" s="41" t="s">
        <v>2</v>
      </c>
      <c r="E2" s="42" t="s">
        <v>7</v>
      </c>
      <c r="F2" s="40" t="s">
        <v>8</v>
      </c>
      <c r="G2" s="41" t="s">
        <v>9</v>
      </c>
      <c r="H2" s="41" t="s">
        <v>10</v>
      </c>
      <c r="I2" s="41" t="s">
        <v>11</v>
      </c>
      <c r="J2" s="42" t="s">
        <v>12</v>
      </c>
      <c r="K2" s="40" t="s">
        <v>13</v>
      </c>
      <c r="L2" s="41" t="s">
        <v>14</v>
      </c>
      <c r="M2" s="41" t="s">
        <v>15</v>
      </c>
      <c r="N2" s="41" t="s">
        <v>16</v>
      </c>
      <c r="O2" s="43" t="s">
        <v>17</v>
      </c>
      <c r="P2" s="44" t="s">
        <v>15</v>
      </c>
    </row>
    <row r="3" spans="1:16">
      <c r="A3" s="27">
        <v>42768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75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27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90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27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9">
        <v>400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27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10</v>
      </c>
      <c r="H6" s="9">
        <v>4</v>
      </c>
      <c r="I6" s="9">
        <v>2</v>
      </c>
      <c r="J6" s="16">
        <v>16</v>
      </c>
      <c r="K6" s="17"/>
      <c r="L6" s="18"/>
      <c r="M6" s="18">
        <v>400</v>
      </c>
      <c r="N6" s="18">
        <v>111</v>
      </c>
      <c r="O6" s="24"/>
      <c r="P6" s="23"/>
    </row>
    <row r="7" spans="1:16">
      <c r="A7" s="27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9">
        <v>60</v>
      </c>
      <c r="H7" s="9">
        <v>500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27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20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27"/>
      <c r="B9" s="2" t="s">
        <v>33</v>
      </c>
      <c r="C9" s="2" t="s">
        <v>2</v>
      </c>
      <c r="D9" s="2" t="s">
        <v>40</v>
      </c>
      <c r="E9" s="7" t="s">
        <v>41</v>
      </c>
      <c r="F9" s="8"/>
      <c r="G9" s="9"/>
      <c r="H9" s="9"/>
      <c r="I9" s="9"/>
      <c r="J9" s="16"/>
      <c r="K9" s="17"/>
      <c r="L9" s="18"/>
      <c r="M9" s="18">
        <v>45</v>
      </c>
      <c r="N9" s="18">
        <v>10</v>
      </c>
      <c r="O9" s="24">
        <v>3</v>
      </c>
      <c r="P9" s="23"/>
    </row>
    <row r="10" spans="1:16">
      <c r="A10" s="27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28"/>
      <c r="B11" s="2"/>
      <c r="C11" s="2" t="s">
        <v>43</v>
      </c>
      <c r="D11" s="2"/>
      <c r="E11" s="7"/>
      <c r="F11" s="8"/>
      <c r="G11" s="9">
        <f t="shared" ref="G11:P11" si="0">SUM(G3:G10)</f>
        <v>655</v>
      </c>
      <c r="H11" s="9">
        <f t="shared" si="0"/>
        <v>515</v>
      </c>
      <c r="I11" s="9">
        <f t="shared" si="0"/>
        <v>79</v>
      </c>
      <c r="J11" s="9">
        <f t="shared" si="0"/>
        <v>30</v>
      </c>
      <c r="K11" s="9">
        <f t="shared" si="0"/>
        <v>0</v>
      </c>
      <c r="L11" s="9">
        <f t="shared" si="0"/>
        <v>0</v>
      </c>
      <c r="M11" s="9">
        <f t="shared" si="0"/>
        <v>445</v>
      </c>
      <c r="N11" s="9">
        <f t="shared" si="0"/>
        <v>121</v>
      </c>
      <c r="O11" s="9">
        <f t="shared" si="0"/>
        <v>3</v>
      </c>
      <c r="P11" s="9">
        <f t="shared" si="0"/>
        <v>220</v>
      </c>
    </row>
    <row r="12" spans="1:16">
      <c r="A12" s="29">
        <v>42769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300</v>
      </c>
      <c r="M12" s="18"/>
      <c r="N12" s="18"/>
      <c r="O12" s="24"/>
      <c r="P12" s="23"/>
    </row>
    <row r="13" spans="1:16">
      <c r="A13" s="27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27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5000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27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27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100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27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4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27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27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27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27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27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>
        <v>200</v>
      </c>
      <c r="O22" s="24"/>
      <c r="P22" s="23"/>
    </row>
    <row r="23" spans="1:16">
      <c r="A23" s="27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27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27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28"/>
      <c r="B26" s="2"/>
      <c r="C26" s="2" t="s">
        <v>43</v>
      </c>
      <c r="D26" s="2"/>
      <c r="E26" s="7"/>
      <c r="F26" s="8"/>
      <c r="G26" s="9">
        <f t="shared" ref="G26:P26" si="1">SUM(G12:G25)</f>
        <v>5710</v>
      </c>
      <c r="H26" s="9">
        <f t="shared" si="1"/>
        <v>19</v>
      </c>
      <c r="I26" s="9">
        <f t="shared" si="1"/>
        <v>166</v>
      </c>
      <c r="J26" s="9">
        <f t="shared" si="1"/>
        <v>62</v>
      </c>
      <c r="K26" s="9">
        <f t="shared" si="1"/>
        <v>60</v>
      </c>
      <c r="L26" s="9">
        <f t="shared" si="1"/>
        <v>301</v>
      </c>
      <c r="M26" s="9">
        <f t="shared" si="1"/>
        <v>0</v>
      </c>
      <c r="N26" s="9">
        <f t="shared" si="1"/>
        <v>210</v>
      </c>
      <c r="O26" s="9">
        <f t="shared" si="1"/>
        <v>3</v>
      </c>
      <c r="P26" s="9">
        <f t="shared" si="1"/>
        <v>219</v>
      </c>
    </row>
    <row r="27" spans="1:16">
      <c r="A27" s="29">
        <v>42770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27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40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27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27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10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27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28"/>
      <c r="B32" s="2"/>
      <c r="C32" s="2" t="s">
        <v>43</v>
      </c>
      <c r="D32" s="2"/>
      <c r="E32" s="7"/>
      <c r="F32" s="8"/>
      <c r="G32" s="9">
        <f t="shared" ref="G32:P32" si="2">SUM(G27:G31)</f>
        <v>70</v>
      </c>
      <c r="H32" s="9">
        <f t="shared" si="2"/>
        <v>270</v>
      </c>
      <c r="I32" s="9">
        <f t="shared" si="2"/>
        <v>700</v>
      </c>
      <c r="J32" s="9">
        <f t="shared" si="2"/>
        <v>73</v>
      </c>
      <c r="K32" s="9">
        <f t="shared" si="2"/>
        <v>220</v>
      </c>
      <c r="L32" s="9">
        <f t="shared" si="2"/>
        <v>26.2</v>
      </c>
      <c r="M32" s="9">
        <f t="shared" si="2"/>
        <v>0</v>
      </c>
      <c r="N32" s="9">
        <f t="shared" si="2"/>
        <v>0</v>
      </c>
      <c r="O32" s="9">
        <f t="shared" si="2"/>
        <v>0</v>
      </c>
      <c r="P32" s="9">
        <f t="shared" si="2"/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5AF80F7-F900-4CD1-BE5F-82244BA5D561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E71D1060-5CB4-41CC-BB7B-A29E6ED7FDB0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2024-12-13T17:37:40Z</dcterms:created>
  <dcterms:modified xsi:type="dcterms:W3CDTF">2026-01-27T02:30:54Z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2722420E5AF2511564005C6721C4ACC4_41</vt:lpwstr>
  </property>
  <property fmtid="{D5CDD505-2E9C-101B-9397-08002B2CF9AE}" pid="3" name="KSOProductBuildVer">
    <vt:lpwstr>2052-6.8.2.8850</vt:lpwstr>
  </property>
</Properties>
</file>