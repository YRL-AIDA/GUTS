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veal cut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F6" i="1"/>
  <c r="E6" i="1"/>
  <c r="D6" i="1"/>
  <c r="G5" i="1"/>
  <c r="E5" i="1"/>
  <c r="G4" i="1"/>
  <c r="E4" i="1"/>
</calcChain>
</file>

<file path=xl/sharedStrings.xml><?xml version="1.0" encoding="utf-8"?>
<sst xmlns="http://schemas.openxmlformats.org/spreadsheetml/2006/main" count="65" uniqueCount="42">
  <si>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</si>
  <si>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</si>
  <si>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</si>
  <si>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Raw</t>
  </si>
  <si>
    <t>Cooked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</si>
  <si>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[2]</t>
    </r>
  </si>
  <si>
    <t>(Grilled)</t>
  </si>
  <si>
    <t>100g</t>
  </si>
  <si>
    <t>114g</t>
  </si>
  <si>
    <t>85g</t>
  </si>
  <si>
    <t>Water</t>
  </si>
  <si>
    <t>g</t>
  </si>
  <si>
    <t>Energy</t>
  </si>
  <si>
    <t>Kcal</t>
  </si>
  <si>
    <t>Calories from fat</t>
  </si>
  <si>
    <t>Protein</t>
  </si>
  <si>
    <t>Total lipid (fat)</t>
  </si>
  <si>
    <t>Ash</t>
  </si>
  <si>
    <t>Carbohydrate, by difference</t>
  </si>
  <si>
    <t>Fiber, total dietary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</si>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</sst>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9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b/>
      <sz val="10"/>
      <name val="Arial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1" fontId="0" fillId="0" borderId="2" xfId="0" applyNumberFormat="1" applyFont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left" vertical="center" wrapText="1"/>
    </xf>
    <xf numFmtId="2" fontId="0" fillId="0" borderId="2" xfId="0" applyNumberFormat="1" applyFont="1" applyBorder="1" applyAlignment="1">
      <alignment horizontal="center" vertical="center" wrapText="1"/>
    </xf>
    <xf numFmtId="2" fontId="0" fillId="0" borderId="2" xfId="0" applyNumberFormat="1" applyFont="1" applyFill="1" applyBorder="1" applyAlignment="1">
      <alignment horizontal="center" vertical="center" wrapText="1"/>
    </xf>
    <xf numFmtId="1" fontId="0" fillId="0" borderId="2" xfId="0" applyNumberFormat="1" applyFont="1" applyFill="1" applyBorder="1" applyAlignment="1">
      <alignment horizontal="center" vertical="center" wrapText="1"/>
    </xf>
    <xf numFmtId="168" fontId="0" fillId="0" borderId="2" xfId="0" applyNumberFormat="1" applyFont="1" applyBorder="1" applyAlignment="1">
      <alignment horizontal="center" vertical="center" wrapText="1"/>
    </xf>
    <xf numFmtId="168" fontId="0" fillId="0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vertical="center" shrinkToFi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D15" sqref="D15"/>
    </sheetView>
  </sheetViews>
  <sheetFormatPr defaultColWidth="9" defaultRowHeight="12.5"/>
  <cols>
    <col min="1" max="1" width="27.81640625" customWidth="1"/>
    <col min="2" max="2" width="7.7265625" customWidth="1"/>
    <col min="3" max="8" width="8.7265625" customWidth="1"/>
  </cols>
  <sheetData>
    <row r="1" spans="1:8" ht="32.25" customHeight="1">
      <c r="A1" s="13" t="s">
        <v>0</v>
      </c>
      <c r="B1" s="13" t="s">
        <v>1</v>
      </c>
      <c r="C1" s="13" t="s">
        <v>2</v>
      </c>
      <c r="D1" s="14" t="s">
        <v>3</v>
      </c>
      <c r="E1" s="14"/>
      <c r="F1" s="14" t="s">
        <v>4</v>
      </c>
      <c r="G1" s="14"/>
      <c r="H1" s="15" t="s">
        <v>5</v>
      </c>
    </row>
    <row r="2" spans="1:8" ht="16.5" customHeight="1">
      <c r="A2" s="16"/>
      <c r="B2" s="16"/>
      <c r="C2" s="16"/>
      <c r="D2" s="17"/>
      <c r="E2" s="17"/>
      <c r="F2" s="17" t="s">
        <v>6</v>
      </c>
      <c r="G2" s="17"/>
      <c r="H2" s="18"/>
    </row>
    <row r="3" spans="1:8" ht="15.5">
      <c r="A3" s="16"/>
      <c r="B3" s="16"/>
      <c r="C3" s="16"/>
      <c r="D3" s="19" t="s">
        <v>7</v>
      </c>
      <c r="E3" s="19" t="s">
        <v>8</v>
      </c>
      <c r="F3" s="19" t="s">
        <v>7</v>
      </c>
      <c r="G3" s="19" t="s">
        <v>9</v>
      </c>
      <c r="H3" s="18"/>
    </row>
    <row r="4" spans="1:8">
      <c r="A4" s="1" t="s">
        <v>10</v>
      </c>
      <c r="B4" s="2" t="s">
        <v>11</v>
      </c>
      <c r="C4" s="3">
        <v>6</v>
      </c>
      <c r="D4" s="4">
        <v>75.2</v>
      </c>
      <c r="E4" s="4">
        <f t="shared" ref="E4:E30" si="0">D4*114/100</f>
        <v>85.727999999999994</v>
      </c>
      <c r="F4" s="5">
        <v>65.319999999999993</v>
      </c>
      <c r="G4" s="4">
        <f t="shared" ref="G4:G30" si="1">F4*85/100</f>
        <v>55.521999999999998</v>
      </c>
      <c r="H4" s="3">
        <v>1</v>
      </c>
    </row>
    <row r="5" spans="1:8">
      <c r="A5" s="6" t="s">
        <v>12</v>
      </c>
      <c r="B5" s="2" t="s">
        <v>13</v>
      </c>
      <c r="C5" s="3">
        <v>0</v>
      </c>
      <c r="D5" s="4">
        <v>107</v>
      </c>
      <c r="E5" s="4">
        <f t="shared" si="0"/>
        <v>121.98</v>
      </c>
      <c r="F5" s="5">
        <v>151</v>
      </c>
      <c r="G5" s="4">
        <f t="shared" si="1"/>
        <v>128.35</v>
      </c>
      <c r="H5" s="3">
        <v>4</v>
      </c>
    </row>
    <row r="6" spans="1:8">
      <c r="A6" s="6" t="s">
        <v>14</v>
      </c>
      <c r="B6" s="2" t="s">
        <v>13</v>
      </c>
      <c r="C6" s="3">
        <v>0</v>
      </c>
      <c r="D6" s="4">
        <f>D8*9</f>
        <v>18.63</v>
      </c>
      <c r="E6" s="4">
        <f t="shared" si="0"/>
        <v>21.238199999999999</v>
      </c>
      <c r="F6" s="4">
        <f>F8*9</f>
        <v>23.67</v>
      </c>
      <c r="G6" s="4">
        <f t="shared" si="1"/>
        <v>20.119499999999999</v>
      </c>
      <c r="H6" s="3">
        <v>4</v>
      </c>
    </row>
    <row r="7" spans="1:8">
      <c r="A7" s="6" t="s">
        <v>15</v>
      </c>
      <c r="B7" s="2" t="s">
        <v>11</v>
      </c>
      <c r="C7" s="3">
        <v>6</v>
      </c>
      <c r="D7" s="4">
        <v>22.07</v>
      </c>
      <c r="E7" s="4">
        <f t="shared" si="0"/>
        <v>25.159800000000001</v>
      </c>
      <c r="F7" s="5">
        <v>31.89</v>
      </c>
      <c r="G7" s="4">
        <f t="shared" si="1"/>
        <v>27.1065</v>
      </c>
      <c r="H7" s="3">
        <v>1</v>
      </c>
    </row>
    <row r="8" spans="1:8">
      <c r="A8" s="6" t="s">
        <v>16</v>
      </c>
      <c r="B8" s="2" t="s">
        <v>11</v>
      </c>
      <c r="C8" s="3">
        <v>6</v>
      </c>
      <c r="D8" s="4">
        <v>2.0699999999999998</v>
      </c>
      <c r="E8" s="4">
        <f t="shared" si="0"/>
        <v>2.3597999999999999</v>
      </c>
      <c r="F8" s="5">
        <v>2.63</v>
      </c>
      <c r="G8" s="4">
        <f t="shared" si="1"/>
        <v>2.2355</v>
      </c>
      <c r="H8" s="3">
        <v>1</v>
      </c>
    </row>
    <row r="9" spans="1:8">
      <c r="A9" s="6" t="s">
        <v>17</v>
      </c>
      <c r="B9" s="2" t="s">
        <v>11</v>
      </c>
      <c r="C9" s="3">
        <v>6</v>
      </c>
      <c r="D9" s="7">
        <v>1.0900000000000001</v>
      </c>
      <c r="E9" s="8">
        <f t="shared" si="0"/>
        <v>1.2425999999999999</v>
      </c>
      <c r="F9" s="8">
        <v>1.45</v>
      </c>
      <c r="G9" s="8">
        <f t="shared" si="1"/>
        <v>1.2324999999999999</v>
      </c>
      <c r="H9" s="3">
        <v>1</v>
      </c>
    </row>
    <row r="10" spans="1:8">
      <c r="A10" s="6" t="s">
        <v>18</v>
      </c>
      <c r="B10" s="2" t="s">
        <v>11</v>
      </c>
      <c r="C10" s="3">
        <v>0</v>
      </c>
      <c r="D10" s="4">
        <v>0</v>
      </c>
      <c r="E10" s="4">
        <f t="shared" si="0"/>
        <v>0</v>
      </c>
      <c r="F10" s="5">
        <v>0</v>
      </c>
      <c r="G10" s="4">
        <f t="shared" si="1"/>
        <v>0</v>
      </c>
      <c r="H10" s="3">
        <v>4</v>
      </c>
    </row>
    <row r="11" spans="1:8">
      <c r="A11" s="6" t="s">
        <v>19</v>
      </c>
      <c r="B11" s="2" t="s">
        <v>11</v>
      </c>
      <c r="C11" s="3">
        <v>0</v>
      </c>
      <c r="D11" s="4">
        <v>0</v>
      </c>
      <c r="E11" s="4">
        <f t="shared" si="0"/>
        <v>0</v>
      </c>
      <c r="F11" s="5">
        <v>0</v>
      </c>
      <c r="G11" s="4">
        <f t="shared" si="1"/>
        <v>0</v>
      </c>
      <c r="H11" s="3">
        <v>7</v>
      </c>
    </row>
    <row r="12" spans="1:8">
      <c r="A12" s="6" t="s">
        <v>20</v>
      </c>
      <c r="B12" s="2" t="s">
        <v>11</v>
      </c>
      <c r="C12" s="3">
        <v>0</v>
      </c>
      <c r="D12" s="4">
        <v>0</v>
      </c>
      <c r="E12" s="9">
        <f t="shared" si="0"/>
        <v>0</v>
      </c>
      <c r="F12" s="9">
        <v>0</v>
      </c>
      <c r="G12" s="9">
        <f t="shared" si="1"/>
        <v>0</v>
      </c>
      <c r="H12" s="3">
        <v>7</v>
      </c>
    </row>
    <row r="13" spans="1:8">
      <c r="A13" s="6" t="s">
        <v>21</v>
      </c>
      <c r="B13" s="2" t="s">
        <v>22</v>
      </c>
      <c r="C13" s="3">
        <v>6</v>
      </c>
      <c r="D13" s="10">
        <v>4</v>
      </c>
      <c r="E13" s="11">
        <f t="shared" si="0"/>
        <v>4.5599999999999996</v>
      </c>
      <c r="F13" s="11">
        <v>6</v>
      </c>
      <c r="G13" s="11">
        <f t="shared" si="1"/>
        <v>5.0999999999999996</v>
      </c>
      <c r="H13" s="3">
        <v>1</v>
      </c>
    </row>
    <row r="14" spans="1:8">
      <c r="A14" s="6" t="s">
        <v>23</v>
      </c>
      <c r="B14" s="2" t="s">
        <v>22</v>
      </c>
      <c r="C14" s="3">
        <v>6</v>
      </c>
      <c r="D14" s="10">
        <v>0.81</v>
      </c>
      <c r="E14" s="11">
        <f t="shared" si="0"/>
        <v>0.9234</v>
      </c>
      <c r="F14" s="11">
        <v>1.39</v>
      </c>
      <c r="G14" s="11">
        <f t="shared" si="1"/>
        <v>1.1815</v>
      </c>
      <c r="H14" s="3">
        <v>1</v>
      </c>
    </row>
    <row r="15" spans="1:8">
      <c r="A15" s="6" t="s">
        <v>24</v>
      </c>
      <c r="B15" s="2" t="s">
        <v>22</v>
      </c>
      <c r="C15" s="3">
        <v>6</v>
      </c>
      <c r="D15" s="4">
        <v>86</v>
      </c>
      <c r="E15" s="9">
        <f t="shared" si="0"/>
        <v>98.04</v>
      </c>
      <c r="F15" s="9">
        <v>88</v>
      </c>
      <c r="G15" s="9">
        <f t="shared" si="1"/>
        <v>74.8</v>
      </c>
      <c r="H15" s="3">
        <v>1</v>
      </c>
    </row>
    <row r="16" spans="1:8">
      <c r="A16" s="12" t="s">
        <v>25</v>
      </c>
      <c r="B16" s="2" t="s">
        <v>22</v>
      </c>
      <c r="C16" s="3">
        <v>0</v>
      </c>
      <c r="D16" s="4">
        <v>0</v>
      </c>
      <c r="E16" s="9">
        <f t="shared" si="0"/>
        <v>0</v>
      </c>
      <c r="F16" s="9">
        <v>0</v>
      </c>
      <c r="G16" s="9">
        <f t="shared" si="1"/>
        <v>0</v>
      </c>
      <c r="H16" s="3">
        <v>7</v>
      </c>
    </row>
    <row r="17" spans="1:8">
      <c r="A17" s="6" t="s">
        <v>26</v>
      </c>
      <c r="B17" s="2" t="s">
        <v>27</v>
      </c>
      <c r="C17" s="3">
        <v>0</v>
      </c>
      <c r="D17" s="4">
        <v>0</v>
      </c>
      <c r="E17" s="9">
        <f t="shared" si="0"/>
        <v>0</v>
      </c>
      <c r="F17" s="9">
        <v>0</v>
      </c>
      <c r="G17" s="9">
        <f t="shared" si="1"/>
        <v>0</v>
      </c>
      <c r="H17" s="3">
        <v>1</v>
      </c>
    </row>
    <row r="18" spans="1:8">
      <c r="A18" s="6" t="s">
        <v>28</v>
      </c>
      <c r="B18" s="2" t="s">
        <v>11</v>
      </c>
      <c r="C18" s="3">
        <v>0</v>
      </c>
      <c r="D18" s="10">
        <v>0.80500000000000005</v>
      </c>
      <c r="E18" s="11">
        <f t="shared" si="0"/>
        <v>0.91769999999999996</v>
      </c>
      <c r="F18" s="11">
        <v>1.012</v>
      </c>
      <c r="G18" s="11">
        <f t="shared" si="1"/>
        <v>0.86019999999999996</v>
      </c>
      <c r="H18" s="3">
        <v>4</v>
      </c>
    </row>
    <row r="19" spans="1:8">
      <c r="A19" s="6" t="s">
        <v>29</v>
      </c>
      <c r="B19" s="2" t="s">
        <v>22</v>
      </c>
      <c r="C19" s="3">
        <v>6</v>
      </c>
      <c r="D19" s="4">
        <v>56</v>
      </c>
      <c r="E19" s="9">
        <f t="shared" si="0"/>
        <v>63.84</v>
      </c>
      <c r="F19" s="9">
        <v>72</v>
      </c>
      <c r="G19" s="9">
        <f t="shared" si="1"/>
        <v>61.2</v>
      </c>
      <c r="H19" s="3">
        <v>1</v>
      </c>
    </row>
    <row r="20" spans="1:8">
      <c r="A20" s="1" t="s">
        <v>30</v>
      </c>
      <c r="B20" s="2" t="s">
        <v>22</v>
      </c>
      <c r="C20" s="3">
        <v>6</v>
      </c>
      <c r="D20" s="4">
        <v>30</v>
      </c>
      <c r="E20" s="9">
        <f t="shared" si="0"/>
        <v>34.200000000000003</v>
      </c>
      <c r="F20" s="9">
        <v>38</v>
      </c>
      <c r="G20" s="9">
        <f t="shared" si="1"/>
        <v>32.299999999999997</v>
      </c>
      <c r="H20" s="3">
        <v>1</v>
      </c>
    </row>
    <row r="21" spans="1:8">
      <c r="A21" s="1" t="s">
        <v>31</v>
      </c>
      <c r="B21" s="2" t="s">
        <v>22</v>
      </c>
      <c r="C21" s="3">
        <v>6</v>
      </c>
      <c r="D21" s="4">
        <v>212</v>
      </c>
      <c r="E21" s="9">
        <f t="shared" si="0"/>
        <v>241.68</v>
      </c>
      <c r="F21" s="9">
        <v>277</v>
      </c>
      <c r="G21" s="9">
        <f t="shared" si="1"/>
        <v>235.45</v>
      </c>
      <c r="H21" s="3">
        <v>1</v>
      </c>
    </row>
    <row r="22" spans="1:8">
      <c r="A22" s="1" t="s">
        <v>32</v>
      </c>
      <c r="B22" s="2" t="s">
        <v>22</v>
      </c>
      <c r="C22" s="3">
        <v>6</v>
      </c>
      <c r="D22" s="4">
        <v>273</v>
      </c>
      <c r="E22" s="9">
        <f t="shared" si="0"/>
        <v>311.22000000000003</v>
      </c>
      <c r="F22" s="9">
        <v>323</v>
      </c>
      <c r="G22" s="9">
        <f t="shared" si="1"/>
        <v>274.55</v>
      </c>
      <c r="H22" s="3">
        <v>1</v>
      </c>
    </row>
    <row r="23" spans="1:8">
      <c r="A23" s="1" t="s">
        <v>33</v>
      </c>
      <c r="B23" s="2" t="s">
        <v>22</v>
      </c>
      <c r="C23" s="3">
        <v>6</v>
      </c>
      <c r="D23" s="10">
        <v>1.97</v>
      </c>
      <c r="E23" s="11">
        <f t="shared" si="0"/>
        <v>2.2458</v>
      </c>
      <c r="F23" s="11">
        <v>3.29</v>
      </c>
      <c r="G23" s="11">
        <f t="shared" si="1"/>
        <v>2.7965</v>
      </c>
      <c r="H23" s="3">
        <v>1</v>
      </c>
    </row>
    <row r="24" spans="1:8">
      <c r="A24" s="1" t="s">
        <v>34</v>
      </c>
      <c r="B24" s="2" t="s">
        <v>35</v>
      </c>
      <c r="C24" s="3">
        <v>1</v>
      </c>
      <c r="D24" s="4">
        <v>16</v>
      </c>
      <c r="E24" s="9">
        <f t="shared" si="0"/>
        <v>18.239999999999998</v>
      </c>
      <c r="F24" s="9">
        <v>21.6</v>
      </c>
      <c r="G24" s="9">
        <f t="shared" si="1"/>
        <v>18.36</v>
      </c>
      <c r="H24" s="3">
        <v>1</v>
      </c>
    </row>
    <row r="25" spans="1:8">
      <c r="A25" s="1" t="s">
        <v>36</v>
      </c>
      <c r="B25" s="2" t="s">
        <v>22</v>
      </c>
      <c r="C25" s="3">
        <v>1</v>
      </c>
      <c r="D25" s="7">
        <v>0.1</v>
      </c>
      <c r="E25" s="8">
        <f t="shared" si="0"/>
        <v>0.114</v>
      </c>
      <c r="F25" s="8">
        <v>9.2999999999999999E-2</v>
      </c>
      <c r="G25" s="8">
        <f t="shared" si="1"/>
        <v>7.9049999999999995E-2</v>
      </c>
      <c r="H25" s="3">
        <v>1</v>
      </c>
    </row>
    <row r="26" spans="1:8">
      <c r="A26" s="1" t="s">
        <v>37</v>
      </c>
      <c r="B26" s="2" t="s">
        <v>22</v>
      </c>
      <c r="C26" s="3">
        <v>1</v>
      </c>
      <c r="D26" s="7">
        <v>0.34</v>
      </c>
      <c r="E26" s="8">
        <f t="shared" si="0"/>
        <v>0.3876</v>
      </c>
      <c r="F26" s="8">
        <v>0.47</v>
      </c>
      <c r="G26" s="8">
        <f t="shared" si="1"/>
        <v>0.39950000000000002</v>
      </c>
      <c r="H26" s="3">
        <v>1</v>
      </c>
    </row>
    <row r="27" spans="1:8">
      <c r="A27" s="1" t="s">
        <v>38</v>
      </c>
      <c r="B27" s="2" t="s">
        <v>22</v>
      </c>
      <c r="C27" s="3">
        <v>1</v>
      </c>
      <c r="D27" s="10">
        <v>9.2799999999999994</v>
      </c>
      <c r="E27" s="11">
        <f t="shared" si="0"/>
        <v>10.5792</v>
      </c>
      <c r="F27" s="11">
        <v>10.1</v>
      </c>
      <c r="G27" s="11">
        <f t="shared" si="1"/>
        <v>8.5850000000000009</v>
      </c>
      <c r="H27" s="3">
        <v>1</v>
      </c>
    </row>
    <row r="28" spans="1:8">
      <c r="A28" s="1" t="s">
        <v>39</v>
      </c>
      <c r="B28" s="2" t="s">
        <v>22</v>
      </c>
      <c r="C28" s="3">
        <v>1</v>
      </c>
      <c r="D28" s="7">
        <v>0.57999999999999996</v>
      </c>
      <c r="E28" s="8">
        <f t="shared" si="0"/>
        <v>0.66120000000000001</v>
      </c>
      <c r="F28" s="8">
        <v>0.65</v>
      </c>
      <c r="G28" s="8">
        <f t="shared" si="1"/>
        <v>0.55249999999999999</v>
      </c>
      <c r="H28" s="3">
        <v>1</v>
      </c>
    </row>
    <row r="29" spans="1:8" ht="15.5">
      <c r="A29" s="1" t="s">
        <v>40</v>
      </c>
      <c r="B29" s="2" t="s">
        <v>22</v>
      </c>
      <c r="C29" s="3">
        <v>1</v>
      </c>
      <c r="D29" s="7">
        <v>0.59899999999999998</v>
      </c>
      <c r="E29" s="8">
        <f t="shared" si="0"/>
        <v>0.68286000000000002</v>
      </c>
      <c r="F29" s="8">
        <v>0.76100000000000001</v>
      </c>
      <c r="G29" s="8">
        <f t="shared" si="1"/>
        <v>0.64685000000000004</v>
      </c>
      <c r="H29" s="3">
        <v>1</v>
      </c>
    </row>
    <row r="30" spans="1:8" ht="15.5">
      <c r="A30" s="1" t="s">
        <v>41</v>
      </c>
      <c r="B30" s="2" t="s">
        <v>35</v>
      </c>
      <c r="C30" s="3">
        <v>1</v>
      </c>
      <c r="D30" s="10">
        <v>2.08</v>
      </c>
      <c r="E30" s="11">
        <f t="shared" si="0"/>
        <v>2.3712</v>
      </c>
      <c r="F30" s="11">
        <v>2.72</v>
      </c>
      <c r="G30" s="11">
        <f t="shared" si="1"/>
        <v>2.3119999999999998</v>
      </c>
      <c r="H30" s="3">
        <v>1</v>
      </c>
    </row>
  </sheetData>
  <mergeCells count="7">
    <mergeCell ref="H1:H3"/>
    <mergeCell ref="D1:E2"/>
    <mergeCell ref="F1:G1"/>
    <mergeCell ref="F2:G2"/>
    <mergeCell ref="A1:A3"/>
    <mergeCell ref="B1:B3"/>
    <mergeCell ref="C1:C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veal cutlet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2024-11-24T14:49:00Z</dcterms:created>
  <dcterms:modified xsi:type="dcterms:W3CDTF">2026-01-26T07:00:10Z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9D9D6841952F06B88FCC4267A19C2D6B_41</vt:lpwstr>
  </property>
  <property fmtid="{D5CDD505-2E9C-101B-9397-08002B2CF9AE}" pid="3" name="KSOProductBuildVer">
    <vt:lpwstr>2052-12.1.0.19302</vt:lpwstr>
  </property>
</Properties>
</file>