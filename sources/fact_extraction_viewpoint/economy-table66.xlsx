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 l="1"/>
  <c r="H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G2" i="1"/>
  <c r="F2" i="1"/>
  <c r="E2" i="1"/>
</calcChain>
</file>

<file path=xl/sharedStrings.xml><?xml version="1.0" encoding="utf-8"?>
<sst xmlns="http://schemas.openxmlformats.org/spreadsheetml/2006/main" count="186" uniqueCount="141">
  <si>
    <t>NOW Magazine</t>
  </si>
  <si>
    <t>Col</t>
  </si>
  <si>
    <t>Height</t>
  </si>
  <si>
    <t>2/5 Page</t>
  </si>
  <si>
    <t>Cost:</t>
  </si>
  <si>
    <t>Job #</t>
  </si>
  <si>
    <t>Artist</t>
  </si>
  <si>
    <t>Venue</t>
  </si>
  <si>
    <t>Date</t>
  </si>
  <si>
    <t>Share</t>
  </si>
  <si>
    <t>Cost</t>
  </si>
  <si>
    <t>col</t>
  </si>
  <si>
    <t>mm</t>
  </si>
  <si>
    <t>EM2058</t>
  </si>
  <si>
    <t>Corona Sunsets</t>
  </si>
  <si>
    <t>Centre Island</t>
  </si>
  <si>
    <t>WI2253</t>
  </si>
  <si>
    <t>Fool's Gold Day Off</t>
  </si>
  <si>
    <t>Sherbourne Common</t>
  </si>
  <si>
    <t>LA2035</t>
  </si>
  <si>
    <t>Ditybird BBQ</t>
  </si>
  <si>
    <t>WI2256</t>
  </si>
  <si>
    <t>Flying Lotus</t>
  </si>
  <si>
    <t>The Danforth</t>
  </si>
  <si>
    <t>WI2242</t>
  </si>
  <si>
    <t>Wave Racer</t>
  </si>
  <si>
    <t>Studio Bar</t>
  </si>
  <si>
    <t>MD2006</t>
  </si>
  <si>
    <t>Mad Decent Block Party</t>
  </si>
  <si>
    <t>Fort York</t>
  </si>
  <si>
    <t>WI2250</t>
  </si>
  <si>
    <t>Mr. Scruff</t>
  </si>
  <si>
    <t>Wrongbar</t>
  </si>
  <si>
    <t>PR2023</t>
  </si>
  <si>
    <t>Swear &amp; Shake</t>
  </si>
  <si>
    <t>The Drake</t>
  </si>
  <si>
    <t>AM2214</t>
  </si>
  <si>
    <t>Waterfront Beach Festival</t>
  </si>
  <si>
    <t>HTO Park</t>
  </si>
  <si>
    <t>CA2041</t>
  </si>
  <si>
    <t>The Chainsmokers</t>
  </si>
  <si>
    <t>The Hoxton</t>
  </si>
  <si>
    <t>PR2024</t>
  </si>
  <si>
    <t>moe.</t>
  </si>
  <si>
    <t>The Mod Club</t>
  </si>
  <si>
    <t>AP2023</t>
  </si>
  <si>
    <t>GBH</t>
  </si>
  <si>
    <t>Hard Luck Bar</t>
  </si>
  <si>
    <t>HR2008</t>
  </si>
  <si>
    <t>Woman's Hour</t>
  </si>
  <si>
    <t>AM2215</t>
  </si>
  <si>
    <t>Tokimonsta</t>
  </si>
  <si>
    <t>WM2067</t>
  </si>
  <si>
    <t>The Orwells</t>
  </si>
  <si>
    <t>AG2064</t>
  </si>
  <si>
    <t>Boy &amp; Bear</t>
  </si>
  <si>
    <t>Queen Elizabeth Theatre</t>
  </si>
  <si>
    <t>WI2243</t>
  </si>
  <si>
    <t>Fat White Family</t>
  </si>
  <si>
    <t>WM2070</t>
  </si>
  <si>
    <t>Lewis Watson</t>
  </si>
  <si>
    <t>PR2025</t>
  </si>
  <si>
    <t>Twin Peaks</t>
  </si>
  <si>
    <t>WI2234</t>
  </si>
  <si>
    <t xml:space="preserve"> </t>
  </si>
  <si>
    <t>SE2011</t>
  </si>
  <si>
    <t>Cam'ron</t>
  </si>
  <si>
    <t>WI2237</t>
  </si>
  <si>
    <t>Chet Faker</t>
  </si>
  <si>
    <t>PR2020</t>
  </si>
  <si>
    <t>Clean Bandit</t>
  </si>
  <si>
    <t>PB2015</t>
  </si>
  <si>
    <t>Ty Segall</t>
  </si>
  <si>
    <t>AG2065</t>
  </si>
  <si>
    <t>Constantines</t>
  </si>
  <si>
    <t>AG2066</t>
  </si>
  <si>
    <t>54-40 &amp; Grapes of Wrath</t>
  </si>
  <si>
    <t>AG2063</t>
  </si>
  <si>
    <t>Airbourne</t>
  </si>
  <si>
    <t>WI2246</t>
  </si>
  <si>
    <t>Trust</t>
  </si>
  <si>
    <t>FM2008</t>
  </si>
  <si>
    <t>Big Wreck</t>
  </si>
  <si>
    <t>FM2010</t>
  </si>
  <si>
    <t>PB2016</t>
  </si>
  <si>
    <t>Mac Demarco</t>
  </si>
  <si>
    <t>AG2055</t>
  </si>
  <si>
    <t>A Tribe Called Red</t>
  </si>
  <si>
    <t>WI2217</t>
  </si>
  <si>
    <t>Peter Hook &amp; The Light</t>
  </si>
  <si>
    <t>WI2249</t>
  </si>
  <si>
    <t>London Grammar</t>
  </si>
  <si>
    <t>AG2068</t>
  </si>
  <si>
    <t>Buck 65</t>
  </si>
  <si>
    <t>AM2194</t>
  </si>
  <si>
    <t>Hudson Mohawke</t>
  </si>
  <si>
    <t>AM2204</t>
  </si>
  <si>
    <t>Mercer</t>
  </si>
  <si>
    <t>AM2205</t>
  </si>
  <si>
    <t>Gesaffelstein</t>
  </si>
  <si>
    <t>WI2232</t>
  </si>
  <si>
    <t>Jagwar Ma</t>
  </si>
  <si>
    <t>AM2216</t>
  </si>
  <si>
    <t>Samo Soundboy</t>
  </si>
  <si>
    <t>8-Aug-14]</t>
  </si>
  <si>
    <t>PR2021</t>
  </si>
  <si>
    <t>Dizzy Wright</t>
  </si>
  <si>
    <t>AM2217</t>
  </si>
  <si>
    <t>Bassjackers</t>
  </si>
  <si>
    <t>WI2238</t>
  </si>
  <si>
    <t>Kill Paris</t>
  </si>
  <si>
    <t>WI2244</t>
  </si>
  <si>
    <t>Mount Kimbie</t>
  </si>
  <si>
    <t>AM2211</t>
  </si>
  <si>
    <t>Tchami</t>
  </si>
  <si>
    <t>WI2245</t>
  </si>
  <si>
    <t>Metronomy</t>
  </si>
  <si>
    <t>AP2022</t>
  </si>
  <si>
    <t>Vinai</t>
  </si>
  <si>
    <t>FM2009</t>
  </si>
  <si>
    <t>Hilltop Hoods</t>
  </si>
  <si>
    <t>WI2240</t>
  </si>
  <si>
    <t>Yacht</t>
  </si>
  <si>
    <t>WI2241</t>
  </si>
  <si>
    <t>MO</t>
  </si>
  <si>
    <t>WI2254</t>
  </si>
  <si>
    <t>Rusko</t>
  </si>
  <si>
    <t>PR2026</t>
  </si>
  <si>
    <t>Charli XCX</t>
  </si>
  <si>
    <t>WI2251</t>
  </si>
  <si>
    <t>RJD2</t>
  </si>
  <si>
    <t>EI2010</t>
  </si>
  <si>
    <t>Electric Island</t>
  </si>
  <si>
    <t>SU2011</t>
  </si>
  <si>
    <t>New Kanada w/ Graze</t>
  </si>
  <si>
    <t>Coda</t>
  </si>
  <si>
    <t>BB2008</t>
  </si>
  <si>
    <t>Steve Lawler</t>
  </si>
  <si>
    <t>WI2236</t>
  </si>
  <si>
    <t>Com Truise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</si>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</sst>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_ &quot;￥&quot;* #,##0.00_ ;_ &quot;￥&quot;* \-#,##0.00_ ;_ &quot;￥&quot;* &quot;-&quot;??_ ;_ @_ "/>
    <numFmt numFmtId="168" formatCode="[$-1009]d\-mmm\-yy;@"/>
    <numFmt numFmtId="169" formatCode="#,##0.0"/>
    <numFmt numFmtId="170" formatCode="0.0%"/>
    <numFmt numFmtId="171" formatCode="_(&quot;$&quot;* #,##0.00_);_(&quot;$&quot;* \(#,##0.00\);_(&quot;$&quot;* &quot;-&quot;??_);_(@_)"/>
  </numFmts>
  <fonts count="18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4"/>
      <color indexed="8"/>
      <name val="Calibri (Body)"/>
      <charset val="134"/>
    </font>
    <font>
      <b/>
      <sz val="14"/>
      <color theme="1"/>
      <name val="Calibri"/>
      <charset val="134"/>
      <scheme val="minor"/>
    </font>
    <font>
      <b/>
      <sz val="14"/>
      <color indexed="8"/>
      <name val="Calibri"/>
      <charset val="134"/>
    </font>
    <font>
      <b/>
      <sz val="14"/>
      <name val="Calibri"/>
      <charset val="134"/>
    </font>
    <font>
      <sz val="14"/>
      <color indexed="8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b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57267C"/>
      <name val="Calibri"/>
      <charset val="134"/>
      <scheme val="minor"/>
    </font>
    <font>
      <sz val="14"/>
      <color rgb="FF57267C"/>
      <name val="Calibri"/>
      <charset val="134"/>
      <scheme val="minor"/>
    </font>
    <font>
      <b/>
      <sz val="14"/>
      <color rgb="FF57267C"/>
      <name val="Calibri"/>
      <charset val="134"/>
      <scheme val="minor"/>
    </font>
    <font>
      <sz val="14"/>
      <name val="Calibri"/>
      <charset val="134"/>
      <scheme val="minor"/>
    </font>
    <font>
      <b/>
      <sz val="14"/>
      <color rgb="FF000000"/>
      <name val="Calibri (Body)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7" fontId="17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2" xfId="0" applyFont="1" applyFill="1" applyBorder="1" applyAlignment="1"/>
    <xf numFmtId="16" fontId="2" fillId="2" borderId="2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horizontal="left"/>
    </xf>
    <xf numFmtId="0" fontId="5" fillId="0" borderId="6" xfId="0" applyFont="1" applyFill="1" applyBorder="1" applyAlignment="1"/>
    <xf numFmtId="0" fontId="6" fillId="0" borderId="6" xfId="0" applyFont="1" applyFill="1" applyBorder="1" applyAlignment="1">
      <alignment horizontal="left"/>
    </xf>
    <xf numFmtId="168" fontId="6" fillId="0" borderId="6" xfId="0" applyNumberFormat="1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168" fontId="8" fillId="0" borderId="6" xfId="0" applyNumberFormat="1" applyFont="1" applyFill="1" applyBorder="1" applyAlignment="1">
      <alignment horizontal="left"/>
    </xf>
    <xf numFmtId="0" fontId="4" fillId="0" borderId="5" xfId="0" applyNumberFormat="1" applyFont="1" applyFill="1" applyBorder="1" applyAlignment="1">
      <alignment horizontal="left"/>
    </xf>
    <xf numFmtId="0" fontId="9" fillId="0" borderId="7" xfId="0" applyFont="1" applyFill="1" applyBorder="1" applyAlignment="1"/>
    <xf numFmtId="0" fontId="10" fillId="0" borderId="6" xfId="0" applyFont="1" applyFill="1" applyBorder="1" applyAlignment="1">
      <alignment horizontal="left"/>
    </xf>
    <xf numFmtId="168" fontId="10" fillId="0" borderId="6" xfId="0" applyNumberFormat="1" applyFont="1" applyFill="1" applyBorder="1" applyAlignment="1">
      <alignment horizontal="left"/>
    </xf>
    <xf numFmtId="0" fontId="9" fillId="0" borderId="6" xfId="0" applyFont="1" applyFill="1" applyBorder="1" applyAlignment="1"/>
    <xf numFmtId="0" fontId="4" fillId="0" borderId="8" xfId="0" applyFont="1" applyFill="1" applyBorder="1" applyAlignment="1">
      <alignment horizontal="left"/>
    </xf>
    <xf numFmtId="169" fontId="11" fillId="0" borderId="9" xfId="0" applyNumberFormat="1" applyFont="1" applyFill="1" applyBorder="1" applyAlignment="1">
      <alignment horizontal="center"/>
    </xf>
    <xf numFmtId="169" fontId="12" fillId="0" borderId="10" xfId="0" applyNumberFormat="1" applyFont="1" applyFill="1" applyBorder="1" applyAlignment="1">
      <alignment horizontal="center"/>
    </xf>
    <xf numFmtId="0" fontId="13" fillId="0" borderId="11" xfId="0" applyFont="1" applyFill="1" applyBorder="1" applyAlignment="1"/>
    <xf numFmtId="0" fontId="14" fillId="0" borderId="11" xfId="0" applyFont="1" applyFill="1" applyBorder="1" applyAlignment="1">
      <alignment horizontal="right"/>
    </xf>
    <xf numFmtId="169" fontId="6" fillId="0" borderId="6" xfId="0" applyNumberFormat="1" applyFont="1" applyFill="1" applyBorder="1" applyAlignment="1">
      <alignment horizontal="center"/>
    </xf>
    <xf numFmtId="169" fontId="10" fillId="0" borderId="12" xfId="0" applyNumberFormat="1" applyFont="1" applyFill="1" applyBorder="1" applyAlignment="1">
      <alignment horizontal="center"/>
    </xf>
    <xf numFmtId="170" fontId="15" fillId="0" borderId="12" xfId="0" applyNumberFormat="1" applyFont="1" applyFill="1" applyBorder="1" applyAlignment="1">
      <alignment horizontal="center"/>
    </xf>
    <xf numFmtId="169" fontId="8" fillId="0" borderId="6" xfId="0" applyNumberFormat="1" applyFont="1" applyFill="1" applyBorder="1" applyAlignment="1">
      <alignment horizontal="center"/>
    </xf>
    <xf numFmtId="4" fontId="8" fillId="0" borderId="6" xfId="0" applyNumberFormat="1" applyFont="1" applyFill="1" applyBorder="1" applyAlignment="1">
      <alignment horizontal="center"/>
    </xf>
    <xf numFmtId="169" fontId="10" fillId="0" borderId="6" xfId="0" applyNumberFormat="1" applyFont="1" applyFill="1" applyBorder="1" applyAlignment="1">
      <alignment horizontal="center"/>
    </xf>
    <xf numFmtId="169" fontId="6" fillId="0" borderId="2" xfId="0" applyNumberFormat="1" applyFont="1" applyFill="1" applyBorder="1" applyAlignment="1">
      <alignment horizontal="center"/>
    </xf>
    <xf numFmtId="169" fontId="6" fillId="0" borderId="0" xfId="0" applyNumberFormat="1" applyFont="1" applyFill="1" applyBorder="1" applyAlignment="1">
      <alignment horizontal="center"/>
    </xf>
    <xf numFmtId="171" fontId="9" fillId="0" borderId="12" xfId="1" applyNumberFormat="1" applyFont="1" applyFill="1" applyBorder="1" applyAlignment="1">
      <alignment horizontal="left"/>
    </xf>
    <xf numFmtId="0" fontId="3" fillId="3" borderId="3" xfId="0" applyFont="1" applyFill="1" applyBorder="1" applyAlignment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center"/>
    </xf>
    <xf numFmtId="16" fontId="2" fillId="3" borderId="2" xfId="0" applyNumberFormat="1" applyFont="1" applyFill="1" applyBorder="1" applyAlignment="1">
      <alignment horizontal="center"/>
    </xf>
    <xf numFmtId="169" fontId="3" fillId="3" borderId="4" xfId="0" applyNumberFormat="1" applyFont="1" applyFill="1" applyBorder="1" applyAlignment="1">
      <alignment horizontal="center"/>
    </xf>
    <xf numFmtId="16" fontId="2" fillId="3" borderId="2" xfId="0" quotePrefix="1" applyNumberFormat="1" applyFont="1" applyFill="1" applyBorder="1" applyAlignment="1">
      <alignment horizontal="center"/>
    </xf>
    <xf numFmtId="0" fontId="2" fillId="4" borderId="1" xfId="0" applyFont="1" applyFill="1" applyBorder="1" applyAlignment="1"/>
    <xf numFmtId="15" fontId="2" fillId="4" borderId="2" xfId="0" applyNumberFormat="1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4" fontId="3" fillId="3" borderId="3" xfId="0" applyNumberFormat="1" applyFont="1" applyFill="1" applyBorder="1" applyAlignment="1">
      <alignment horizontal="right"/>
    </xf>
    <xf numFmtId="10" fontId="3" fillId="3" borderId="4" xfId="0" applyNumberFormat="1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right"/>
    </xf>
    <xf numFmtId="10" fontId="2" fillId="4" borderId="2" xfId="0" applyNumberFormat="1" applyFont="1" applyFill="1" applyBorder="1" applyAlignment="1">
      <alignment horizontal="right"/>
    </xf>
    <xf numFmtId="171" fontId="16" fillId="4" borderId="13" xfId="0" applyNumberFormat="1" applyFont="1" applyFill="1" applyBorder="1" applyAlignment="1">
      <alignment horizontal="right"/>
    </xf>
    <xf numFmtId="0" fontId="9" fillId="4" borderId="11" xfId="0" applyFont="1" applyFill="1" applyBorder="1" applyAlignment="1">
      <alignment horizontal="right"/>
    </xf>
    <xf numFmtId="10" fontId="9" fillId="4" borderId="11" xfId="0" applyNumberFormat="1" applyFont="1" applyFill="1" applyBorder="1" applyAlignment="1">
      <alignment horizontal="center"/>
    </xf>
    <xf numFmtId="171" fontId="9" fillId="4" borderId="14" xfId="1" applyNumberFormat="1" applyFont="1" applyFill="1" applyBorder="1" applyAlignment="1">
      <alignment horizontal="left"/>
    </xf>
    <xf numFmtId="169" fontId="3" fillId="4" borderId="3" xfId="0" applyNumberFormat="1" applyFont="1" applyFill="1" applyBorder="1" applyAlignment="1">
      <alignment horizontal="center"/>
    </xf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workbookViewId="0">
      <selection activeCell="A2" sqref="A2:D2"/>
    </sheetView>
  </sheetViews>
  <sheetFormatPr defaultColWidth="12.36328125" defaultRowHeight="12.5"/>
  <cols>
    <col min="1" max="1" width="13.453125" style="1" customWidth="1"/>
    <col min="2" max="2" width="28.7265625" style="1" customWidth="1"/>
    <col min="3" max="3" width="26.36328125" style="1" customWidth="1"/>
    <col min="4" max="4" width="15.453125" style="1" customWidth="1"/>
    <col min="5" max="5" width="9.81640625" style="1" customWidth="1"/>
    <col min="6" max="6" width="11.26953125" style="1" customWidth="1"/>
    <col min="7" max="7" width="17.54296875" style="1" customWidth="1"/>
    <col min="8" max="8" width="11.453125" style="1" customWidth="1"/>
    <col min="9" max="9" width="17.54296875" style="1" customWidth="1"/>
    <col min="10" max="16384" width="12.36328125" style="1"/>
  </cols>
  <sheetData>
    <row r="1" spans="1:9" ht="17.5">
      <c r="A1" s="37" t="s">
        <v>0</v>
      </c>
      <c r="B1" s="2"/>
      <c r="C1" s="38">
        <v>41844</v>
      </c>
      <c r="D1" s="3"/>
      <c r="E1" s="34" t="s">
        <v>1</v>
      </c>
      <c r="F1" s="34" t="s">
        <v>2</v>
      </c>
      <c r="G1" s="36" t="s">
        <v>3</v>
      </c>
      <c r="H1" s="43" t="s">
        <v>4</v>
      </c>
      <c r="I1" s="44">
        <v>1720</v>
      </c>
    </row>
    <row r="2" spans="1:9" ht="18.5">
      <c r="A2" s="30" t="s">
        <v>5</v>
      </c>
      <c r="B2" s="30" t="s">
        <v>6</v>
      </c>
      <c r="C2" s="31" t="s">
        <v>7</v>
      </c>
      <c r="D2" s="31" t="s">
        <v>8</v>
      </c>
      <c r="E2" s="48">
        <f t="shared" ref="E2:G2" si="0">SUM(E4:E60)</f>
        <v>242.25</v>
      </c>
      <c r="F2" s="48">
        <f t="shared" si="0"/>
        <v>534.5</v>
      </c>
      <c r="G2" s="48">
        <f t="shared" si="0"/>
        <v>2473.5</v>
      </c>
      <c r="H2" s="39" t="s">
        <v>9</v>
      </c>
      <c r="I2" s="40" t="s">
        <v>10</v>
      </c>
    </row>
    <row r="3" spans="1:9" ht="18.5">
      <c r="A3" s="32"/>
      <c r="B3" s="32"/>
      <c r="C3" s="33"/>
      <c r="D3" s="33"/>
      <c r="E3" s="35" t="s">
        <v>11</v>
      </c>
      <c r="F3" s="35" t="s">
        <v>12</v>
      </c>
      <c r="G3" s="35"/>
      <c r="H3" s="41"/>
      <c r="I3" s="42"/>
    </row>
    <row r="4" spans="1:9" ht="18.5">
      <c r="A4" s="4" t="s">
        <v>13</v>
      </c>
      <c r="B4" s="5" t="s">
        <v>14</v>
      </c>
      <c r="C4" s="6" t="s">
        <v>15</v>
      </c>
      <c r="D4" s="7">
        <v>41867</v>
      </c>
      <c r="E4" s="21">
        <v>8.5</v>
      </c>
      <c r="F4" s="21">
        <v>87.5</v>
      </c>
      <c r="G4" s="22">
        <f t="shared" ref="G4:G60" si="1">E4*F4</f>
        <v>743.75</v>
      </c>
      <c r="H4" s="23">
        <f t="shared" ref="H4:H35" si="2">G4/$G$2</f>
        <v>0.30068728522336802</v>
      </c>
      <c r="I4" s="29">
        <f t="shared" ref="I4:I35" si="3">$I$1*H4</f>
        <v>517.18213058419201</v>
      </c>
    </row>
    <row r="5" spans="1:9" ht="18.5">
      <c r="A5" s="8" t="s">
        <v>16</v>
      </c>
      <c r="B5" s="5" t="s">
        <v>17</v>
      </c>
      <c r="C5" s="9" t="s">
        <v>18</v>
      </c>
      <c r="D5" s="10">
        <v>41888</v>
      </c>
      <c r="E5" s="24">
        <v>2.5</v>
      </c>
      <c r="F5" s="24">
        <v>40</v>
      </c>
      <c r="G5" s="22">
        <f t="shared" si="1"/>
        <v>100</v>
      </c>
      <c r="H5" s="23">
        <f t="shared" si="2"/>
        <v>4.0428542551041002E-2</v>
      </c>
      <c r="I5" s="29">
        <f t="shared" si="3"/>
        <v>69.537093187790603</v>
      </c>
    </row>
    <row r="6" spans="1:9" ht="18.5">
      <c r="A6" s="8" t="s">
        <v>19</v>
      </c>
      <c r="B6" s="5" t="s">
        <v>20</v>
      </c>
      <c r="C6" s="9" t="s">
        <v>18</v>
      </c>
      <c r="D6" s="10">
        <v>41889</v>
      </c>
      <c r="E6" s="24">
        <v>2.5</v>
      </c>
      <c r="F6" s="24">
        <v>40</v>
      </c>
      <c r="G6" s="22">
        <f t="shared" si="1"/>
        <v>100</v>
      </c>
      <c r="H6" s="23">
        <f t="shared" si="2"/>
        <v>4.0428542551041002E-2</v>
      </c>
      <c r="I6" s="29">
        <f t="shared" si="3"/>
        <v>69.537093187790603</v>
      </c>
    </row>
    <row r="7" spans="1:9" ht="18.5">
      <c r="A7" s="4" t="s">
        <v>21</v>
      </c>
      <c r="B7" s="5" t="s">
        <v>22</v>
      </c>
      <c r="C7" s="6" t="s">
        <v>23</v>
      </c>
      <c r="D7" s="7">
        <v>41933</v>
      </c>
      <c r="E7" s="21">
        <v>3.5</v>
      </c>
      <c r="F7" s="21">
        <v>40</v>
      </c>
      <c r="G7" s="22">
        <f t="shared" si="1"/>
        <v>140</v>
      </c>
      <c r="H7" s="23">
        <f t="shared" si="2"/>
        <v>5.6599959571457401E-2</v>
      </c>
      <c r="I7" s="29">
        <f t="shared" si="3"/>
        <v>97.351930462906793</v>
      </c>
    </row>
    <row r="8" spans="1:9" ht="18.5">
      <c r="A8" s="11" t="s">
        <v>24</v>
      </c>
      <c r="B8" s="12" t="s">
        <v>25</v>
      </c>
      <c r="C8" s="13" t="s">
        <v>26</v>
      </c>
      <c r="D8" s="14">
        <v>41860</v>
      </c>
      <c r="E8" s="25">
        <v>4.25</v>
      </c>
      <c r="F8" s="21">
        <v>4</v>
      </c>
      <c r="G8" s="22">
        <f t="shared" si="1"/>
        <v>17</v>
      </c>
      <c r="H8" s="23">
        <f t="shared" si="2"/>
        <v>6.8728522336769802E-3</v>
      </c>
      <c r="I8" s="29">
        <f t="shared" si="3"/>
        <v>11.821305841924399</v>
      </c>
    </row>
    <row r="9" spans="1:9" ht="18.5">
      <c r="A9" s="11" t="s">
        <v>27</v>
      </c>
      <c r="B9" s="12" t="s">
        <v>28</v>
      </c>
      <c r="C9" s="13" t="s">
        <v>29</v>
      </c>
      <c r="D9" s="14">
        <v>41866</v>
      </c>
      <c r="E9" s="25">
        <v>4.25</v>
      </c>
      <c r="F9" s="22">
        <v>7</v>
      </c>
      <c r="G9" s="22">
        <f t="shared" si="1"/>
        <v>29.75</v>
      </c>
      <c r="H9" s="23">
        <f t="shared" si="2"/>
        <v>1.20274914089347E-2</v>
      </c>
      <c r="I9" s="29">
        <f t="shared" si="3"/>
        <v>20.687285223367699</v>
      </c>
    </row>
    <row r="10" spans="1:9" ht="18.5">
      <c r="A10" s="11" t="s">
        <v>30</v>
      </c>
      <c r="B10" s="12" t="s">
        <v>31</v>
      </c>
      <c r="C10" s="13" t="s">
        <v>32</v>
      </c>
      <c r="D10" s="14">
        <v>41871</v>
      </c>
      <c r="E10" s="25">
        <v>4.25</v>
      </c>
      <c r="F10" s="26">
        <v>5</v>
      </c>
      <c r="G10" s="22">
        <f t="shared" si="1"/>
        <v>21.25</v>
      </c>
      <c r="H10" s="23">
        <f t="shared" si="2"/>
        <v>8.5910652920962206E-3</v>
      </c>
      <c r="I10" s="29">
        <f t="shared" si="3"/>
        <v>14.776632302405501</v>
      </c>
    </row>
    <row r="11" spans="1:9" ht="18.5">
      <c r="A11" s="11" t="s">
        <v>33</v>
      </c>
      <c r="B11" s="12" t="s">
        <v>34</v>
      </c>
      <c r="C11" s="13" t="s">
        <v>35</v>
      </c>
      <c r="D11" s="14">
        <v>41873</v>
      </c>
      <c r="E11" s="25">
        <v>4.25</v>
      </c>
      <c r="F11" s="26">
        <v>4</v>
      </c>
      <c r="G11" s="22">
        <f t="shared" si="1"/>
        <v>17</v>
      </c>
      <c r="H11" s="23">
        <f t="shared" si="2"/>
        <v>6.8728522336769802E-3</v>
      </c>
      <c r="I11" s="29">
        <f t="shared" si="3"/>
        <v>11.821305841924399</v>
      </c>
    </row>
    <row r="12" spans="1:9" ht="18.5">
      <c r="A12" s="11" t="s">
        <v>36</v>
      </c>
      <c r="B12" s="12" t="s">
        <v>37</v>
      </c>
      <c r="C12" s="13" t="s">
        <v>38</v>
      </c>
      <c r="D12" s="14">
        <v>41874</v>
      </c>
      <c r="E12" s="25">
        <v>4.25</v>
      </c>
      <c r="F12" s="26">
        <v>6</v>
      </c>
      <c r="G12" s="22">
        <f t="shared" si="1"/>
        <v>25.5</v>
      </c>
      <c r="H12" s="23">
        <f t="shared" si="2"/>
        <v>1.03092783505155E-2</v>
      </c>
      <c r="I12" s="29">
        <f t="shared" si="3"/>
        <v>17.731958762886599</v>
      </c>
    </row>
    <row r="13" spans="1:9" ht="18.5">
      <c r="A13" s="8" t="s">
        <v>39</v>
      </c>
      <c r="B13" s="5" t="s">
        <v>40</v>
      </c>
      <c r="C13" s="9" t="s">
        <v>41</v>
      </c>
      <c r="D13" s="10">
        <v>41894</v>
      </c>
      <c r="E13" s="25">
        <v>4.25</v>
      </c>
      <c r="F13" s="24">
        <v>4</v>
      </c>
      <c r="G13" s="22">
        <f t="shared" si="1"/>
        <v>17</v>
      </c>
      <c r="H13" s="23">
        <f t="shared" si="2"/>
        <v>6.8728522336769802E-3</v>
      </c>
      <c r="I13" s="29">
        <f t="shared" si="3"/>
        <v>11.821305841924399</v>
      </c>
    </row>
    <row r="14" spans="1:9" ht="18.5">
      <c r="A14" s="11" t="s">
        <v>42</v>
      </c>
      <c r="B14" s="12" t="s">
        <v>43</v>
      </c>
      <c r="C14" s="13" t="s">
        <v>44</v>
      </c>
      <c r="D14" s="14">
        <v>41898</v>
      </c>
      <c r="E14" s="25">
        <v>4.25</v>
      </c>
      <c r="F14" s="26">
        <v>4</v>
      </c>
      <c r="G14" s="22">
        <f t="shared" si="1"/>
        <v>17</v>
      </c>
      <c r="H14" s="23">
        <f t="shared" si="2"/>
        <v>6.8728522336769802E-3</v>
      </c>
      <c r="I14" s="29">
        <f t="shared" si="3"/>
        <v>11.821305841924399</v>
      </c>
    </row>
    <row r="15" spans="1:9" ht="18.5">
      <c r="A15" s="8" t="s">
        <v>45</v>
      </c>
      <c r="B15" s="5" t="s">
        <v>46</v>
      </c>
      <c r="C15" s="9" t="s">
        <v>47</v>
      </c>
      <c r="D15" s="10">
        <v>41904</v>
      </c>
      <c r="E15" s="25">
        <v>4.25</v>
      </c>
      <c r="F15" s="24">
        <v>4</v>
      </c>
      <c r="G15" s="22">
        <f t="shared" si="1"/>
        <v>17</v>
      </c>
      <c r="H15" s="23">
        <f t="shared" si="2"/>
        <v>6.8728522336769802E-3</v>
      </c>
      <c r="I15" s="29">
        <f t="shared" si="3"/>
        <v>11.821305841924399</v>
      </c>
    </row>
    <row r="16" spans="1:9" ht="18.5">
      <c r="A16" s="11" t="s">
        <v>48</v>
      </c>
      <c r="B16" s="12" t="s">
        <v>49</v>
      </c>
      <c r="C16" s="13" t="s">
        <v>35</v>
      </c>
      <c r="D16" s="14">
        <v>41918</v>
      </c>
      <c r="E16" s="25">
        <v>4.25</v>
      </c>
      <c r="F16" s="21">
        <v>4</v>
      </c>
      <c r="G16" s="22">
        <f t="shared" si="1"/>
        <v>17</v>
      </c>
      <c r="H16" s="23">
        <f t="shared" si="2"/>
        <v>6.8728522336769802E-3</v>
      </c>
      <c r="I16" s="29">
        <f t="shared" si="3"/>
        <v>11.821305841924399</v>
      </c>
    </row>
    <row r="17" spans="1:9" ht="18.5">
      <c r="A17" s="11" t="s">
        <v>50</v>
      </c>
      <c r="B17" s="15" t="s">
        <v>51</v>
      </c>
      <c r="C17" s="13" t="s">
        <v>35</v>
      </c>
      <c r="D17" s="14">
        <v>41921</v>
      </c>
      <c r="E17" s="25">
        <v>4.25</v>
      </c>
      <c r="F17" s="21">
        <v>4</v>
      </c>
      <c r="G17" s="22">
        <f t="shared" si="1"/>
        <v>17</v>
      </c>
      <c r="H17" s="23">
        <f t="shared" si="2"/>
        <v>6.8728522336769802E-3</v>
      </c>
      <c r="I17" s="29">
        <f t="shared" si="3"/>
        <v>11.821305841924399</v>
      </c>
    </row>
    <row r="18" spans="1:9" ht="18.5">
      <c r="A18" s="11" t="s">
        <v>52</v>
      </c>
      <c r="B18" s="15" t="s">
        <v>53</v>
      </c>
      <c r="C18" s="13" t="s">
        <v>44</v>
      </c>
      <c r="D18" s="14">
        <v>41923</v>
      </c>
      <c r="E18" s="25">
        <v>4.25</v>
      </c>
      <c r="F18" s="21">
        <v>4</v>
      </c>
      <c r="G18" s="22">
        <f t="shared" si="1"/>
        <v>17</v>
      </c>
      <c r="H18" s="23">
        <f t="shared" si="2"/>
        <v>6.8728522336769802E-3</v>
      </c>
      <c r="I18" s="29">
        <f t="shared" si="3"/>
        <v>11.821305841924399</v>
      </c>
    </row>
    <row r="19" spans="1:9" ht="18.5">
      <c r="A19" s="4" t="s">
        <v>54</v>
      </c>
      <c r="B19" s="5" t="s">
        <v>55</v>
      </c>
      <c r="C19" s="6" t="s">
        <v>56</v>
      </c>
      <c r="D19" s="7">
        <v>41930</v>
      </c>
      <c r="E19" s="25">
        <v>4.25</v>
      </c>
      <c r="F19" s="21">
        <v>4</v>
      </c>
      <c r="G19" s="22">
        <f t="shared" si="1"/>
        <v>17</v>
      </c>
      <c r="H19" s="23">
        <f t="shared" si="2"/>
        <v>6.8728522336769802E-3</v>
      </c>
      <c r="I19" s="29">
        <f t="shared" si="3"/>
        <v>11.821305841924399</v>
      </c>
    </row>
    <row r="20" spans="1:9" ht="18.5">
      <c r="A20" s="11" t="s">
        <v>57</v>
      </c>
      <c r="B20" s="15" t="s">
        <v>58</v>
      </c>
      <c r="C20" s="13" t="s">
        <v>47</v>
      </c>
      <c r="D20" s="14">
        <v>41934</v>
      </c>
      <c r="E20" s="25">
        <v>4.25</v>
      </c>
      <c r="F20" s="21">
        <v>4</v>
      </c>
      <c r="G20" s="22">
        <f t="shared" si="1"/>
        <v>17</v>
      </c>
      <c r="H20" s="23">
        <f t="shared" si="2"/>
        <v>6.8728522336769802E-3</v>
      </c>
      <c r="I20" s="29">
        <f t="shared" si="3"/>
        <v>11.821305841924399</v>
      </c>
    </row>
    <row r="21" spans="1:9" ht="18.5">
      <c r="A21" s="8" t="s">
        <v>59</v>
      </c>
      <c r="B21" s="5" t="s">
        <v>60</v>
      </c>
      <c r="C21" s="9" t="s">
        <v>44</v>
      </c>
      <c r="D21" s="10">
        <v>41938</v>
      </c>
      <c r="E21" s="25">
        <v>4.25</v>
      </c>
      <c r="F21" s="24">
        <v>4</v>
      </c>
      <c r="G21" s="22">
        <f t="shared" si="1"/>
        <v>17</v>
      </c>
      <c r="H21" s="23">
        <f t="shared" si="2"/>
        <v>6.8728522336769802E-3</v>
      </c>
      <c r="I21" s="29">
        <f t="shared" si="3"/>
        <v>11.821305841924399</v>
      </c>
    </row>
    <row r="22" spans="1:9" ht="18.5">
      <c r="A22" s="4" t="s">
        <v>61</v>
      </c>
      <c r="B22" s="5" t="s">
        <v>62</v>
      </c>
      <c r="C22" s="6" t="s">
        <v>47</v>
      </c>
      <c r="D22" s="7">
        <v>41940</v>
      </c>
      <c r="E22" s="25">
        <v>4.25</v>
      </c>
      <c r="F22" s="21">
        <v>4</v>
      </c>
      <c r="G22" s="22">
        <f t="shared" si="1"/>
        <v>17</v>
      </c>
      <c r="H22" s="23">
        <f t="shared" si="2"/>
        <v>6.8728522336769802E-3</v>
      </c>
      <c r="I22" s="29">
        <f t="shared" si="3"/>
        <v>11.821305841924399</v>
      </c>
    </row>
    <row r="23" spans="1:9" ht="18.5">
      <c r="A23" s="8" t="s">
        <v>63</v>
      </c>
      <c r="B23" s="5" t="s">
        <v>64</v>
      </c>
      <c r="C23" s="9" t="s">
        <v>23</v>
      </c>
      <c r="D23" s="10">
        <v>41850</v>
      </c>
      <c r="E23" s="25">
        <v>4.25</v>
      </c>
      <c r="F23" s="24">
        <v>4</v>
      </c>
      <c r="G23" s="22">
        <f t="shared" si="1"/>
        <v>17</v>
      </c>
      <c r="H23" s="23">
        <f t="shared" si="2"/>
        <v>6.8728522336769802E-3</v>
      </c>
      <c r="I23" s="29">
        <f t="shared" si="3"/>
        <v>11.821305841924399</v>
      </c>
    </row>
    <row r="24" spans="1:9" ht="18.5">
      <c r="A24" s="8" t="s">
        <v>65</v>
      </c>
      <c r="B24" s="5" t="s">
        <v>66</v>
      </c>
      <c r="C24" s="9" t="s">
        <v>23</v>
      </c>
      <c r="D24" s="10">
        <v>41867</v>
      </c>
      <c r="E24" s="25">
        <v>4.25</v>
      </c>
      <c r="F24" s="24">
        <v>4</v>
      </c>
      <c r="G24" s="22">
        <f t="shared" si="1"/>
        <v>17</v>
      </c>
      <c r="H24" s="23">
        <f t="shared" si="2"/>
        <v>6.8728522336769802E-3</v>
      </c>
      <c r="I24" s="29">
        <f t="shared" si="3"/>
        <v>11.821305841924399</v>
      </c>
    </row>
    <row r="25" spans="1:9" ht="18.5">
      <c r="A25" s="4" t="s">
        <v>67</v>
      </c>
      <c r="B25" s="5" t="s">
        <v>68</v>
      </c>
      <c r="C25" s="6" t="s">
        <v>23</v>
      </c>
      <c r="D25" s="7">
        <v>41895</v>
      </c>
      <c r="E25" s="25">
        <v>4.25</v>
      </c>
      <c r="F25" s="21">
        <v>4</v>
      </c>
      <c r="G25" s="22">
        <f t="shared" si="1"/>
        <v>17</v>
      </c>
      <c r="H25" s="23">
        <f t="shared" si="2"/>
        <v>6.8728522336769802E-3</v>
      </c>
      <c r="I25" s="29">
        <f t="shared" si="3"/>
        <v>11.821305841924399</v>
      </c>
    </row>
    <row r="26" spans="1:9" ht="18.5">
      <c r="A26" s="4" t="s">
        <v>69</v>
      </c>
      <c r="B26" s="5" t="s">
        <v>70</v>
      </c>
      <c r="C26" s="6" t="s">
        <v>23</v>
      </c>
      <c r="D26" s="7">
        <v>41897</v>
      </c>
      <c r="E26" s="25">
        <v>4.25</v>
      </c>
      <c r="F26" s="21">
        <v>4</v>
      </c>
      <c r="G26" s="22">
        <f t="shared" si="1"/>
        <v>17</v>
      </c>
      <c r="H26" s="23">
        <f t="shared" si="2"/>
        <v>6.8728522336769802E-3</v>
      </c>
      <c r="I26" s="29">
        <f t="shared" si="3"/>
        <v>11.821305841924399</v>
      </c>
    </row>
    <row r="27" spans="1:9" ht="18.5">
      <c r="A27" s="4" t="s">
        <v>71</v>
      </c>
      <c r="B27" s="5" t="s">
        <v>72</v>
      </c>
      <c r="C27" s="6" t="s">
        <v>23</v>
      </c>
      <c r="D27" s="7">
        <v>41903</v>
      </c>
      <c r="E27" s="25">
        <v>4.25</v>
      </c>
      <c r="F27" s="21">
        <v>4</v>
      </c>
      <c r="G27" s="22">
        <f t="shared" si="1"/>
        <v>17</v>
      </c>
      <c r="H27" s="23">
        <f t="shared" si="2"/>
        <v>6.8728522336769802E-3</v>
      </c>
      <c r="I27" s="29">
        <f t="shared" si="3"/>
        <v>11.821305841924399</v>
      </c>
    </row>
    <row r="28" spans="1:9" ht="18.5">
      <c r="A28" s="4" t="s">
        <v>73</v>
      </c>
      <c r="B28" s="5" t="s">
        <v>74</v>
      </c>
      <c r="C28" s="6" t="s">
        <v>23</v>
      </c>
      <c r="D28" s="7">
        <v>41914</v>
      </c>
      <c r="E28" s="25">
        <v>4.25</v>
      </c>
      <c r="F28" s="21">
        <v>6</v>
      </c>
      <c r="G28" s="22">
        <f t="shared" si="1"/>
        <v>25.5</v>
      </c>
      <c r="H28" s="23">
        <f t="shared" si="2"/>
        <v>1.03092783505155E-2</v>
      </c>
      <c r="I28" s="29">
        <f t="shared" si="3"/>
        <v>17.731958762886599</v>
      </c>
    </row>
    <row r="29" spans="1:9" ht="18.5">
      <c r="A29" s="4" t="s">
        <v>75</v>
      </c>
      <c r="B29" s="5" t="s">
        <v>76</v>
      </c>
      <c r="C29" s="6" t="s">
        <v>23</v>
      </c>
      <c r="D29" s="7">
        <v>41916</v>
      </c>
      <c r="E29" s="25">
        <v>4.25</v>
      </c>
      <c r="F29" s="21">
        <v>4</v>
      </c>
      <c r="G29" s="22">
        <f t="shared" si="1"/>
        <v>17</v>
      </c>
      <c r="H29" s="23">
        <f t="shared" si="2"/>
        <v>6.8728522336769802E-3</v>
      </c>
      <c r="I29" s="29">
        <f t="shared" si="3"/>
        <v>11.821305841924399</v>
      </c>
    </row>
    <row r="30" spans="1:9" ht="18.5">
      <c r="A30" s="4" t="s">
        <v>77</v>
      </c>
      <c r="B30" s="5" t="s">
        <v>78</v>
      </c>
      <c r="C30" s="6" t="s">
        <v>23</v>
      </c>
      <c r="D30" s="7">
        <v>41921</v>
      </c>
      <c r="E30" s="25">
        <v>4.25</v>
      </c>
      <c r="F30" s="21">
        <v>4</v>
      </c>
      <c r="G30" s="22">
        <f t="shared" si="1"/>
        <v>17</v>
      </c>
      <c r="H30" s="23">
        <f t="shared" si="2"/>
        <v>6.8728522336769802E-3</v>
      </c>
      <c r="I30" s="29">
        <f t="shared" si="3"/>
        <v>11.821305841924399</v>
      </c>
    </row>
    <row r="31" spans="1:9" ht="18.5">
      <c r="A31" s="4" t="s">
        <v>79</v>
      </c>
      <c r="B31" s="5" t="s">
        <v>80</v>
      </c>
      <c r="C31" s="6" t="s">
        <v>23</v>
      </c>
      <c r="D31" s="7">
        <v>41922</v>
      </c>
      <c r="E31" s="25">
        <v>4.25</v>
      </c>
      <c r="F31" s="21">
        <v>4</v>
      </c>
      <c r="G31" s="22">
        <f t="shared" si="1"/>
        <v>17</v>
      </c>
      <c r="H31" s="23">
        <f t="shared" si="2"/>
        <v>6.8728522336769802E-3</v>
      </c>
      <c r="I31" s="29">
        <f t="shared" si="3"/>
        <v>11.821305841924399</v>
      </c>
    </row>
    <row r="32" spans="1:9" ht="18.5">
      <c r="A32" s="4" t="s">
        <v>81</v>
      </c>
      <c r="B32" s="5" t="s">
        <v>82</v>
      </c>
      <c r="C32" s="6" t="s">
        <v>23</v>
      </c>
      <c r="D32" s="7">
        <v>41928</v>
      </c>
      <c r="E32" s="25">
        <v>4.25</v>
      </c>
      <c r="F32" s="21">
        <v>3</v>
      </c>
      <c r="G32" s="22">
        <f t="shared" si="1"/>
        <v>12.75</v>
      </c>
      <c r="H32" s="23">
        <f t="shared" si="2"/>
        <v>5.1546391752577301E-3</v>
      </c>
      <c r="I32" s="29">
        <f t="shared" si="3"/>
        <v>8.8659793814432994</v>
      </c>
    </row>
    <row r="33" spans="1:9" ht="18.5">
      <c r="A33" s="4" t="s">
        <v>83</v>
      </c>
      <c r="B33" s="5" t="s">
        <v>82</v>
      </c>
      <c r="C33" s="6" t="s">
        <v>23</v>
      </c>
      <c r="D33" s="7">
        <v>41929</v>
      </c>
      <c r="E33" s="25">
        <v>4.25</v>
      </c>
      <c r="F33" s="21">
        <v>3</v>
      </c>
      <c r="G33" s="22">
        <f t="shared" si="1"/>
        <v>12.75</v>
      </c>
      <c r="H33" s="23">
        <f t="shared" si="2"/>
        <v>5.1546391752577301E-3</v>
      </c>
      <c r="I33" s="29">
        <f t="shared" si="3"/>
        <v>8.8659793814432994</v>
      </c>
    </row>
    <row r="34" spans="1:9" ht="18.5">
      <c r="A34" s="4" t="s">
        <v>84</v>
      </c>
      <c r="B34" s="5" t="s">
        <v>85</v>
      </c>
      <c r="C34" s="6" t="s">
        <v>23</v>
      </c>
      <c r="D34" s="7">
        <v>41949</v>
      </c>
      <c r="E34" s="25">
        <v>4.25</v>
      </c>
      <c r="F34" s="21">
        <v>4</v>
      </c>
      <c r="G34" s="22">
        <f t="shared" si="1"/>
        <v>17</v>
      </c>
      <c r="H34" s="23">
        <f t="shared" si="2"/>
        <v>6.8728522336769802E-3</v>
      </c>
      <c r="I34" s="29">
        <f t="shared" si="3"/>
        <v>11.821305841924399</v>
      </c>
    </row>
    <row r="35" spans="1:9" ht="18.5">
      <c r="A35" s="4" t="s">
        <v>86</v>
      </c>
      <c r="B35" s="5" t="s">
        <v>87</v>
      </c>
      <c r="C35" s="6" t="s">
        <v>23</v>
      </c>
      <c r="D35" s="7">
        <v>41950</v>
      </c>
      <c r="E35" s="25">
        <v>4.25</v>
      </c>
      <c r="F35" s="21">
        <v>4</v>
      </c>
      <c r="G35" s="22">
        <f t="shared" si="1"/>
        <v>17</v>
      </c>
      <c r="H35" s="23">
        <f t="shared" si="2"/>
        <v>6.8728522336769802E-3</v>
      </c>
      <c r="I35" s="29">
        <f t="shared" si="3"/>
        <v>11.821305841924399</v>
      </c>
    </row>
    <row r="36" spans="1:9" ht="18.5">
      <c r="A36" s="4" t="s">
        <v>88</v>
      </c>
      <c r="B36" s="5" t="s">
        <v>89</v>
      </c>
      <c r="C36" s="6" t="s">
        <v>23</v>
      </c>
      <c r="D36" s="7">
        <v>41954</v>
      </c>
      <c r="E36" s="25">
        <v>4.25</v>
      </c>
      <c r="F36" s="21">
        <v>4</v>
      </c>
      <c r="G36" s="22">
        <f t="shared" si="1"/>
        <v>17</v>
      </c>
      <c r="H36" s="23">
        <f t="shared" ref="H36:H67" si="4">G36/$G$2</f>
        <v>6.8728522336769802E-3</v>
      </c>
      <c r="I36" s="29">
        <f t="shared" ref="I36:I67" si="5">$I$1*H36</f>
        <v>11.821305841924399</v>
      </c>
    </row>
    <row r="37" spans="1:9" ht="18.5">
      <c r="A37" s="8" t="s">
        <v>90</v>
      </c>
      <c r="B37" s="5" t="s">
        <v>91</v>
      </c>
      <c r="C37" s="9" t="s">
        <v>23</v>
      </c>
      <c r="D37" s="10">
        <v>41962</v>
      </c>
      <c r="E37" s="25">
        <v>4.25</v>
      </c>
      <c r="F37" s="24">
        <v>4</v>
      </c>
      <c r="G37" s="22">
        <f t="shared" si="1"/>
        <v>17</v>
      </c>
      <c r="H37" s="23">
        <f t="shared" si="4"/>
        <v>6.8728522336769802E-3</v>
      </c>
      <c r="I37" s="29">
        <f t="shared" si="5"/>
        <v>11.821305841924399</v>
      </c>
    </row>
    <row r="38" spans="1:9" ht="18.5">
      <c r="A38" s="4" t="s">
        <v>92</v>
      </c>
      <c r="B38" s="5" t="s">
        <v>93</v>
      </c>
      <c r="C38" s="6" t="s">
        <v>23</v>
      </c>
      <c r="D38" s="7">
        <v>41964</v>
      </c>
      <c r="E38" s="25">
        <v>4.25</v>
      </c>
      <c r="F38" s="21">
        <v>4</v>
      </c>
      <c r="G38" s="22">
        <f t="shared" si="1"/>
        <v>17</v>
      </c>
      <c r="H38" s="23">
        <f t="shared" si="4"/>
        <v>6.8728522336769802E-3</v>
      </c>
      <c r="I38" s="29">
        <f t="shared" si="5"/>
        <v>11.821305841924399</v>
      </c>
    </row>
    <row r="39" spans="1:9" ht="18.5">
      <c r="A39" s="4" t="s">
        <v>94</v>
      </c>
      <c r="B39" s="5" t="s">
        <v>95</v>
      </c>
      <c r="C39" s="6" t="s">
        <v>41</v>
      </c>
      <c r="D39" s="7">
        <v>41845</v>
      </c>
      <c r="E39" s="25">
        <v>4.25</v>
      </c>
      <c r="F39" s="21">
        <v>4</v>
      </c>
      <c r="G39" s="22">
        <f t="shared" si="1"/>
        <v>17</v>
      </c>
      <c r="H39" s="23">
        <f t="shared" si="4"/>
        <v>6.8728522336769802E-3</v>
      </c>
      <c r="I39" s="29">
        <f t="shared" si="5"/>
        <v>11.821305841924399</v>
      </c>
    </row>
    <row r="40" spans="1:9" ht="18.5">
      <c r="A40" s="4" t="s">
        <v>96</v>
      </c>
      <c r="B40" s="5" t="s">
        <v>97</v>
      </c>
      <c r="C40" s="6" t="s">
        <v>41</v>
      </c>
      <c r="D40" s="7">
        <v>41846</v>
      </c>
      <c r="E40" s="25">
        <v>4.25</v>
      </c>
      <c r="F40" s="21">
        <v>4</v>
      </c>
      <c r="G40" s="22">
        <f t="shared" si="1"/>
        <v>17</v>
      </c>
      <c r="H40" s="23">
        <f t="shared" si="4"/>
        <v>6.8728522336769802E-3</v>
      </c>
      <c r="I40" s="29">
        <f t="shared" si="5"/>
        <v>11.821305841924399</v>
      </c>
    </row>
    <row r="41" spans="1:9" ht="18.5">
      <c r="A41" s="4" t="s">
        <v>98</v>
      </c>
      <c r="B41" s="5" t="s">
        <v>99</v>
      </c>
      <c r="C41" s="6" t="s">
        <v>41</v>
      </c>
      <c r="D41" s="7">
        <v>41852</v>
      </c>
      <c r="E41" s="25">
        <v>4.25</v>
      </c>
      <c r="F41" s="21">
        <v>4</v>
      </c>
      <c r="G41" s="22">
        <f t="shared" si="1"/>
        <v>17</v>
      </c>
      <c r="H41" s="23">
        <f t="shared" si="4"/>
        <v>6.8728522336769802E-3</v>
      </c>
      <c r="I41" s="29">
        <f t="shared" si="5"/>
        <v>11.821305841924399</v>
      </c>
    </row>
    <row r="42" spans="1:9" ht="18.5">
      <c r="A42" s="4" t="s">
        <v>100</v>
      </c>
      <c r="B42" s="5" t="s">
        <v>101</v>
      </c>
      <c r="C42" s="6" t="s">
        <v>41</v>
      </c>
      <c r="D42" s="7">
        <v>41853</v>
      </c>
      <c r="E42" s="25">
        <v>4.25</v>
      </c>
      <c r="F42" s="21">
        <v>4</v>
      </c>
      <c r="G42" s="22">
        <f t="shared" si="1"/>
        <v>17</v>
      </c>
      <c r="H42" s="23">
        <f t="shared" si="4"/>
        <v>6.8728522336769802E-3</v>
      </c>
      <c r="I42" s="29">
        <f t="shared" si="5"/>
        <v>11.821305841924399</v>
      </c>
    </row>
    <row r="43" spans="1:9" ht="18.5">
      <c r="A43" s="4" t="s">
        <v>102</v>
      </c>
      <c r="B43" s="5" t="s">
        <v>103</v>
      </c>
      <c r="C43" s="6" t="s">
        <v>41</v>
      </c>
      <c r="D43" s="7" t="s">
        <v>104</v>
      </c>
      <c r="E43" s="25">
        <v>4.25</v>
      </c>
      <c r="F43" s="21">
        <v>4</v>
      </c>
      <c r="G43" s="22">
        <f t="shared" si="1"/>
        <v>17</v>
      </c>
      <c r="H43" s="23">
        <f t="shared" si="4"/>
        <v>6.8728522336769802E-3</v>
      </c>
      <c r="I43" s="29">
        <f t="shared" si="5"/>
        <v>11.821305841924399</v>
      </c>
    </row>
    <row r="44" spans="1:9" ht="18.5">
      <c r="A44" s="4" t="s">
        <v>105</v>
      </c>
      <c r="B44" s="5" t="s">
        <v>106</v>
      </c>
      <c r="C44" s="6" t="s">
        <v>41</v>
      </c>
      <c r="D44" s="7">
        <v>41861</v>
      </c>
      <c r="E44" s="25">
        <v>4.25</v>
      </c>
      <c r="F44" s="21">
        <v>4</v>
      </c>
      <c r="G44" s="22">
        <f t="shared" si="1"/>
        <v>17</v>
      </c>
      <c r="H44" s="23">
        <f t="shared" si="4"/>
        <v>6.8728522336769802E-3</v>
      </c>
      <c r="I44" s="29">
        <f t="shared" si="5"/>
        <v>11.821305841924399</v>
      </c>
    </row>
    <row r="45" spans="1:9" ht="18.5">
      <c r="A45" s="4" t="s">
        <v>107</v>
      </c>
      <c r="B45" s="5" t="s">
        <v>108</v>
      </c>
      <c r="C45" s="6" t="s">
        <v>41</v>
      </c>
      <c r="D45" s="7">
        <v>41865</v>
      </c>
      <c r="E45" s="25">
        <v>4.25</v>
      </c>
      <c r="F45" s="21">
        <v>4</v>
      </c>
      <c r="G45" s="22">
        <f t="shared" si="1"/>
        <v>17</v>
      </c>
      <c r="H45" s="23">
        <f t="shared" si="4"/>
        <v>6.8728522336769802E-3</v>
      </c>
      <c r="I45" s="29">
        <f t="shared" si="5"/>
        <v>11.821305841924399</v>
      </c>
    </row>
    <row r="46" spans="1:9" ht="18.5">
      <c r="A46" s="4" t="s">
        <v>109</v>
      </c>
      <c r="B46" s="5" t="s">
        <v>110</v>
      </c>
      <c r="C46" s="6" t="s">
        <v>41</v>
      </c>
      <c r="D46" s="7">
        <v>41873</v>
      </c>
      <c r="E46" s="25">
        <v>4.25</v>
      </c>
      <c r="F46" s="21">
        <v>4</v>
      </c>
      <c r="G46" s="22">
        <f t="shared" si="1"/>
        <v>17</v>
      </c>
      <c r="H46" s="23">
        <f t="shared" si="4"/>
        <v>6.8728522336769802E-3</v>
      </c>
      <c r="I46" s="29">
        <f t="shared" si="5"/>
        <v>11.821305841924399</v>
      </c>
    </row>
    <row r="47" spans="1:9" ht="18.5">
      <c r="A47" s="16" t="s">
        <v>111</v>
      </c>
      <c r="B47" s="5" t="s">
        <v>112</v>
      </c>
      <c r="C47" s="6" t="s">
        <v>41</v>
      </c>
      <c r="D47" s="7">
        <v>41880</v>
      </c>
      <c r="E47" s="25">
        <v>4.25</v>
      </c>
      <c r="F47" s="21">
        <v>4</v>
      </c>
      <c r="G47" s="22">
        <f t="shared" si="1"/>
        <v>17</v>
      </c>
      <c r="H47" s="23">
        <f t="shared" si="4"/>
        <v>6.8728522336769802E-3</v>
      </c>
      <c r="I47" s="29">
        <f t="shared" si="5"/>
        <v>11.821305841924399</v>
      </c>
    </row>
    <row r="48" spans="1:9" ht="18.5">
      <c r="A48" s="16" t="s">
        <v>113</v>
      </c>
      <c r="B48" s="5" t="s">
        <v>114</v>
      </c>
      <c r="C48" s="6" t="s">
        <v>41</v>
      </c>
      <c r="D48" s="7">
        <v>41887</v>
      </c>
      <c r="E48" s="25">
        <v>4.25</v>
      </c>
      <c r="F48" s="21">
        <v>4</v>
      </c>
      <c r="G48" s="22">
        <f t="shared" si="1"/>
        <v>17</v>
      </c>
      <c r="H48" s="23">
        <f t="shared" si="4"/>
        <v>6.8728522336769802E-3</v>
      </c>
      <c r="I48" s="29">
        <f t="shared" si="5"/>
        <v>11.821305841924399</v>
      </c>
    </row>
    <row r="49" spans="1:9" ht="18.5">
      <c r="A49" s="16" t="s">
        <v>115</v>
      </c>
      <c r="B49" s="5" t="s">
        <v>116</v>
      </c>
      <c r="C49" s="6" t="s">
        <v>41</v>
      </c>
      <c r="D49" s="7">
        <v>41892</v>
      </c>
      <c r="E49" s="25">
        <v>4.25</v>
      </c>
      <c r="F49" s="21">
        <v>4</v>
      </c>
      <c r="G49" s="22">
        <f t="shared" si="1"/>
        <v>17</v>
      </c>
      <c r="H49" s="23">
        <f t="shared" si="4"/>
        <v>6.8728522336769802E-3</v>
      </c>
      <c r="I49" s="29">
        <f t="shared" si="5"/>
        <v>11.821305841924399</v>
      </c>
    </row>
    <row r="50" spans="1:9" ht="18.5">
      <c r="A50" s="16" t="s">
        <v>117</v>
      </c>
      <c r="B50" s="5" t="s">
        <v>118</v>
      </c>
      <c r="C50" s="6" t="s">
        <v>41</v>
      </c>
      <c r="D50" s="7">
        <v>41902</v>
      </c>
      <c r="E50" s="25">
        <v>4.25</v>
      </c>
      <c r="F50" s="21">
        <v>4</v>
      </c>
      <c r="G50" s="22">
        <f t="shared" si="1"/>
        <v>17</v>
      </c>
      <c r="H50" s="23">
        <f t="shared" si="4"/>
        <v>6.8728522336769802E-3</v>
      </c>
      <c r="I50" s="29">
        <f t="shared" si="5"/>
        <v>11.821305841924399</v>
      </c>
    </row>
    <row r="51" spans="1:9" ht="18.5">
      <c r="A51" s="16" t="s">
        <v>119</v>
      </c>
      <c r="B51" s="5" t="s">
        <v>120</v>
      </c>
      <c r="C51" s="6" t="s">
        <v>41</v>
      </c>
      <c r="D51" s="7">
        <v>41907</v>
      </c>
      <c r="E51" s="25">
        <v>4.25</v>
      </c>
      <c r="F51" s="21">
        <v>4</v>
      </c>
      <c r="G51" s="22">
        <f t="shared" si="1"/>
        <v>17</v>
      </c>
      <c r="H51" s="23">
        <f t="shared" si="4"/>
        <v>6.8728522336769802E-3</v>
      </c>
      <c r="I51" s="29">
        <f t="shared" si="5"/>
        <v>11.821305841924399</v>
      </c>
    </row>
    <row r="52" spans="1:9" ht="18.5">
      <c r="A52" s="16" t="s">
        <v>121</v>
      </c>
      <c r="B52" s="5" t="s">
        <v>122</v>
      </c>
      <c r="C52" s="6" t="s">
        <v>41</v>
      </c>
      <c r="D52" s="7">
        <v>41908</v>
      </c>
      <c r="E52" s="25">
        <v>4.25</v>
      </c>
      <c r="F52" s="21">
        <v>4</v>
      </c>
      <c r="G52" s="22">
        <f t="shared" si="1"/>
        <v>17</v>
      </c>
      <c r="H52" s="23">
        <f t="shared" si="4"/>
        <v>6.8728522336769802E-3</v>
      </c>
      <c r="I52" s="29">
        <f t="shared" si="5"/>
        <v>11.821305841924399</v>
      </c>
    </row>
    <row r="53" spans="1:9" ht="18.5">
      <c r="A53" s="4" t="s">
        <v>123</v>
      </c>
      <c r="B53" s="5" t="s">
        <v>124</v>
      </c>
      <c r="C53" s="6" t="s">
        <v>41</v>
      </c>
      <c r="D53" s="7">
        <v>41910</v>
      </c>
      <c r="E53" s="25">
        <v>4.25</v>
      </c>
      <c r="F53" s="21">
        <v>4</v>
      </c>
      <c r="G53" s="22">
        <f t="shared" si="1"/>
        <v>17</v>
      </c>
      <c r="H53" s="23">
        <f t="shared" si="4"/>
        <v>6.8728522336769802E-3</v>
      </c>
      <c r="I53" s="29">
        <f t="shared" si="5"/>
        <v>11.821305841924399</v>
      </c>
    </row>
    <row r="54" spans="1:9" ht="18.5">
      <c r="A54" s="16" t="s">
        <v>125</v>
      </c>
      <c r="B54" s="5" t="s">
        <v>126</v>
      </c>
      <c r="C54" s="6" t="s">
        <v>41</v>
      </c>
      <c r="D54" s="7">
        <v>41915</v>
      </c>
      <c r="E54" s="25">
        <v>4.25</v>
      </c>
      <c r="F54" s="21">
        <v>4</v>
      </c>
      <c r="G54" s="22">
        <f t="shared" si="1"/>
        <v>17</v>
      </c>
      <c r="H54" s="23">
        <f t="shared" si="4"/>
        <v>6.8728522336769802E-3</v>
      </c>
      <c r="I54" s="29">
        <f t="shared" si="5"/>
        <v>11.821305841924399</v>
      </c>
    </row>
    <row r="55" spans="1:9" ht="18.5">
      <c r="A55" s="16" t="s">
        <v>127</v>
      </c>
      <c r="B55" s="5" t="s">
        <v>128</v>
      </c>
      <c r="C55" s="6" t="s">
        <v>41</v>
      </c>
      <c r="D55" s="7">
        <v>41922</v>
      </c>
      <c r="E55" s="25">
        <v>4.25</v>
      </c>
      <c r="F55" s="21">
        <v>4</v>
      </c>
      <c r="G55" s="22">
        <f t="shared" si="1"/>
        <v>17</v>
      </c>
      <c r="H55" s="23">
        <f t="shared" si="4"/>
        <v>6.8728522336769802E-3</v>
      </c>
      <c r="I55" s="29">
        <f t="shared" si="5"/>
        <v>11.821305841924399</v>
      </c>
    </row>
    <row r="56" spans="1:9" ht="18.5">
      <c r="A56" s="16" t="s">
        <v>129</v>
      </c>
      <c r="B56" s="5" t="s">
        <v>130</v>
      </c>
      <c r="C56" s="6" t="s">
        <v>41</v>
      </c>
      <c r="D56" s="7">
        <v>41957</v>
      </c>
      <c r="E56" s="25">
        <v>4.25</v>
      </c>
      <c r="F56" s="21">
        <v>4</v>
      </c>
      <c r="G56" s="22">
        <f t="shared" si="1"/>
        <v>17</v>
      </c>
      <c r="H56" s="23">
        <f t="shared" si="4"/>
        <v>6.8728522336769802E-3</v>
      </c>
      <c r="I56" s="29">
        <f t="shared" si="5"/>
        <v>11.821305841924399</v>
      </c>
    </row>
    <row r="57" spans="1:9" ht="18.5">
      <c r="A57" s="8" t="s">
        <v>131</v>
      </c>
      <c r="B57" s="5" t="s">
        <v>132</v>
      </c>
      <c r="C57" s="9" t="s">
        <v>15</v>
      </c>
      <c r="D57" s="10">
        <v>41855</v>
      </c>
      <c r="E57" s="25">
        <v>4.25</v>
      </c>
      <c r="F57" s="24">
        <v>107</v>
      </c>
      <c r="G57" s="22">
        <f t="shared" si="1"/>
        <v>454.75</v>
      </c>
      <c r="H57" s="23">
        <f t="shared" si="4"/>
        <v>0.18384879725085901</v>
      </c>
      <c r="I57" s="29">
        <f t="shared" si="5"/>
        <v>316.219931271478</v>
      </c>
    </row>
    <row r="58" spans="1:9" ht="18.5">
      <c r="A58" s="16" t="s">
        <v>133</v>
      </c>
      <c r="B58" s="5" t="s">
        <v>134</v>
      </c>
      <c r="C58" s="6" t="s">
        <v>135</v>
      </c>
      <c r="D58" s="7">
        <v>41846</v>
      </c>
      <c r="E58" s="25">
        <v>4.25</v>
      </c>
      <c r="F58" s="21">
        <v>8</v>
      </c>
      <c r="G58" s="22">
        <f t="shared" si="1"/>
        <v>34</v>
      </c>
      <c r="H58" s="23">
        <f t="shared" si="4"/>
        <v>1.3745704467354E-2</v>
      </c>
      <c r="I58" s="29">
        <f t="shared" si="5"/>
        <v>23.642611683848799</v>
      </c>
    </row>
    <row r="59" spans="1:9" ht="18.5">
      <c r="A59" s="16" t="s">
        <v>136</v>
      </c>
      <c r="B59" s="5" t="s">
        <v>137</v>
      </c>
      <c r="C59" s="6" t="s">
        <v>135</v>
      </c>
      <c r="D59" s="7">
        <v>41873</v>
      </c>
      <c r="E59" s="25">
        <v>4.25</v>
      </c>
      <c r="F59" s="21">
        <v>4</v>
      </c>
      <c r="G59" s="22">
        <f t="shared" si="1"/>
        <v>17</v>
      </c>
      <c r="H59" s="23">
        <f t="shared" si="4"/>
        <v>6.8728522336769802E-3</v>
      </c>
      <c r="I59" s="29">
        <f t="shared" si="5"/>
        <v>11.821305841924399</v>
      </c>
    </row>
    <row r="60" spans="1:9" ht="18.5">
      <c r="A60" s="16" t="s">
        <v>138</v>
      </c>
      <c r="B60" s="5" t="s">
        <v>139</v>
      </c>
      <c r="C60" s="6" t="s">
        <v>135</v>
      </c>
      <c r="D60" s="7">
        <v>41900</v>
      </c>
      <c r="E60" s="25">
        <v>4.25</v>
      </c>
      <c r="F60" s="21">
        <v>6</v>
      </c>
      <c r="G60" s="22">
        <f t="shared" si="1"/>
        <v>25.5</v>
      </c>
      <c r="H60" s="23">
        <f t="shared" si="4"/>
        <v>1.03092783505155E-2</v>
      </c>
      <c r="I60" s="29">
        <f t="shared" si="5"/>
        <v>17.731958762886599</v>
      </c>
    </row>
    <row r="61" spans="1:9" ht="18.5">
      <c r="A61" s="17"/>
      <c r="B61" s="18"/>
      <c r="C61" s="19"/>
      <c r="D61" s="20"/>
      <c r="E61" s="20"/>
      <c r="F61" s="20"/>
      <c r="G61" s="45" t="s">
        <v>140</v>
      </c>
      <c r="H61" s="46">
        <f>SUM(H4:H60)</f>
        <v>0.999999999999999</v>
      </c>
      <c r="I61" s="47">
        <f>SUM(I4:I60)</f>
        <v>1720</v>
      </c>
    </row>
    <row r="62" spans="1:9" ht="18.5">
      <c r="E62" s="27"/>
    </row>
    <row r="63" spans="1:9" ht="18.5">
      <c r="E63" s="28"/>
    </row>
    <row r="64" spans="1:9" ht="18.5">
      <c r="E64" s="28"/>
    </row>
    <row r="65" spans="5:5" ht="18.5">
      <c r="E65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2024-12-10T11:03:38Z</dcterms:created>
  <dcterms:modified xsi:type="dcterms:W3CDTF">2025-12-25T01:01:22Z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DA46E9960963DFF18AAF57672D7BABF8_41</vt:lpwstr>
  </property>
  <property fmtid="{D5CDD505-2E9C-101B-9397-08002B2CF9AE}" pid="3" name="KSOProductBuildVer">
    <vt:lpwstr>2052-6.8.2.8850</vt:lpwstr>
  </property>
</Properties>
</file>