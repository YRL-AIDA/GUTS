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340" yWindow="930" windowWidth="19420" windowHeight="11020"/>
  </bookViews>
  <sheets>
    <sheet name="Apple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2" l="1"/>
  <c r="G3" i="2" s="1"/>
  <c r="E4" i="2"/>
  <c r="G4" i="2" s="1"/>
  <c r="G6" i="2"/>
  <c r="G7" i="2"/>
</calcChain>
</file>

<file path=xl/sharedStrings.xml><?xml version="1.0" encoding="utf-8"?>
<sst xmlns="http://schemas.openxmlformats.org/spreadsheetml/2006/main" count="24" uniqueCount="20">
  <si>
    <t xml:space="preserve"> per pint</t>
  </si>
  <si>
    <t>Juice</t>
  </si>
  <si>
    <t xml:space="preserve"> per pound</t>
  </si>
  <si>
    <t>Form</t>
  </si>
  <si>
    <t>Preparation yield factor</t>
  </si>
  <si>
    <t xml:space="preserve">Size of a cup equivalent </t>
  </si>
  <si>
    <t>Average price per cup equivalent</t>
  </si>
  <si>
    <r>
      <t>Average retail price</t>
    </r>
    <r>
      <rPr>
        <vertAlign val="superscript"/>
        <sz val="12"/>
        <rFont val="Arial"/>
        <family val="2"/>
      </rPr>
      <t xml:space="preserve"> </t>
    </r>
  </si>
  <si>
    <r>
      <t>Fresh</t>
    </r>
    <r>
      <rPr>
        <vertAlign val="superscript"/>
        <sz val="12"/>
        <rFont val="Arial"/>
        <family val="2"/>
      </rPr>
      <t>1</t>
    </r>
  </si>
  <si>
    <r>
      <t>Applesauce</t>
    </r>
    <r>
      <rPr>
        <vertAlign val="superscript"/>
        <sz val="12"/>
        <rFont val="Arial"/>
        <family val="2"/>
      </rPr>
      <t>2</t>
    </r>
  </si>
  <si>
    <r>
      <t>Ready to drink</t>
    </r>
    <r>
      <rPr>
        <vertAlign val="superscript"/>
        <sz val="12"/>
        <rFont val="Agency FB"/>
        <family val="2"/>
      </rPr>
      <t>3</t>
    </r>
  </si>
  <si>
    <r>
      <t>Frozen</t>
    </r>
    <r>
      <rPr>
        <vertAlign val="superscript"/>
        <sz val="12"/>
        <rFont val="Arial"/>
        <family val="2"/>
      </rPr>
      <t>4</t>
    </r>
  </si>
  <si>
    <r>
      <rPr>
        <vertAlign val="superscript"/>
        <sz val="12"/>
        <rFont val="Arial"/>
        <family val="2"/>
      </rPr>
      <t>2</t>
    </r>
    <r>
      <rPr>
        <sz val="12"/>
        <rFont val="Arial"/>
        <family val="2"/>
      </rPr>
      <t xml:space="preserve">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t>
    </r>
  </si>
  <si>
    <r>
      <rPr>
        <vertAlign val="superscript"/>
        <sz val="12"/>
        <rFont val="Arial"/>
        <family val="2"/>
      </rPr>
      <t>3</t>
    </r>
    <r>
      <rPr>
        <sz val="12"/>
        <rFont val="Arial"/>
        <family val="2"/>
      </rPr>
      <t xml:space="preserve">Includes refrigerated and unrefrigerated juice. </t>
    </r>
  </si>
  <si>
    <r>
      <rPr>
        <vertAlign val="superscript"/>
        <sz val="12"/>
        <rFont val="Arial"/>
        <family val="2"/>
      </rPr>
      <t>4</t>
    </r>
    <r>
      <rPr>
        <sz val="12"/>
        <rFont val="Arial"/>
        <family val="2"/>
      </rPr>
      <t>Includes juice sold as frozen concentrate. The consumer reconstitutes this juice after purchase by adding three containers of water per container of concentrate. Retail price is dollars per pint after reconstitution.</t>
    </r>
  </si>
  <si>
    <t>Apples—Average retail price per pound or pint and per cup equivalent, 2022</t>
  </si>
  <si>
    <r>
      <rPr>
        <vertAlign val="superscript"/>
        <sz val="12"/>
        <rFont val="Arial"/>
        <family val="2"/>
      </rPr>
      <t>1</t>
    </r>
    <r>
      <rPr>
        <sz val="12"/>
        <rFont val="Arial"/>
        <family val="2"/>
      </rPr>
      <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t>
    </r>
  </si>
  <si>
    <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t>
  </si>
  <si>
    <t>Pounds</t>
  </si>
  <si>
    <t>Fluid ounces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</si>
</sst>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0.000"/>
  </numFmts>
  <fonts count="8" x14ac:knownFonts="1">
    <font>
      <sz val="11"/>
      <color theme="1"/>
      <name val="Calibri"/>
      <family val="2"/>
      <scheme val="minor"/>
    </font>
    <font>
      <sz val="11"/>
      <color theme="1"/>
      <name val="Calibri"/>
      <family val="2"/>
      <scheme val="minor"/>
    </font>
    <font>
      <sz val="10"/>
      <name val="Arial"/>
      <family val="2"/>
    </font>
    <font>
      <b/>
      <sz val="12"/>
      <name val="Arial"/>
      <family val="2"/>
    </font>
    <font>
      <sz val="12"/>
      <color theme="1"/>
      <name val="Calibri"/>
      <family val="2"/>
      <scheme val="minor"/>
    </font>
    <font>
      <sz val="12"/>
      <name val="Arial"/>
      <family val="2"/>
    </font>
    <font>
      <vertAlign val="superscript"/>
      <sz val="12"/>
      <name val="Arial"/>
      <family val="2"/>
    </font>
    <font>
      <vertAlign val="superscript"/>
      <sz val="12"/>
      <name val="Agency FB"/>
      <family val="2"/>
    </font>
  </fonts>
  <fills count="6">
    <fill>
      <patternFill patternType="none"/>
    </fill>
    <fill>
      <patternFill patternType="gray125"/>
    </fill>
    <fill>
      <patternFill patternType="solid">
        <fgColor rgb="FFFFFFCC"/>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5">
    <border>
      <left/>
      <right/>
      <top/>
      <bottom/>
      <diagonal/>
    </border>
    <border>
      <left style="thin">
        <color rgb="FFB2B2B2"/>
      </left>
      <right style="thin">
        <color rgb="FFB2B2B2"/>
      </right>
      <top style="thin">
        <color rgb="FFB2B2B2"/>
      </top>
      <bottom style="thin">
        <color rgb="FFB2B2B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tint="-0.499984740745262"/>
      </left>
      <right/>
      <top style="thin">
        <color indexed="64"/>
      </top>
      <bottom style="thin">
        <color indexed="64"/>
      </bottom>
      <diagonal/>
    </border>
    <border>
      <left/>
      <right style="thin">
        <color theme="0" tint="-0.499984740745262"/>
      </right>
      <top style="double">
        <color indexed="64"/>
      </top>
      <bottom style="thin">
        <color theme="0"/>
      </bottom>
      <diagonal/>
    </border>
    <border>
      <left style="thin">
        <color theme="0" tint="-0.499984740745262"/>
      </left>
      <right style="thin">
        <color indexed="64"/>
      </right>
      <top style="double">
        <color indexed="64"/>
      </top>
      <bottom style="thin">
        <color theme="0"/>
      </bottom>
      <diagonal/>
    </border>
    <border>
      <left style="thin">
        <color indexed="64"/>
      </left>
      <right style="thin">
        <color theme="0" tint="-0.499984740745262"/>
      </right>
      <top style="double">
        <color indexed="64"/>
      </top>
      <bottom style="thin">
        <color theme="0"/>
      </bottom>
      <diagonal/>
    </border>
    <border>
      <left/>
      <right/>
      <top style="double">
        <color indexed="64"/>
      </top>
      <bottom style="thin">
        <color theme="0"/>
      </bottom>
      <diagonal/>
    </border>
    <border>
      <left style="thin">
        <color theme="0" tint="-0.499984740745262"/>
      </left>
      <right/>
      <top style="double">
        <color indexed="64"/>
      </top>
      <bottom style="thin">
        <color theme="0"/>
      </bottom>
      <diagonal/>
    </border>
    <border>
      <left/>
      <right/>
      <top/>
      <bottom style="double">
        <color indexed="64"/>
      </bottom>
      <diagonal/>
    </border>
  </borders>
  <cellStyleXfs count="9">
    <xf numFmtId="0" fontId="0" fillId="0" borderId="0"/>
    <xf numFmtId="9" fontId="1" fillId="0" borderId="0" applyFont="0" applyFill="0" applyBorder="0" applyAlignment="0" applyProtection="0"/>
    <xf numFmtId="0" fontId="2" fillId="0" borderId="0"/>
    <xf numFmtId="0" fontId="2" fillId="0" borderId="0"/>
    <xf numFmtId="0" fontId="2" fillId="0" borderId="0"/>
    <xf numFmtId="0" fontId="2" fillId="2" borderId="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4" fillId="0" borderId="0" xfId="0" applyFont="1"/>
    <xf numFmtId="0" fontId="4" fillId="0" borderId="14" xfId="0" applyFont="1" applyBorder="1" applyAlignment="1">
      <alignment vertical="center"/>
    </xf>
    <xf numFmtId="164" fontId="5" fillId="0" borderId="5" xfId="0" applyNumberFormat="1" applyFont="1" applyBorder="1" applyAlignment="1">
      <alignment horizontal="center"/>
    </xf>
    <xf numFmtId="2" fontId="5" fillId="0" borderId="5" xfId="0" applyNumberFormat="1" applyFont="1" applyBorder="1" applyAlignment="1">
      <alignment horizontal="center"/>
    </xf>
    <xf numFmtId="0" fontId="5" fillId="0" borderId="5" xfId="1" applyNumberFormat="1" applyFont="1" applyFill="1" applyBorder="1" applyAlignment="1">
      <alignment horizontal="center"/>
    </xf>
    <xf numFmtId="165" fontId="4" fillId="0" borderId="5" xfId="0" applyNumberFormat="1" applyFont="1" applyBorder="1" applyAlignment="1">
      <alignment horizontal="center"/>
    </xf>
    <xf numFmtId="0" fontId="5" fillId="0" borderId="5" xfId="0" applyFont="1" applyBorder="1" applyAlignment="1">
      <alignment horizontal="center"/>
    </xf>
    <xf numFmtId="0" fontId="4" fillId="0" borderId="7" xfId="0" applyFont="1" applyBorder="1" applyAlignment="1">
      <alignment horizontal="centerContinuous" wrapText="1"/>
    </xf>
    <xf numFmtId="0" fontId="4" fillId="0" borderId="6" xfId="0" applyFont="1" applyBorder="1" applyAlignment="1">
      <alignment horizontal="centerContinuous" wrapText="1"/>
    </xf>
    <xf numFmtId="164" fontId="5" fillId="0" borderId="4" xfId="0" applyNumberFormat="1" applyFont="1" applyBorder="1" applyAlignment="1">
      <alignment horizontal="center"/>
    </xf>
    <xf numFmtId="2" fontId="5" fillId="0" borderId="4" xfId="0" applyNumberFormat="1" applyFont="1" applyBorder="1" applyAlignment="1">
      <alignment horizontal="center"/>
    </xf>
    <xf numFmtId="0" fontId="5" fillId="0" borderId="4" xfId="1" applyNumberFormat="1" applyFont="1" applyFill="1" applyBorder="1" applyAlignment="1">
      <alignment horizontal="center"/>
    </xf>
    <xf numFmtId="0" fontId="5" fillId="0" borderId="4" xfId="0" applyFont="1" applyBorder="1" applyAlignment="1">
      <alignment horizontal="center"/>
    </xf>
    <xf numFmtId="0" fontId="4" fillId="0" borderId="3" xfId="0" applyFont="1" applyBorder="1"/>
    <xf numFmtId="0" fontId="4" fillId="0" borderId="2" xfId="0" applyFont="1" applyBorder="1"/>
    <xf numFmtId="2" fontId="5" fillId="0" borderId="2" xfId="0" applyNumberFormat="1" applyFont="1" applyBorder="1"/>
    <xf numFmtId="0" fontId="3" fillId="3" borderId="14" xfId="0" applyFont="1" applyFill="1" applyBorder="1" applyAlignment="1">
      <alignment vertical="center"/>
    </xf>
    <xf numFmtId="0" fontId="5" fillId="3" borderId="3" xfId="0" applyFont="1" applyFill="1" applyBorder="1"/>
    <xf numFmtId="0" fontId="5" fillId="3" borderId="2" xfId="0" applyFont="1" applyFill="1" applyBorder="1"/>
    <xf numFmtId="2" fontId="5" fillId="3" borderId="2" xfId="0" applyNumberFormat="1" applyFont="1" applyFill="1" applyBorder="1"/>
    <xf numFmtId="0" fontId="5" fillId="4" borderId="13" xfId="0" applyFont="1" applyFill="1" applyBorder="1" applyAlignment="1">
      <alignment vertical="center" wrapText="1"/>
    </xf>
    <xf numFmtId="2" fontId="5" fillId="4" borderId="11" xfId="0" applyNumberFormat="1" applyFont="1" applyFill="1" applyBorder="1" applyAlignment="1">
      <alignment horizontal="centerContinuous" vertical="center" wrapText="1"/>
    </xf>
    <xf numFmtId="2" fontId="5" fillId="4" borderId="10" xfId="0" applyNumberFormat="1" applyFont="1" applyFill="1" applyBorder="1" applyAlignment="1">
      <alignment horizontal="centerContinuous" vertical="center" wrapText="1"/>
    </xf>
    <xf numFmtId="9" fontId="5" fillId="4" borderId="12" xfId="1" applyFont="1" applyFill="1" applyBorder="1" applyAlignment="1">
      <alignment horizontal="center" vertical="center" wrapText="1"/>
    </xf>
    <xf numFmtId="2" fontId="5" fillId="4" borderId="10" xfId="0" applyNumberFormat="1" applyFont="1" applyFill="1" applyBorder="1" applyAlignment="1">
      <alignment horizontal="centerContinuous" vertical="center"/>
    </xf>
    <xf numFmtId="0" fontId="5" fillId="4" borderId="9" xfId="0" applyFont="1" applyFill="1" applyBorder="1" applyAlignment="1">
      <alignment horizontal="center" vertical="center" wrapText="1"/>
    </xf>
    <xf numFmtId="0" fontId="5" fillId="5" borderId="5" xfId="0" applyFont="1" applyFill="1" applyBorder="1" applyAlignment="1">
      <alignment horizontal="left" vertical="center"/>
    </xf>
    <xf numFmtId="0" fontId="5" fillId="5" borderId="5" xfId="0" applyFont="1" applyFill="1" applyBorder="1" applyAlignment="1">
      <alignment horizontal="left" vertical="center" indent="1"/>
    </xf>
    <xf numFmtId="0" fontId="5" fillId="5" borderId="4" xfId="0" applyFont="1" applyFill="1" applyBorder="1" applyAlignment="1">
      <alignment horizontal="left" vertical="center" indent="1"/>
    </xf>
    <xf numFmtId="0" fontId="5" fillId="4" borderId="8" xfId="0" applyFont="1" applyFill="1" applyBorder="1" applyAlignment="1">
      <alignment horizontal="left" vertical="center" wrapText="1"/>
    </xf>
  </cellXfs>
  <cellStyles count="9">
    <cellStyle name="Normal 2" xfId="2"/>
    <cellStyle name="Normal 4" xfId="3"/>
    <cellStyle name="Normal 5" xfId="4"/>
    <cellStyle name="Note 3" xfId="5"/>
    <cellStyle name="Percent 3" xfId="6"/>
    <cellStyle name="Percent 4" xfId="7"/>
    <cellStyle name="Percent 5" xfId="8"/>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tabSelected="1" workbookViewId="0">
      <selection activeCell="D7" sqref="D7"/>
    </sheetView>
  </sheetViews>
  <sheetFormatPr defaultColWidth="9.1796875" defaultRowHeight="15.5" x14ac:dyDescent="0.35"/>
  <cols>
    <col min="1" max="1" width="17.7265625" style="1" bestFit="1" customWidth="1"/>
    <col min="2" max="2" width="9.1796875" style="1"/>
    <col min="3" max="3" width="11.81640625" style="1" bestFit="1" customWidth="1"/>
    <col min="4" max="4" width="13" style="1" bestFit="1" customWidth="1"/>
    <col min="5" max="5" width="9.1796875" style="1"/>
    <col min="6" max="6" width="14" style="1" bestFit="1" customWidth="1"/>
    <col min="7" max="7" width="19.453125" style="1" bestFit="1" customWidth="1"/>
    <col min="8" max="16384" width="9.1796875" style="1"/>
  </cols>
  <sheetData>
    <row r="1" spans="1:7" ht="16" thickBot="1" x14ac:dyDescent="0.4">
      <c r="A1" s="17" t="s">
        <v>15</v>
      </c>
      <c r="C1" s="2"/>
      <c r="D1" s="2"/>
      <c r="F1" s="2"/>
      <c r="G1" s="2"/>
    </row>
    <row r="2" spans="1:7" ht="31.5" thickTop="1" x14ac:dyDescent="0.35">
      <c r="A2" s="21" t="s">
        <v>3</v>
      </c>
      <c r="B2" s="22" t="s">
        <v>7</v>
      </c>
      <c r="C2" s="23"/>
      <c r="D2" s="24" t="s">
        <v>4</v>
      </c>
      <c r="E2" s="22" t="s">
        <v>5</v>
      </c>
      <c r="F2" s="25"/>
      <c r="G2" s="26" t="s">
        <v>6</v>
      </c>
    </row>
    <row r="3" spans="1:7" ht="18.5" x14ac:dyDescent="0.35">
      <c r="A3" s="27" t="s">
        <v>8</v>
      </c>
      <c r="B3" s="3">
        <v>1.8541066819071299</v>
      </c>
      <c r="C3" s="4" t="s">
        <v>2</v>
      </c>
      <c r="D3" s="5">
        <v>0.9</v>
      </c>
      <c r="E3" s="6">
        <f>110/453.59237</f>
        <v>0.24250848840336534</v>
      </c>
      <c r="F3" s="7" t="s">
        <v>18</v>
      </c>
      <c r="G3" s="3">
        <f>B3*E3/D3</f>
        <v>0.49959623196430819</v>
      </c>
    </row>
    <row r="4" spans="1:7" ht="18.5" x14ac:dyDescent="0.35">
      <c r="A4" s="27" t="s">
        <v>9</v>
      </c>
      <c r="B4" s="3">
        <v>1.1705491533819099</v>
      </c>
      <c r="C4" s="4" t="s">
        <v>2</v>
      </c>
      <c r="D4" s="5">
        <v>1</v>
      </c>
      <c r="E4" s="6">
        <f>245/453.59237</f>
        <v>0.54013254235295005</v>
      </c>
      <c r="F4" s="7" t="s">
        <v>18</v>
      </c>
      <c r="G4" s="3">
        <f>B4*E4/D4</f>
        <v>0.63225169016526428</v>
      </c>
    </row>
    <row r="5" spans="1:7" x14ac:dyDescent="0.35">
      <c r="A5" s="30" t="s">
        <v>1</v>
      </c>
      <c r="B5" s="8"/>
      <c r="C5" s="8"/>
      <c r="D5" s="8"/>
      <c r="E5" s="8"/>
      <c r="F5" s="8"/>
      <c r="G5" s="9"/>
    </row>
    <row r="6" spans="1:7" ht="17.5" x14ac:dyDescent="0.35">
      <c r="A6" s="28" t="s">
        <v>10</v>
      </c>
      <c r="B6" s="3">
        <v>0.86985296312028904</v>
      </c>
      <c r="C6" s="4" t="s">
        <v>0</v>
      </c>
      <c r="D6" s="5">
        <v>1</v>
      </c>
      <c r="E6" s="7">
        <v>8</v>
      </c>
      <c r="F6" s="4" t="s">
        <v>19</v>
      </c>
      <c r="G6" s="3">
        <f>B6/2</f>
        <v>0.43492648156014452</v>
      </c>
    </row>
    <row r="7" spans="1:7" ht="19" thickBot="1" x14ac:dyDescent="0.4">
      <c r="A7" s="29" t="s">
        <v>11</v>
      </c>
      <c r="B7" s="10">
        <v>0.60864139999154299</v>
      </c>
      <c r="C7" s="11" t="s">
        <v>0</v>
      </c>
      <c r="D7" s="12">
        <v>1</v>
      </c>
      <c r="E7" s="13">
        <v>8</v>
      </c>
      <c r="F7" s="11" t="s">
        <v>19</v>
      </c>
      <c r="G7" s="10">
        <f>B7/2</f>
        <v>0.30432069999577149</v>
      </c>
    </row>
    <row r="8" spans="1:7" ht="19" thickTop="1" x14ac:dyDescent="0.35">
      <c r="A8" s="18" t="s">
        <v>16</v>
      </c>
      <c r="B8" s="14"/>
      <c r="C8" s="14"/>
      <c r="D8" s="14"/>
      <c r="E8" s="14"/>
      <c r="F8" s="14"/>
      <c r="G8" s="14"/>
    </row>
    <row r="9" spans="1:7" ht="18.5" x14ac:dyDescent="0.35">
      <c r="A9" s="19" t="s">
        <v>12</v>
      </c>
      <c r="B9" s="15"/>
      <c r="C9" s="15"/>
      <c r="D9" s="15"/>
      <c r="E9" s="15"/>
      <c r="F9" s="15"/>
      <c r="G9" s="15"/>
    </row>
    <row r="10" spans="1:7" ht="18.5" x14ac:dyDescent="0.35">
      <c r="A10" s="19" t="s">
        <v>13</v>
      </c>
      <c r="B10" s="15"/>
      <c r="C10" s="15"/>
      <c r="D10" s="15"/>
      <c r="E10" s="15"/>
      <c r="F10" s="15"/>
      <c r="G10" s="15"/>
    </row>
    <row r="11" spans="1:7" ht="18.5" x14ac:dyDescent="0.35">
      <c r="A11" s="19" t="s">
        <v>14</v>
      </c>
      <c r="B11" s="15"/>
      <c r="C11" s="15"/>
      <c r="D11" s="15"/>
      <c r="E11" s="15"/>
      <c r="F11" s="15"/>
      <c r="G11" s="15"/>
    </row>
    <row r="12" spans="1:7" x14ac:dyDescent="0.35">
      <c r="A12" s="20" t="s">
        <v>17</v>
      </c>
      <c r="B12" s="16"/>
      <c r="C12" s="16"/>
      <c r="D12" s="16"/>
      <c r="E12" s="16"/>
      <c r="F12" s="16"/>
      <c r="G12" s="1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Apples</vt:lpstr>
    </vt:vector>
  </TitlesOfParts>
  <Company>USDA, Economic Research Service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Apples—Average retail price per pound or pint and per cup equivalent</dc:title>
  <dc:subject>Agricultural Economics</dc:subject>
  <dc:creator>Hayden Stewart; Jeffrey Hyman</dc:creator>
  <cp:keywords>fruit and vegetable prices, retail prices, costs to consume, costs per edible cup equivalent, apples</cp:keywords>
  <dc:description>Excel table showing average price per cup equivalent for apples in 2022.</dc:description>
  <cp:lastModifiedBy>Alexander Yurin</cp:lastModifiedBy>
  <dcterms:created xsi:type="dcterms:W3CDTF">2015-03-10T21:00:12Z</dcterms:created>
  <dcterms:modified xsi:type="dcterms:W3CDTF">2025-11-26T04:21:20Z</dcterms:modified>
</cp:coreProperties>
</file>