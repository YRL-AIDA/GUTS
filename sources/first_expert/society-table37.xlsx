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  <externalReference r:id="rId3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Fatality_Rate_Adult">'[2]Detailed COVID Calculations - 1'!$C$52</definedName>
    <definedName name="Months_of_Community_Spread">'[1]Detailed COVID Calculations - 1'!$C$8</definedName>
    <definedName name="Package">'[1]2. COVID Impact on Coverage'!$V$3</definedName>
    <definedName name="Package_or_Individual">'[1]2. COVID Impact on Coverage'!$W$3:$W$4</definedName>
    <definedName name="Packege2">'[2]2a.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5" i="1"/>
  <c r="A44" i="1"/>
  <c r="A43" i="1"/>
  <c r="I42" i="1"/>
  <c r="H42" i="1"/>
  <c r="G42" i="1"/>
  <c r="F42" i="1"/>
  <c r="A41" i="1"/>
  <c r="A40" i="1"/>
  <c r="I39" i="1"/>
  <c r="H39" i="1"/>
  <c r="G39" i="1"/>
  <c r="F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A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A31" i="1"/>
  <c r="I30" i="1"/>
  <c r="H30" i="1"/>
  <c r="G30" i="1"/>
  <c r="F30" i="1"/>
  <c r="A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<sst xmlns="http://schemas.openxmlformats.org/spreadsheetml/2006/main" count="100" uniqueCount="94">
  <si>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</si>
  <si>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</si>
  <si>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</si>
  <si>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</si>
  <si>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</si>
  <si>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</si>
  <si>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</si>
  <si>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</si>
  <si>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</si>
  <si>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</si>
  <si>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</si>
  <si>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</si>
  <si>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</si>
  <si>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</si>
  <si>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</si>
  <si>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</si>
  <si>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</si>
  <si>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</si>
  <si>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</si>
  <si>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</si>
  <si>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</si>
  <si>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</si>
  <si>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</si>
  <si>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</si>
  <si>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</si>
  <si>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</si>
  <si>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</si>
  <si>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</si>
  <si>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</si>
  <si>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</si>
  <si>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</si>
  <si>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</si>
  <si>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</si>
  <si>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</si>
  <si>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</si>
  <si>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</si>
  <si>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</si>
  <si>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</si>
  <si>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</si>
  <si>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</si>
  <si>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</si>
  <si>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</si>
  <si>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</si>
  <si>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</si>
  <si>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</si>
  <si>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</si>
  <si>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</si>
  <si>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</si>
  <si>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</si>
  <si>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</si>
  <si>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</si>
  <si>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</si>
  <si>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</si>
  <si>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</si>
  <si>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Shown combined with Full supportive care</t>
  </si>
  <si>
    <t>Full supportive care of prematurity</t>
  </si>
  <si>
    <t>Shown combined with KMC</t>
  </si>
  <si>
    <t>45/46/47</t>
  </si>
  <si>
    <t>68/69</t>
  </si>
  <si>
    <t>Case management of neonatal sepsis/pneumonia</t>
  </si>
  <si>
    <t>Oral antibiotics for neonatal sepsis</t>
  </si>
  <si>
    <t>Shown combined in line 50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</si>
  <si>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</si>
  <si>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</si>
  <si>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</si>
  <si>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</si>
  <si>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Combines impact of Appropriate complementary feeding,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</si>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</sst>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(* #,##0.00_);_(* \(#,##0.00\);_(* &quot;-&quot;??_);_(@_)"/>
    <numFmt numFmtId="169" formatCode="#,##0;[Red]\(#,##0\);\-\-"/>
  </numFmts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</borders>
  <cellStyleXfs count="4">
    <xf numFmtId="0" fontId="0" fillId="0" borderId="0">
      <alignment vertical="center"/>
    </xf>
    <xf numFmtId="0" fontId="12" fillId="0" borderId="0"/>
    <xf numFmtId="0" fontId="6" fillId="0" borderId="0"/>
    <xf numFmtId="168" fontId="6" fillId="0" borderId="0" applyFont="0" applyFill="0" applyBorder="0" applyAlignment="0" applyProtection="0"/>
  </cellStyleXfs>
  <cellXfs count="51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Continuous"/>
    </xf>
    <xf numFmtId="169" fontId="0" fillId="0" borderId="0" xfId="0" applyNumberFormat="1" applyFont="1" applyFill="1" applyAlignment="1"/>
    <xf numFmtId="0" fontId="3" fillId="2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169" fontId="6" fillId="0" borderId="1" xfId="0" applyNumberFormat="1" applyFont="1" applyFill="1" applyBorder="1" applyAlignment="1"/>
    <xf numFmtId="0" fontId="8" fillId="4" borderId="1" xfId="1" applyFont="1" applyFill="1" applyBorder="1" applyAlignment="1"/>
    <xf numFmtId="0" fontId="8" fillId="5" borderId="1" xfId="1" applyFont="1" applyFill="1" applyBorder="1" applyAlignment="1"/>
    <xf numFmtId="0" fontId="8" fillId="5" borderId="4" xfId="1" applyFont="1" applyFill="1" applyBorder="1" applyAlignment="1"/>
    <xf numFmtId="0" fontId="6" fillId="3" borderId="4" xfId="0" applyFont="1" applyFill="1" applyBorder="1" applyAlignment="1"/>
    <xf numFmtId="0" fontId="8" fillId="3" borderId="4" xfId="1" applyFont="1" applyFill="1" applyBorder="1" applyAlignment="1"/>
    <xf numFmtId="169" fontId="6" fillId="6" borderId="1" xfId="0" applyNumberFormat="1" applyFont="1" applyFill="1" applyBorder="1" applyAlignment="1"/>
    <xf numFmtId="0" fontId="8" fillId="7" borderId="6" xfId="1" applyFont="1" applyFill="1" applyBorder="1" applyAlignment="1"/>
    <xf numFmtId="0" fontId="6" fillId="7" borderId="4" xfId="0" applyFont="1" applyFill="1" applyBorder="1" applyAlignment="1"/>
    <xf numFmtId="0" fontId="6" fillId="8" borderId="4" xfId="0" applyFont="1" applyFill="1" applyBorder="1" applyAlignment="1"/>
    <xf numFmtId="0" fontId="6" fillId="9" borderId="4" xfId="0" applyFont="1" applyFill="1" applyBorder="1" applyAlignment="1"/>
    <xf numFmtId="0" fontId="6" fillId="10" borderId="4" xfId="0" applyFont="1" applyFill="1" applyBorder="1" applyAlignment="1"/>
    <xf numFmtId="0" fontId="8" fillId="11" borderId="4" xfId="1" applyFont="1" applyFill="1" applyBorder="1" applyAlignment="1"/>
    <xf numFmtId="0" fontId="6" fillId="11" borderId="4" xfId="0" applyFont="1" applyFill="1" applyBorder="1" applyAlignment="1"/>
    <xf numFmtId="0" fontId="7" fillId="11" borderId="1" xfId="0" applyFont="1" applyFill="1" applyBorder="1" applyAlignment="1">
      <alignment horizontal="center" vertical="center" wrapText="1"/>
    </xf>
    <xf numFmtId="169" fontId="6" fillId="0" borderId="2" xfId="0" applyNumberFormat="1" applyFont="1" applyFill="1" applyBorder="1" applyAlignment="1">
      <alignment horizontal="right" vertical="center"/>
    </xf>
    <xf numFmtId="169" fontId="6" fillId="0" borderId="5" xfId="0" applyNumberFormat="1" applyFont="1" applyFill="1" applyBorder="1" applyAlignment="1">
      <alignment horizontal="right" vertical="center"/>
    </xf>
    <xf numFmtId="0" fontId="1" fillId="12" borderId="0" xfId="0" applyFont="1" applyFill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169" fontId="3" fillId="14" borderId="1" xfId="0" applyNumberFormat="1" applyFont="1" applyFill="1" applyBorder="1" applyAlignment="1">
      <alignment horizontal="center" wrapText="1"/>
    </xf>
    <xf numFmtId="169" fontId="3" fillId="14" borderId="2" xfId="0" applyNumberFormat="1" applyFont="1" applyFill="1" applyBorder="1" applyAlignment="1">
      <alignment horizontal="center" wrapText="1"/>
    </xf>
    <xf numFmtId="0" fontId="7" fillId="13" borderId="1" xfId="2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vertical="center"/>
    </xf>
    <xf numFmtId="0" fontId="7" fillId="13" borderId="1" xfId="2" applyFont="1" applyFill="1" applyBorder="1" applyAlignment="1">
      <alignment horizontal="center" vertical="center"/>
    </xf>
    <xf numFmtId="0" fontId="8" fillId="13" borderId="1" xfId="1" applyFont="1" applyFill="1" applyBorder="1" applyAlignment="1"/>
    <xf numFmtId="0" fontId="7" fillId="13" borderId="2" xfId="2" applyFont="1" applyFill="1" applyBorder="1" applyAlignment="1">
      <alignment horizontal="center" vertical="center"/>
    </xf>
    <xf numFmtId="0" fontId="6" fillId="13" borderId="1" xfId="0" applyFont="1" applyFill="1" applyBorder="1" applyAlignment="1"/>
    <xf numFmtId="0" fontId="7" fillId="13" borderId="3" xfId="2" applyFont="1" applyFill="1" applyBorder="1" applyAlignment="1">
      <alignment horizontal="center" vertical="center"/>
    </xf>
    <xf numFmtId="0" fontId="6" fillId="13" borderId="4" xfId="0" applyFont="1" applyFill="1" applyBorder="1" applyAlignment="1"/>
    <xf numFmtId="0" fontId="7" fillId="13" borderId="5" xfId="2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/>
    </xf>
    <xf numFmtId="0" fontId="9" fillId="13" borderId="1" xfId="0" applyFont="1" applyFill="1" applyBorder="1" applyAlignment="1"/>
    <xf numFmtId="0" fontId="6" fillId="13" borderId="1" xfId="0" applyFont="1" applyFill="1" applyBorder="1" applyAlignment="1">
      <alignment horizontal="left" indent="1"/>
    </xf>
    <xf numFmtId="0" fontId="7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/>
    <xf numFmtId="0" fontId="7" fillId="13" borderId="1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left"/>
    </xf>
    <xf numFmtId="0" fontId="11" fillId="12" borderId="0" xfId="0" applyFont="1" applyFill="1" applyAlignment="1"/>
    <xf numFmtId="0" fontId="11" fillId="12" borderId="1" xfId="0" applyFont="1" applyFill="1" applyBorder="1" applyAlignment="1"/>
    <xf numFmtId="0" fontId="11" fillId="12" borderId="2" xfId="0" applyFont="1" applyFill="1" applyBorder="1" applyAlignment="1">
      <alignment horizontal="left" vertical="center"/>
    </xf>
    <xf numFmtId="0" fontId="11" fillId="12" borderId="3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7" xfId="0" applyFont="1" applyFill="1" applyBorder="1" applyAlignment="1">
      <alignment horizontal="left" vertical="center" wrapText="1"/>
    </xf>
  </cellXfs>
  <cellStyles count="4">
    <cellStyle name="Comma 2 2" xfId="3"/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  <cell r="AK4">
            <v>0</v>
          </cell>
          <cell r="AL4">
            <v>0</v>
          </cell>
          <cell r="AM4">
            <v>51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  <cell r="AH5">
            <v>3</v>
          </cell>
          <cell r="AI5">
            <v>3</v>
          </cell>
          <cell r="AK5">
            <v>65</v>
          </cell>
          <cell r="AL5">
            <v>65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  <cell r="AK6">
            <v>-6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 t="e">
            <v>#N/A</v>
          </cell>
          <cell r="AL7" t="e">
            <v>#N/A</v>
          </cell>
          <cell r="AM7" t="e">
            <v>#N/A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0</v>
          </cell>
          <cell r="AJ8">
            <v>1</v>
          </cell>
          <cell r="AM8">
            <v>25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 t="e">
            <v>#N/A</v>
          </cell>
          <cell r="AL11" t="e">
            <v>#N/A</v>
          </cell>
          <cell r="AM11" t="e">
            <v>#N/A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  <cell r="AK14">
            <v>2744</v>
          </cell>
          <cell r="AL14">
            <v>2744</v>
          </cell>
          <cell r="AM14">
            <v>4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5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-1</v>
          </cell>
          <cell r="AJ23">
            <v>1</v>
          </cell>
          <cell r="AM23">
            <v>2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  <cell r="AK24">
            <v>0</v>
          </cell>
          <cell r="AL24">
            <v>0</v>
          </cell>
          <cell r="AM24">
            <v>12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  <cell r="AK26">
            <v>992</v>
          </cell>
          <cell r="AL26">
            <v>992</v>
          </cell>
          <cell r="AM26">
            <v>61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  <cell r="AH27">
            <v>209</v>
          </cell>
          <cell r="AI27">
            <v>209</v>
          </cell>
          <cell r="AK27">
            <v>1044</v>
          </cell>
          <cell r="AL27">
            <v>1044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  <cell r="AK28">
            <v>1837</v>
          </cell>
          <cell r="AL28">
            <v>1837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  <cell r="AK29">
            <v>1836</v>
          </cell>
          <cell r="AL29">
            <v>1836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-1</v>
          </cell>
          <cell r="AJ30">
            <v>2</v>
          </cell>
          <cell r="AM30">
            <v>20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37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  <cell r="AK32">
            <v>412</v>
          </cell>
          <cell r="AL32">
            <v>412</v>
          </cell>
          <cell r="AM32">
            <v>27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  <cell r="AK33">
            <v>412</v>
          </cell>
          <cell r="AL33">
            <v>412</v>
          </cell>
          <cell r="AM33">
            <v>83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  <cell r="AK34">
            <v>453</v>
          </cell>
          <cell r="AL34">
            <v>453</v>
          </cell>
          <cell r="AM34">
            <v>11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  <cell r="AH35">
            <v>237</v>
          </cell>
          <cell r="AI35">
            <v>237</v>
          </cell>
          <cell r="AK35">
            <v>1134</v>
          </cell>
          <cell r="AL35">
            <v>1134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  <cell r="AK36">
            <v>0</v>
          </cell>
          <cell r="AL36">
            <v>0</v>
          </cell>
          <cell r="AM36">
            <v>207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-1</v>
          </cell>
          <cell r="AJ37">
            <v>2</v>
          </cell>
          <cell r="AM37">
            <v>18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  <cell r="AK40">
            <v>184</v>
          </cell>
          <cell r="AL40">
            <v>184</v>
          </cell>
          <cell r="AM40">
            <v>4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-1</v>
          </cell>
          <cell r="AJ41">
            <v>0</v>
          </cell>
          <cell r="AM41">
            <v>-1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  <cell r="AH42">
            <v>213</v>
          </cell>
          <cell r="AI42">
            <v>419</v>
          </cell>
          <cell r="AK42">
            <v>7323</v>
          </cell>
          <cell r="AL42">
            <v>22606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  <cell r="AH46">
            <v>0</v>
          </cell>
          <cell r="AI46">
            <v>6</v>
          </cell>
          <cell r="AK46">
            <v>0</v>
          </cell>
          <cell r="AL46">
            <v>95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  <cell r="AH47">
            <v>0</v>
          </cell>
          <cell r="AI47">
            <v>0</v>
          </cell>
          <cell r="AK47">
            <v>0</v>
          </cell>
          <cell r="AL47">
            <v>2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  <cell r="AK48">
            <v>0</v>
          </cell>
          <cell r="AL48">
            <v>1024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  <cell r="AH58">
            <v>0</v>
          </cell>
          <cell r="AI58">
            <v>60</v>
          </cell>
          <cell r="AK58">
            <v>0</v>
          </cell>
          <cell r="AL58">
            <v>1374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  <cell r="AH59">
            <v>0</v>
          </cell>
          <cell r="AI59">
            <v>63</v>
          </cell>
          <cell r="AK59">
            <v>0</v>
          </cell>
          <cell r="AL59">
            <v>1709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  <cell r="AH61">
            <v>0</v>
          </cell>
          <cell r="AI61">
            <v>66</v>
          </cell>
          <cell r="AK61">
            <v>0</v>
          </cell>
          <cell r="AL61">
            <v>1619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  <cell r="AH62">
            <v>0</v>
          </cell>
          <cell r="AI62">
            <v>9</v>
          </cell>
          <cell r="AK62">
            <v>0</v>
          </cell>
          <cell r="AL62">
            <v>334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  <cell r="AH65">
            <v>0</v>
          </cell>
          <cell r="AI65">
            <v>16</v>
          </cell>
          <cell r="AK65">
            <v>0</v>
          </cell>
          <cell r="AL65">
            <v>1216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  <cell r="AH70">
            <v>1220</v>
          </cell>
          <cell r="AI70">
            <v>1220</v>
          </cell>
          <cell r="AK70">
            <v>5195</v>
          </cell>
          <cell r="AL70">
            <v>5195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  <cell r="AH74">
            <v>0</v>
          </cell>
          <cell r="AI74">
            <v>9</v>
          </cell>
          <cell r="AK74">
            <v>162</v>
          </cell>
          <cell r="AL74">
            <v>1900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  <cell r="AH75">
            <v>0</v>
          </cell>
          <cell r="AI75">
            <v>0</v>
          </cell>
          <cell r="AK75">
            <v>16</v>
          </cell>
          <cell r="AL75">
            <v>188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  <cell r="AH76">
            <v>0</v>
          </cell>
          <cell r="AI76">
            <v>0</v>
          </cell>
          <cell r="AK76">
            <v>10</v>
          </cell>
          <cell r="AL76">
            <v>116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  <cell r="AH77">
            <v>0</v>
          </cell>
          <cell r="AI77">
            <v>25</v>
          </cell>
          <cell r="AK77">
            <v>0</v>
          </cell>
          <cell r="AL77">
            <v>6836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  <cell r="AH78">
            <v>0</v>
          </cell>
          <cell r="AI78">
            <v>0</v>
          </cell>
          <cell r="AK78">
            <v>0</v>
          </cell>
          <cell r="AL78">
            <v>1007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  <cell r="AH80">
            <v>0</v>
          </cell>
          <cell r="AI80">
            <v>0</v>
          </cell>
          <cell r="AK80">
            <v>0</v>
          </cell>
          <cell r="AL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0"/>
  <sheetViews>
    <sheetView tabSelected="1" topLeftCell="D64" zoomScale="85" zoomScaleNormal="85" workbookViewId="0">
      <selection activeCell="J68" sqref="J68"/>
    </sheetView>
  </sheetViews>
  <sheetFormatPr defaultColWidth="9.81640625" defaultRowHeight="14.5"/>
  <cols>
    <col min="1" max="3" width="4.81640625" style="1" hidden="1" customWidth="1"/>
    <col min="4" max="4" width="16.1796875" style="1" customWidth="1"/>
    <col min="5" max="5" width="69.26953125" style="1" customWidth="1"/>
    <col min="6" max="6" width="8.7265625" style="1" customWidth="1"/>
    <col min="7" max="7" width="8" style="1" customWidth="1"/>
    <col min="8" max="8" width="8.7265625" style="1" customWidth="1"/>
    <col min="9" max="9" width="7.54296875" style="1" customWidth="1"/>
    <col min="10" max="10" width="66.81640625" style="1" customWidth="1"/>
    <col min="11" max="16379" width="9.81640625" style="1"/>
  </cols>
  <sheetData>
    <row r="1" spans="1:10" s="1" customFormat="1" ht="20">
      <c r="E1" s="24" t="s">
        <v>0</v>
      </c>
    </row>
    <row r="2" spans="1:10" s="1" customFormat="1">
      <c r="A2" s="2" t="s">
        <v>1</v>
      </c>
      <c r="B2" s="2"/>
      <c r="C2" s="2"/>
      <c r="F2" s="3"/>
      <c r="G2" s="3"/>
      <c r="H2" s="3"/>
      <c r="I2" s="3"/>
    </row>
    <row r="3" spans="1:10" s="1" customFormat="1" ht="31.5">
      <c r="A3" s="4" t="s">
        <v>2</v>
      </c>
      <c r="B3" s="4" t="s">
        <v>3</v>
      </c>
      <c r="C3" s="4" t="s">
        <v>4</v>
      </c>
      <c r="D3" s="25"/>
      <c r="E3" s="26"/>
      <c r="F3" s="27" t="s">
        <v>5</v>
      </c>
      <c r="G3" s="27" t="s">
        <v>6</v>
      </c>
      <c r="H3" s="27" t="s">
        <v>7</v>
      </c>
      <c r="I3" s="28" t="s">
        <v>8</v>
      </c>
    </row>
    <row r="4" spans="1:10" s="1" customFormat="1">
      <c r="A4" s="5" t="s">
        <v>9</v>
      </c>
      <c r="B4" s="6">
        <v>0</v>
      </c>
      <c r="C4" s="6">
        <v>0</v>
      </c>
      <c r="D4" s="29" t="s">
        <v>10</v>
      </c>
      <c r="E4" s="30" t="s">
        <v>11</v>
      </c>
      <c r="F4" s="7">
        <f>IF(Chosen_Scenario="Mitigation Impact Only",VLOOKUP($C4,'[2]LiST Outputs WITH M.'!$AA$4:$AM$82,8,FALSE)+'[2]LiST Outputs WITH M.'!AH5+'[2]LiST Outputs WITH M.'!AH6,VLOOKUP($C4,'[2]LiST Outputs WITH M.'!$AA$4:$AM$82,11,FALSE)+'[2]LiST Outputs WITH M.'!AK5+'[2]LiST Outputs WITH M.'!AK6)</f>
        <v>3</v>
      </c>
      <c r="G4" s="7">
        <f>IF(Chosen_Scenario="Mitigation Impact Only",VLOOKUP($C4,'[2]LiST Outputs WITH M.'!$AA$4:$AM$82,9,FALSE)+'[2]LiST Outputs WITH M.'!AI5+'[2]LiST Outputs WITH M.'!AI6,VLOOKUP($C4,'[2]LiST Outputs WITH M.'!$AA$4:$AM$82,12,FALSE)+'[2]LiST Outputs WITH M.'!AL5+'[2]LiST Outputs WITH M.'!AL6)</f>
        <v>3</v>
      </c>
      <c r="H4" s="7">
        <f>IF(Chosen_Scenario="Mitigation Impact Only",VLOOKUP($C4,'[2]LiST Outputs WITH M.'!$AA$4:$AM$82,10,FALSE)+'[2]LiST Outputs WITH M.'!AJ5+'[2]LiST Outputs WITH M.'!AJ6,VLOOKUP($C4,'[2]LiST Outputs WITH M.'!$AA$4:$AM$82,13,FALSE)+'[2]LiST Outputs WITH M.'!AM5+'[2]LiST Outputs WITH M.'!AM6)</f>
        <v>4</v>
      </c>
      <c r="I4" s="7">
        <f t="shared" ref="I4:I39" si="0">SUM(G4:H4)</f>
        <v>7</v>
      </c>
      <c r="J4" s="45" t="s">
        <v>12</v>
      </c>
    </row>
    <row r="5" spans="1:10" s="1" customFormat="1">
      <c r="A5" s="5" t="s">
        <v>9</v>
      </c>
      <c r="B5" s="8">
        <v>9</v>
      </c>
      <c r="C5" s="8">
        <v>14</v>
      </c>
      <c r="D5" s="31" t="s">
        <v>13</v>
      </c>
      <c r="E5" s="32" t="s">
        <v>14</v>
      </c>
      <c r="F5" s="7">
        <f>IF(Chosen_Scenario="Mitigation Impact Only",VLOOKUP($C5,'[2]LiST Outputs WITH M.'!$AA$4:$AM$82,8,FALSE),VLOOKUP($C5,'[2]LiST Outputs WITH M.'!$AA$4:$AM$82,11,FALSE))</f>
        <v>0</v>
      </c>
      <c r="G5" s="7">
        <f>IF(Chosen_Scenario="Mitigation Impact Only",VLOOKUP($C5,'[2]LiST Outputs WITH M.'!$AA$4:$AM$82,9,FALSE),VLOOKUP($C5,'[2]LiST Outputs WITH M.'!$AA$4:$AM$82,12,FALSE))</f>
        <v>0</v>
      </c>
      <c r="H5" s="7">
        <f>IF(Chosen_Scenario="Mitigation Impact Only",VLOOKUP($C5,'[2]LiST Outputs WITH M.'!$AA$4:$AM$82,10,FALSE),VLOOKUP($C5,'[2]LiST Outputs WITH M.'!$AA$4:$AM$82,13,FALSE))</f>
        <v>0</v>
      </c>
      <c r="I5" s="7">
        <f t="shared" si="0"/>
        <v>0</v>
      </c>
    </row>
    <row r="6" spans="1:10" s="1" customFormat="1">
      <c r="A6" s="5" t="s">
        <v>9</v>
      </c>
      <c r="B6" s="8">
        <v>10</v>
      </c>
      <c r="C6" s="8">
        <v>15</v>
      </c>
      <c r="D6" s="31"/>
      <c r="E6" s="32" t="s">
        <v>15</v>
      </c>
      <c r="F6" s="7">
        <f>IF(Chosen_Scenario="Mitigation Impact Only",VLOOKUP($C6,'[2]LiST Outputs WITH M.'!$AA$4:$AM$82,8,FALSE),VLOOKUP($C6,'[2]LiST Outputs WITH M.'!$AA$4:$AM$82,11,FALSE))</f>
        <v>0</v>
      </c>
      <c r="G6" s="7">
        <f>IF(Chosen_Scenario="Mitigation Impact Only",VLOOKUP($C6,'[2]LiST Outputs WITH M.'!$AA$4:$AM$82,9,FALSE),VLOOKUP($C6,'[2]LiST Outputs WITH M.'!$AA$4:$AM$82,12,FALSE))</f>
        <v>0</v>
      </c>
      <c r="H6" s="7">
        <f>IF(Chosen_Scenario="Mitigation Impact Only",VLOOKUP($C6,'[2]LiST Outputs WITH M.'!$AA$4:$AM$82,10,FALSE),VLOOKUP($C6,'[2]LiST Outputs WITH M.'!$AA$4:$AM$82,13,FALSE))</f>
        <v>0</v>
      </c>
      <c r="I6" s="7">
        <f t="shared" si="0"/>
        <v>0</v>
      </c>
    </row>
    <row r="7" spans="1:10" s="1" customFormat="1">
      <c r="A7" s="5" t="str">
        <f>IF(VLOOKUP(B7,'[2]1. Select Services'!$A$6:$E$77,5,FALSE)="x","x","")</f>
        <v>x</v>
      </c>
      <c r="B7" s="8">
        <v>11</v>
      </c>
      <c r="C7" s="8">
        <v>16</v>
      </c>
      <c r="D7" s="31"/>
      <c r="E7" s="32" t="s">
        <v>16</v>
      </c>
      <c r="F7" s="7">
        <f>IF(Chosen_Scenario="Mitigation Impact Only",VLOOKUP($C7,'[2]LiST Outputs WITH M.'!$AA$4:$AM$82,8,FALSE),VLOOKUP($C7,'[2]LiST Outputs WITH M.'!$AA$4:$AM$82,11,FALSE))</f>
        <v>80</v>
      </c>
      <c r="G7" s="7">
        <f>IF(Chosen_Scenario="Mitigation Impact Only",VLOOKUP($C7,'[2]LiST Outputs WITH M.'!$AA$4:$AM$82,9,FALSE),VLOOKUP($C7,'[2]LiST Outputs WITH M.'!$AA$4:$AM$82,12,FALSE))</f>
        <v>80</v>
      </c>
      <c r="H7" s="7">
        <f>IF(Chosen_Scenario="Mitigation Impact Only",VLOOKUP($C7,'[2]LiST Outputs WITH M.'!$AA$4:$AM$82,10,FALSE),VLOOKUP($C7,'[2]LiST Outputs WITH M.'!$AA$4:$AM$82,13,FALSE))</f>
        <v>1</v>
      </c>
      <c r="I7" s="7">
        <f t="shared" si="0"/>
        <v>81</v>
      </c>
    </row>
    <row r="8" spans="1:10" s="1" customFormat="1">
      <c r="A8" s="5" t="str">
        <f>IF(VLOOKUP(B8,'[2]1. Select Services'!$A$6:$E$77,5,FALSE)="x","x","")</f>
        <v>x</v>
      </c>
      <c r="B8" s="8">
        <v>12</v>
      </c>
      <c r="C8" s="8">
        <v>17</v>
      </c>
      <c r="D8" s="31"/>
      <c r="E8" s="32" t="s">
        <v>17</v>
      </c>
      <c r="F8" s="7">
        <f>IF(Chosen_Scenario="Mitigation Impact Only",VLOOKUP($C8,'[2]LiST Outputs WITH M.'!$AA$4:$AM$82,8,FALSE),VLOOKUP($C8,'[2]LiST Outputs WITH M.'!$AA$4:$AM$82,11,FALSE))</f>
        <v>0</v>
      </c>
      <c r="G8" s="7">
        <f>IF(Chosen_Scenario="Mitigation Impact Only",VLOOKUP($C8,'[2]LiST Outputs WITH M.'!$AA$4:$AM$82,9,FALSE),VLOOKUP($C8,'[2]LiST Outputs WITH M.'!$AA$4:$AM$82,12,FALSE))</f>
        <v>0</v>
      </c>
      <c r="H8" s="7">
        <f>IF(Chosen_Scenario="Mitigation Impact Only",VLOOKUP($C8,'[2]LiST Outputs WITH M.'!$AA$4:$AM$82,10,FALSE),VLOOKUP($C8,'[2]LiST Outputs WITH M.'!$AA$4:$AM$82,13,FALSE))</f>
        <v>0</v>
      </c>
      <c r="I8" s="7">
        <f t="shared" si="0"/>
        <v>0</v>
      </c>
    </row>
    <row r="9" spans="1:10" s="1" customFormat="1">
      <c r="A9" s="5" t="str">
        <f>IF(VLOOKUP(B9,'[2]1. Select Services'!$A$6:$E$77,5,FALSE)="x","x","")</f>
        <v>x</v>
      </c>
      <c r="B9" s="8">
        <v>13</v>
      </c>
      <c r="C9" s="8">
        <v>18</v>
      </c>
      <c r="D9" s="31"/>
      <c r="E9" s="32" t="s">
        <v>18</v>
      </c>
      <c r="F9" s="7">
        <f>IF(Chosen_Scenario="Mitigation Impact Only",VLOOKUP($C9,'[2]LiST Outputs WITH M.'!$AA$4:$AM$82,8,FALSE),VLOOKUP($C9,'[2]LiST Outputs WITH M.'!$AA$4:$AM$82,11,FALSE))</f>
        <v>0</v>
      </c>
      <c r="G9" s="7">
        <f>IF(Chosen_Scenario="Mitigation Impact Only",VLOOKUP($C9,'[2]LiST Outputs WITH M.'!$AA$4:$AM$82,9,FALSE),VLOOKUP($C9,'[2]LiST Outputs WITH M.'!$AA$4:$AM$82,12,FALSE))</f>
        <v>0</v>
      </c>
      <c r="H9" s="7">
        <f>IF(Chosen_Scenario="Mitigation Impact Only",VLOOKUP($C9,'[2]LiST Outputs WITH M.'!$AA$4:$AM$82,10,FALSE),VLOOKUP($C9,'[2]LiST Outputs WITH M.'!$AA$4:$AM$82,13,FALSE))</f>
        <v>0</v>
      </c>
      <c r="I9" s="7">
        <f t="shared" si="0"/>
        <v>0</v>
      </c>
    </row>
    <row r="10" spans="1:10" s="1" customFormat="1">
      <c r="A10" s="5" t="str">
        <f>IF(VLOOKUP(B10,'[2]1. Select Services'!$A$6:$E$77,5,FALSE)="x","x","")</f>
        <v/>
      </c>
      <c r="B10" s="8">
        <v>14</v>
      </c>
      <c r="C10" s="8">
        <v>19</v>
      </c>
      <c r="D10" s="31"/>
      <c r="E10" s="32" t="s">
        <v>19</v>
      </c>
      <c r="F10" s="7">
        <f>IF(Chosen_Scenario="Mitigation Impact Only",VLOOKUP($C10,'[2]LiST Outputs WITH M.'!$AA$4:$AM$82,8,FALSE),VLOOKUP($C10,'[2]LiST Outputs WITH M.'!$AA$4:$AM$82,11,FALSE))</f>
        <v>0</v>
      </c>
      <c r="G10" s="7">
        <f>IF(Chosen_Scenario="Mitigation Impact Only",VLOOKUP($C10,'[2]LiST Outputs WITH M.'!$AA$4:$AM$82,9,FALSE),VLOOKUP($C10,'[2]LiST Outputs WITH M.'!$AA$4:$AM$82,12,FALSE))</f>
        <v>0</v>
      </c>
      <c r="H10" s="7">
        <f>IF(Chosen_Scenario="Mitigation Impact Only",VLOOKUP($C10,'[2]LiST Outputs WITH M.'!$AA$4:$AM$82,10,FALSE),VLOOKUP($C10,'[2]LiST Outputs WITH M.'!$AA$4:$AM$82,13,FALSE))</f>
        <v>0</v>
      </c>
      <c r="I10" s="7">
        <f t="shared" si="0"/>
        <v>0</v>
      </c>
    </row>
    <row r="11" spans="1:10" s="1" customFormat="1">
      <c r="A11" s="5" t="str">
        <f>IF(VLOOKUP(B11,'[2]1. Select Services'!$A$6:$E$77,5,FALSE)="x","x","")</f>
        <v>x</v>
      </c>
      <c r="B11" s="8">
        <v>15</v>
      </c>
      <c r="C11" s="8">
        <v>20</v>
      </c>
      <c r="D11" s="31"/>
      <c r="E11" s="32" t="s">
        <v>20</v>
      </c>
      <c r="F11" s="7">
        <f>IF(Chosen_Scenario="Mitigation Impact Only",VLOOKUP($C11,'[2]LiST Outputs WITH M.'!$AA$4:$AM$82,8,FALSE),VLOOKUP($C11,'[2]LiST Outputs WITH M.'!$AA$4:$AM$82,11,FALSE))</f>
        <v>0</v>
      </c>
      <c r="G11" s="7">
        <f>IF(Chosen_Scenario="Mitigation Impact Only",VLOOKUP($C11,'[2]LiST Outputs WITH M.'!$AA$4:$AM$82,9,FALSE),VLOOKUP($C11,'[2]LiST Outputs WITH M.'!$AA$4:$AM$82,12,FALSE))</f>
        <v>0</v>
      </c>
      <c r="H11" s="7">
        <f>IF(Chosen_Scenario="Mitigation Impact Only",VLOOKUP($C11,'[2]LiST Outputs WITH M.'!$AA$4:$AM$82,10,FALSE),VLOOKUP($C11,'[2]LiST Outputs WITH M.'!$AA$4:$AM$82,13,FALSE))</f>
        <v>0</v>
      </c>
      <c r="I11" s="7">
        <f t="shared" si="0"/>
        <v>0</v>
      </c>
    </row>
    <row r="12" spans="1:10" s="1" customFormat="1">
      <c r="A12" s="5" t="str">
        <f>IF(VLOOKUP(B12,'[2]1. Select Services'!$A$6:$E$77,5,FALSE)="x","x","")</f>
        <v>x</v>
      </c>
      <c r="B12" s="8">
        <v>16</v>
      </c>
      <c r="C12" s="8">
        <v>21</v>
      </c>
      <c r="D12" s="31"/>
      <c r="E12" s="32" t="s">
        <v>21</v>
      </c>
      <c r="F12" s="7">
        <f>IF(Chosen_Scenario="Mitigation Impact Only",VLOOKUP($C12,'[2]LiST Outputs WITH M.'!$AA$4:$AM$82,8,FALSE),VLOOKUP($C12,'[2]LiST Outputs WITH M.'!$AA$4:$AM$82,11,FALSE))</f>
        <v>0</v>
      </c>
      <c r="G12" s="7">
        <f>IF(Chosen_Scenario="Mitigation Impact Only",VLOOKUP($C12,'[2]LiST Outputs WITH M.'!$AA$4:$AM$82,9,FALSE),VLOOKUP($C12,'[2]LiST Outputs WITH M.'!$AA$4:$AM$82,12,FALSE))</f>
        <v>0</v>
      </c>
      <c r="H12" s="7">
        <f>IF(Chosen_Scenario="Mitigation Impact Only",VLOOKUP($C12,'[2]LiST Outputs WITH M.'!$AA$4:$AM$82,10,FALSE),VLOOKUP($C12,'[2]LiST Outputs WITH M.'!$AA$4:$AM$82,13,FALSE))</f>
        <v>0</v>
      </c>
      <c r="I12" s="7">
        <f t="shared" si="0"/>
        <v>0</v>
      </c>
    </row>
    <row r="13" spans="1:10" s="1" customFormat="1">
      <c r="A13" s="5" t="str">
        <f>IF(VLOOKUP(B13,'[2]1. Select Services'!$A$6:$E$77,5,FALSE)="x","x","")</f>
        <v>x</v>
      </c>
      <c r="B13" s="8">
        <v>17</v>
      </c>
      <c r="C13" s="8">
        <v>22</v>
      </c>
      <c r="D13" s="31"/>
      <c r="E13" s="32" t="s">
        <v>22</v>
      </c>
      <c r="F13" s="7">
        <f>IF(Chosen_Scenario="Mitigation Impact Only",VLOOKUP($C13,'[2]LiST Outputs WITH M.'!$AA$4:$AM$82,8,FALSE),VLOOKUP($C13,'[2]LiST Outputs WITH M.'!$AA$4:$AM$82,11,FALSE))</f>
        <v>0</v>
      </c>
      <c r="G13" s="7">
        <f>IF(Chosen_Scenario="Mitigation Impact Only",VLOOKUP($C13,'[2]LiST Outputs WITH M.'!$AA$4:$AM$82,9,FALSE),VLOOKUP($C13,'[2]LiST Outputs WITH M.'!$AA$4:$AM$82,12,FALSE))</f>
        <v>0</v>
      </c>
      <c r="H13" s="7">
        <f>IF(Chosen_Scenario="Mitigation Impact Only",VLOOKUP($C13,'[2]LiST Outputs WITH M.'!$AA$4:$AM$82,10,FALSE),VLOOKUP($C13,'[2]LiST Outputs WITH M.'!$AA$4:$AM$82,13,FALSE))</f>
        <v>0</v>
      </c>
      <c r="I13" s="7">
        <f t="shared" si="0"/>
        <v>0</v>
      </c>
    </row>
    <row r="14" spans="1:10" s="1" customFormat="1">
      <c r="A14" s="5" t="str">
        <f>IF(VLOOKUP(B14,'[2]1. Select Services'!$A$6:$E$77,5,FALSE)="x","x","")</f>
        <v>x</v>
      </c>
      <c r="B14" s="8">
        <v>18</v>
      </c>
      <c r="C14" s="8">
        <v>23</v>
      </c>
      <c r="D14" s="31"/>
      <c r="E14" s="32" t="s">
        <v>23</v>
      </c>
      <c r="F14" s="7">
        <f>IF(Chosen_Scenario="Mitigation Impact Only",VLOOKUP($C14,'[2]LiST Outputs WITH M.'!$AA$4:$AM$82,8,FALSE),VLOOKUP($C14,'[2]LiST Outputs WITH M.'!$AA$4:$AM$82,11,FALSE))</f>
        <v>0</v>
      </c>
      <c r="G14" s="7">
        <f>IF(Chosen_Scenario="Mitigation Impact Only",VLOOKUP($C14,'[2]LiST Outputs WITH M.'!$AA$4:$AM$82,9,FALSE),VLOOKUP($C14,'[2]LiST Outputs WITH M.'!$AA$4:$AM$82,12,FALSE))</f>
        <v>0</v>
      </c>
      <c r="H14" s="7">
        <f>IF(Chosen_Scenario="Mitigation Impact Only",VLOOKUP($C14,'[2]LiST Outputs WITH M.'!$AA$4:$AM$82,10,FALSE),VLOOKUP($C14,'[2]LiST Outputs WITH M.'!$AA$4:$AM$82,13,FALSE))</f>
        <v>3</v>
      </c>
      <c r="I14" s="7">
        <f t="shared" si="0"/>
        <v>3</v>
      </c>
    </row>
    <row r="15" spans="1:10" s="1" customFormat="1">
      <c r="A15" s="5" t="str">
        <f>IF(VLOOKUP(B15,'[2]1. Select Services'!$A$6:$E$77,5,FALSE)="x","x","")</f>
        <v>x</v>
      </c>
      <c r="B15" s="8">
        <v>19</v>
      </c>
      <c r="C15" s="8">
        <v>24</v>
      </c>
      <c r="D15" s="31"/>
      <c r="E15" s="32" t="s">
        <v>24</v>
      </c>
      <c r="F15" s="7">
        <f>IF(Chosen_Scenario="Mitigation Impact Only",VLOOKUP($C15,'[2]LiST Outputs WITH M.'!$AA$4:$AM$82,8,FALSE),VLOOKUP($C15,'[2]LiST Outputs WITH M.'!$AA$4:$AM$82,11,FALSE))</f>
        <v>0</v>
      </c>
      <c r="G15" s="7">
        <f>IF(Chosen_Scenario="Mitigation Impact Only",VLOOKUP($C15,'[2]LiST Outputs WITH M.'!$AA$4:$AM$82,9,FALSE),VLOOKUP($C15,'[2]LiST Outputs WITH M.'!$AA$4:$AM$82,12,FALSE))</f>
        <v>0</v>
      </c>
      <c r="H15" s="7">
        <f>IF(Chosen_Scenario="Mitigation Impact Only",VLOOKUP($C15,'[2]LiST Outputs WITH M.'!$AA$4:$AM$82,10,FALSE),VLOOKUP($C15,'[2]LiST Outputs WITH M.'!$AA$4:$AM$82,13,FALSE))</f>
        <v>0</v>
      </c>
      <c r="I15" s="7">
        <f t="shared" si="0"/>
        <v>0</v>
      </c>
    </row>
    <row r="16" spans="1:10" s="1" customFormat="1">
      <c r="A16" s="5" t="str">
        <f>IF(VLOOKUP(B16,'[2]1. Select Services'!$A$6:$E$77,5,FALSE)="x","x","")</f>
        <v>x</v>
      </c>
      <c r="B16" s="8">
        <v>20</v>
      </c>
      <c r="C16" s="8">
        <v>25</v>
      </c>
      <c r="D16" s="31"/>
      <c r="E16" s="32" t="s">
        <v>25</v>
      </c>
      <c r="F16" s="7">
        <f>IF(Chosen_Scenario="Mitigation Impact Only",VLOOKUP($C16,'[2]LiST Outputs WITH M.'!$AA$4:$AM$82,8,FALSE),VLOOKUP($C16,'[2]LiST Outputs WITH M.'!$AA$4:$AM$82,11,FALSE))</f>
        <v>0</v>
      </c>
      <c r="G16" s="7">
        <f>IF(Chosen_Scenario="Mitigation Impact Only",VLOOKUP($C16,'[2]LiST Outputs WITH M.'!$AA$4:$AM$82,9,FALSE),VLOOKUP($C16,'[2]LiST Outputs WITH M.'!$AA$4:$AM$82,12,FALSE))</f>
        <v>0</v>
      </c>
      <c r="H16" s="7">
        <f>IF(Chosen_Scenario="Mitigation Impact Only",VLOOKUP($C16,'[2]LiST Outputs WITH M.'!$AA$4:$AM$82,10,FALSE),VLOOKUP($C16,'[2]LiST Outputs WITH M.'!$AA$4:$AM$82,13,FALSE))</f>
        <v>1</v>
      </c>
      <c r="I16" s="7">
        <f t="shared" si="0"/>
        <v>1</v>
      </c>
    </row>
    <row r="17" spans="1:9" s="1" customFormat="1">
      <c r="A17" s="5" t="str">
        <f>IF(VLOOKUP(B17,'[2]1. Select Services'!$A$6:$E$77,5,FALSE)="x","x","")</f>
        <v>x</v>
      </c>
      <c r="B17" s="8">
        <v>21</v>
      </c>
      <c r="C17" s="8">
        <v>26</v>
      </c>
      <c r="D17" s="31"/>
      <c r="E17" s="32" t="s">
        <v>26</v>
      </c>
      <c r="F17" s="7">
        <f>IF(Chosen_Scenario="Mitigation Impact Only",VLOOKUP($C17,'[2]LiST Outputs WITH M.'!$AA$4:$AM$82,8,FALSE),VLOOKUP($C17,'[2]LiST Outputs WITH M.'!$AA$4:$AM$82,11,FALSE))</f>
        <v>0</v>
      </c>
      <c r="G17" s="7">
        <f>IF(Chosen_Scenario="Mitigation Impact Only",VLOOKUP($C17,'[2]LiST Outputs WITH M.'!$AA$4:$AM$82,9,FALSE),VLOOKUP($C17,'[2]LiST Outputs WITH M.'!$AA$4:$AM$82,12,FALSE))</f>
        <v>0</v>
      </c>
      <c r="H17" s="7">
        <f>IF(Chosen_Scenario="Mitigation Impact Only",VLOOKUP($C17,'[2]LiST Outputs WITH M.'!$AA$4:$AM$82,10,FALSE),VLOOKUP($C17,'[2]LiST Outputs WITH M.'!$AA$4:$AM$82,13,FALSE))</f>
        <v>7</v>
      </c>
      <c r="I17" s="7">
        <f t="shared" si="0"/>
        <v>7</v>
      </c>
    </row>
    <row r="18" spans="1:9" s="1" customFormat="1">
      <c r="A18" s="5" t="s">
        <v>9</v>
      </c>
      <c r="B18" s="9">
        <v>22</v>
      </c>
      <c r="C18" s="9">
        <v>27</v>
      </c>
      <c r="D18" s="33" t="s">
        <v>27</v>
      </c>
      <c r="E18" s="34" t="s">
        <v>28</v>
      </c>
      <c r="F18" s="7">
        <f>IF(Chosen_Scenario="Mitigation Impact Only",VLOOKUP($C18,'[2]LiST Outputs WITH M.'!$AA$4:$AM$82,8,FALSE),VLOOKUP($C18,'[2]LiST Outputs WITH M.'!$AA$4:$AM$82,11,FALSE))</f>
        <v>0</v>
      </c>
      <c r="G18" s="7">
        <f>IF(Chosen_Scenario="Mitigation Impact Only",VLOOKUP($C18,'[2]LiST Outputs WITH M.'!$AA$4:$AM$82,9,FALSE),VLOOKUP($C18,'[2]LiST Outputs WITH M.'!$AA$4:$AM$82,12,FALSE))</f>
        <v>0</v>
      </c>
      <c r="H18" s="7">
        <f>IF(Chosen_Scenario="Mitigation Impact Only",VLOOKUP($C18,'[2]LiST Outputs WITH M.'!$AA$4:$AM$82,10,FALSE),VLOOKUP($C18,'[2]LiST Outputs WITH M.'!$AA$4:$AM$82,13,FALSE))</f>
        <v>0</v>
      </c>
      <c r="I18" s="7">
        <f t="shared" si="0"/>
        <v>0</v>
      </c>
    </row>
    <row r="19" spans="1:9" s="1" customFormat="1">
      <c r="A19" s="5" t="str">
        <f>IF(VLOOKUP(B19,'[2]1. Select Services'!$A$6:$E$77,5,FALSE)="x","x","")</f>
        <v>x</v>
      </c>
      <c r="B19" s="9">
        <v>23</v>
      </c>
      <c r="C19" s="9">
        <v>28</v>
      </c>
      <c r="D19" s="35"/>
      <c r="E19" s="34" t="s">
        <v>29</v>
      </c>
      <c r="F19" s="7">
        <f>IF(Chosen_Scenario="Mitigation Impact Only",VLOOKUP($C19,'[2]LiST Outputs WITH M.'!$AA$4:$AM$82,8,FALSE),VLOOKUP($C19,'[2]LiST Outputs WITH M.'!$AA$4:$AM$82,11,FALSE))</f>
        <v>38</v>
      </c>
      <c r="G19" s="7">
        <f>IF(Chosen_Scenario="Mitigation Impact Only",VLOOKUP($C19,'[2]LiST Outputs WITH M.'!$AA$4:$AM$82,9,FALSE),VLOOKUP($C19,'[2]LiST Outputs WITH M.'!$AA$4:$AM$82,12,FALSE))</f>
        <v>38</v>
      </c>
      <c r="H19" s="7">
        <f>IF(Chosen_Scenario="Mitigation Impact Only",VLOOKUP($C19,'[2]LiST Outputs WITH M.'!$AA$4:$AM$82,10,FALSE),VLOOKUP($C19,'[2]LiST Outputs WITH M.'!$AA$4:$AM$82,13,FALSE))</f>
        <v>1</v>
      </c>
      <c r="I19" s="7">
        <f t="shared" si="0"/>
        <v>39</v>
      </c>
    </row>
    <row r="20" spans="1:9" s="1" customFormat="1">
      <c r="A20" s="5" t="str">
        <f>IF(VLOOKUP(B20,'[2]1. Select Services'!$A$6:$E$77,5,FALSE)="x","x","")</f>
        <v>x</v>
      </c>
      <c r="B20" s="9">
        <v>24</v>
      </c>
      <c r="C20" s="9">
        <v>32</v>
      </c>
      <c r="D20" s="35"/>
      <c r="E20" s="34" t="s">
        <v>30</v>
      </c>
      <c r="F20" s="7">
        <f>IF(Chosen_Scenario="Mitigation Impact Only",VLOOKUP($C20,'[2]LiST Outputs WITH M.'!$AA$4:$AM$82,8,FALSE),VLOOKUP($C20,'[2]LiST Outputs WITH M.'!$AA$4:$AM$82,11,FALSE))</f>
        <v>0</v>
      </c>
      <c r="G20" s="7">
        <f>IF(Chosen_Scenario="Mitigation Impact Only",VLOOKUP($C20,'[2]LiST Outputs WITH M.'!$AA$4:$AM$82,9,FALSE),VLOOKUP($C20,'[2]LiST Outputs WITH M.'!$AA$4:$AM$82,12,FALSE))</f>
        <v>0</v>
      </c>
      <c r="H20" s="7">
        <f>IF(Chosen_Scenario="Mitigation Impact Only",VLOOKUP($C20,'[2]LiST Outputs WITH M.'!$AA$4:$AM$82,10,FALSE),VLOOKUP($C20,'[2]LiST Outputs WITH M.'!$AA$4:$AM$82,13,FALSE))</f>
        <v>2</v>
      </c>
      <c r="I20" s="7">
        <f t="shared" si="0"/>
        <v>2</v>
      </c>
    </row>
    <row r="21" spans="1:9" s="1" customFormat="1">
      <c r="A21" s="5" t="str">
        <f>IF(VLOOKUP(B21,'[2]1. Select Services'!$A$6:$E$77,5,FALSE)="x","x","")</f>
        <v>x</v>
      </c>
      <c r="B21" s="9">
        <v>25</v>
      </c>
      <c r="C21" s="9">
        <v>33</v>
      </c>
      <c r="D21" s="35"/>
      <c r="E21" s="34" t="s">
        <v>31</v>
      </c>
      <c r="F21" s="7">
        <f>IF(Chosen_Scenario="Mitigation Impact Only",VLOOKUP($C21,'[2]LiST Outputs WITH M.'!$AA$4:$AM$82,8,FALSE),VLOOKUP($C21,'[2]LiST Outputs WITH M.'!$AA$4:$AM$82,11,FALSE))</f>
        <v>0</v>
      </c>
      <c r="G21" s="7">
        <f>IF(Chosen_Scenario="Mitigation Impact Only",VLOOKUP($C21,'[2]LiST Outputs WITH M.'!$AA$4:$AM$82,9,FALSE),VLOOKUP($C21,'[2]LiST Outputs WITH M.'!$AA$4:$AM$82,12,FALSE))</f>
        <v>0</v>
      </c>
      <c r="H21" s="7">
        <f>IF(Chosen_Scenario="Mitigation Impact Only",VLOOKUP($C21,'[2]LiST Outputs WITH M.'!$AA$4:$AM$82,10,FALSE),VLOOKUP($C21,'[2]LiST Outputs WITH M.'!$AA$4:$AM$82,13,FALSE))</f>
        <v>0</v>
      </c>
      <c r="I21" s="7">
        <f t="shared" si="0"/>
        <v>0</v>
      </c>
    </row>
    <row r="22" spans="1:9" s="1" customFormat="1">
      <c r="A22" s="5" t="str">
        <f>IF(VLOOKUP(B22,'[2]1. Select Services'!$A$6:$E$77,5,FALSE)="x","x","")</f>
        <v>x</v>
      </c>
      <c r="B22" s="9">
        <v>26</v>
      </c>
      <c r="C22" s="9">
        <v>34</v>
      </c>
      <c r="D22" s="35"/>
      <c r="E22" s="34" t="s">
        <v>32</v>
      </c>
      <c r="F22" s="7">
        <f>IF(Chosen_Scenario="Mitigation Impact Only",VLOOKUP($C22,'[2]LiST Outputs WITH M.'!$AA$4:$AM$82,8,FALSE),VLOOKUP($C22,'[2]LiST Outputs WITH M.'!$AA$4:$AM$82,11,FALSE))</f>
        <v>21</v>
      </c>
      <c r="G22" s="7">
        <f>IF(Chosen_Scenario="Mitigation Impact Only",VLOOKUP($C22,'[2]LiST Outputs WITH M.'!$AA$4:$AM$82,9,FALSE),VLOOKUP($C22,'[2]LiST Outputs WITH M.'!$AA$4:$AM$82,12,FALSE))</f>
        <v>21</v>
      </c>
      <c r="H22" s="7">
        <f>IF(Chosen_Scenario="Mitigation Impact Only",VLOOKUP($C22,'[2]LiST Outputs WITH M.'!$AA$4:$AM$82,10,FALSE),VLOOKUP($C22,'[2]LiST Outputs WITH M.'!$AA$4:$AM$82,13,FALSE))</f>
        <v>1</v>
      </c>
      <c r="I22" s="7">
        <f t="shared" si="0"/>
        <v>22</v>
      </c>
    </row>
    <row r="23" spans="1:9" s="1" customFormat="1">
      <c r="A23" s="5" t="str">
        <f>IF(VLOOKUP(B23,'[2]1. Select Services'!$A$6:$E$77,5,FALSE)="x","x","")</f>
        <v>x</v>
      </c>
      <c r="B23" s="9">
        <v>27</v>
      </c>
      <c r="C23" s="9">
        <v>35</v>
      </c>
      <c r="D23" s="35"/>
      <c r="E23" s="34" t="s">
        <v>33</v>
      </c>
      <c r="F23" s="7">
        <f>IF(Chosen_Scenario="Mitigation Impact Only",VLOOKUP($C23,'[2]LiST Outputs WITH M.'!$AA$4:$AM$82,8,FALSE),VLOOKUP($C23,'[2]LiST Outputs WITH M.'!$AA$4:$AM$82,11,FALSE))</f>
        <v>21</v>
      </c>
      <c r="G23" s="7">
        <f>IF(Chosen_Scenario="Mitigation Impact Only",VLOOKUP($C23,'[2]LiST Outputs WITH M.'!$AA$4:$AM$82,9,FALSE),VLOOKUP($C23,'[2]LiST Outputs WITH M.'!$AA$4:$AM$82,12,FALSE))</f>
        <v>21</v>
      </c>
      <c r="H23" s="7">
        <f>IF(Chosen_Scenario="Mitigation Impact Only",VLOOKUP($C23,'[2]LiST Outputs WITH M.'!$AA$4:$AM$82,10,FALSE),VLOOKUP($C23,'[2]LiST Outputs WITH M.'!$AA$4:$AM$82,13,FALSE))</f>
        <v>3</v>
      </c>
      <c r="I23" s="7">
        <f t="shared" si="0"/>
        <v>24</v>
      </c>
    </row>
    <row r="24" spans="1:9" s="1" customFormat="1">
      <c r="A24" s="5" t="str">
        <f>IF(VLOOKUP(B24,'[2]1. Select Services'!$A$6:$E$77,5,FALSE)="x","x","")</f>
        <v>x</v>
      </c>
      <c r="B24" s="9">
        <v>28</v>
      </c>
      <c r="C24" s="9">
        <v>36</v>
      </c>
      <c r="D24" s="35"/>
      <c r="E24" s="34" t="s">
        <v>34</v>
      </c>
      <c r="F24" s="7">
        <f>IF(Chosen_Scenario="Mitigation Impact Only",VLOOKUP($C24,'[2]LiST Outputs WITH M.'!$AA$4:$AM$82,8,FALSE),VLOOKUP($C24,'[2]LiST Outputs WITH M.'!$AA$4:$AM$82,11,FALSE))</f>
        <v>26</v>
      </c>
      <c r="G24" s="7">
        <f>IF(Chosen_Scenario="Mitigation Impact Only",VLOOKUP($C24,'[2]LiST Outputs WITH M.'!$AA$4:$AM$82,9,FALSE),VLOOKUP($C24,'[2]LiST Outputs WITH M.'!$AA$4:$AM$82,12,FALSE))</f>
        <v>26</v>
      </c>
      <c r="H24" s="7">
        <f>IF(Chosen_Scenario="Mitigation Impact Only",VLOOKUP($C24,'[2]LiST Outputs WITH M.'!$AA$4:$AM$82,10,FALSE),VLOOKUP($C24,'[2]LiST Outputs WITH M.'!$AA$4:$AM$82,13,FALSE))</f>
        <v>0</v>
      </c>
      <c r="I24" s="7">
        <f t="shared" si="0"/>
        <v>26</v>
      </c>
    </row>
    <row r="25" spans="1:9" s="1" customFormat="1">
      <c r="A25" s="5" t="s">
        <v>9</v>
      </c>
      <c r="B25" s="9">
        <v>29</v>
      </c>
      <c r="C25" s="9">
        <v>38</v>
      </c>
      <c r="D25" s="35"/>
      <c r="E25" s="34" t="s">
        <v>35</v>
      </c>
      <c r="F25" s="7">
        <f>IF(Chosen_Scenario="Mitigation Impact Only",VLOOKUP($C25,'[2]LiST Outputs WITH M.'!$AA$4:$AM$82,8,FALSE),VLOOKUP($C25,'[2]LiST Outputs WITH M.'!$AA$4:$AM$82,11,FALSE))</f>
        <v>0</v>
      </c>
      <c r="G25" s="7">
        <f>IF(Chosen_Scenario="Mitigation Impact Only",VLOOKUP($C25,'[2]LiST Outputs WITH M.'!$AA$4:$AM$82,9,FALSE),VLOOKUP($C25,'[2]LiST Outputs WITH M.'!$AA$4:$AM$82,12,FALSE))</f>
        <v>0</v>
      </c>
      <c r="H25" s="7">
        <f>IF(Chosen_Scenario="Mitigation Impact Only",VLOOKUP($C25,'[2]LiST Outputs WITH M.'!$AA$4:$AM$82,10,FALSE),VLOOKUP($C25,'[2]LiST Outputs WITH M.'!$AA$4:$AM$82,13,FALSE))</f>
        <v>27</v>
      </c>
      <c r="I25" s="7">
        <f t="shared" si="0"/>
        <v>27</v>
      </c>
    </row>
    <row r="26" spans="1:9" s="1" customFormat="1">
      <c r="A26" s="5" t="str">
        <f>IF(VLOOKUP(B26,'[2]1. Select Services'!$A$6:$E$77,5,FALSE)="x","x","")</f>
        <v>x</v>
      </c>
      <c r="B26" s="9">
        <v>30</v>
      </c>
      <c r="C26" s="9">
        <v>39</v>
      </c>
      <c r="D26" s="35"/>
      <c r="E26" s="34" t="s">
        <v>36</v>
      </c>
      <c r="F26" s="7">
        <f>IF(Chosen_Scenario="Mitigation Impact Only",VLOOKUP($C26,'[2]LiST Outputs WITH M.'!$AA$4:$AM$82,8,FALSE),VLOOKUP($C26,'[2]LiST Outputs WITH M.'!$AA$4:$AM$82,11,FALSE))</f>
        <v>0</v>
      </c>
      <c r="G26" s="7">
        <f>IF(Chosen_Scenario="Mitigation Impact Only",VLOOKUP($C26,'[2]LiST Outputs WITH M.'!$AA$4:$AM$82,9,FALSE),VLOOKUP($C26,'[2]LiST Outputs WITH M.'!$AA$4:$AM$82,12,FALSE))</f>
        <v>0</v>
      </c>
      <c r="H26" s="7">
        <f>IF(Chosen_Scenario="Mitigation Impact Only",VLOOKUP($C26,'[2]LiST Outputs WITH M.'!$AA$4:$AM$82,10,FALSE),VLOOKUP($C26,'[2]LiST Outputs WITH M.'!$AA$4:$AM$82,13,FALSE))</f>
        <v>2</v>
      </c>
      <c r="I26" s="7">
        <f t="shared" si="0"/>
        <v>2</v>
      </c>
    </row>
    <row r="27" spans="1:9" s="1" customFormat="1">
      <c r="A27" s="5" t="str">
        <f>IF(VLOOKUP(B27,'[2]1. Select Services'!$A$6:$E$77,5,FALSE)="x","x","")</f>
        <v>x</v>
      </c>
      <c r="B27" s="9">
        <v>31</v>
      </c>
      <c r="C27" s="9">
        <v>40</v>
      </c>
      <c r="D27" s="35"/>
      <c r="E27" s="34" t="s">
        <v>37</v>
      </c>
      <c r="F27" s="7">
        <f>IF(Chosen_Scenario="Mitigation Impact Only",VLOOKUP($C27,'[2]LiST Outputs WITH M.'!$AA$4:$AM$82,8,FALSE),VLOOKUP($C27,'[2]LiST Outputs WITH M.'!$AA$4:$AM$82,11,FALSE))</f>
        <v>0</v>
      </c>
      <c r="G27" s="7">
        <f>IF(Chosen_Scenario="Mitigation Impact Only",VLOOKUP($C27,'[2]LiST Outputs WITH M.'!$AA$4:$AM$82,9,FALSE),VLOOKUP($C27,'[2]LiST Outputs WITH M.'!$AA$4:$AM$82,12,FALSE))</f>
        <v>0</v>
      </c>
      <c r="H27" s="7">
        <f>IF(Chosen_Scenario="Mitigation Impact Only",VLOOKUP($C27,'[2]LiST Outputs WITH M.'!$AA$4:$AM$82,10,FALSE),VLOOKUP($C27,'[2]LiST Outputs WITH M.'!$AA$4:$AM$82,13,FALSE))</f>
        <v>0</v>
      </c>
      <c r="I27" s="7">
        <f t="shared" si="0"/>
        <v>0</v>
      </c>
    </row>
    <row r="28" spans="1:9" s="1" customFormat="1">
      <c r="A28" s="5" t="str">
        <f>IF(VLOOKUP(B28,'[2]1. Select Services'!$A$6:$E$77,5,FALSE)="x","x","")</f>
        <v>x</v>
      </c>
      <c r="B28" s="9">
        <v>32</v>
      </c>
      <c r="C28" s="9">
        <v>41</v>
      </c>
      <c r="D28" s="35"/>
      <c r="E28" s="34" t="s">
        <v>38</v>
      </c>
      <c r="F28" s="7">
        <f>IF(Chosen_Scenario="Mitigation Impact Only",VLOOKUP($C28,'[2]LiST Outputs WITH M.'!$AA$4:$AM$82,8,FALSE),VLOOKUP($C28,'[2]LiST Outputs WITH M.'!$AA$4:$AM$82,11,FALSE))</f>
        <v>0</v>
      </c>
      <c r="G28" s="7">
        <f>IF(Chosen_Scenario="Mitigation Impact Only",VLOOKUP($C28,'[2]LiST Outputs WITH M.'!$AA$4:$AM$82,9,FALSE),VLOOKUP($C28,'[2]LiST Outputs WITH M.'!$AA$4:$AM$82,12,FALSE))</f>
        <v>0</v>
      </c>
      <c r="H28" s="7">
        <f>IF(Chosen_Scenario="Mitigation Impact Only",VLOOKUP($C28,'[2]LiST Outputs WITH M.'!$AA$4:$AM$82,10,FALSE),VLOOKUP($C28,'[2]LiST Outputs WITH M.'!$AA$4:$AM$82,13,FALSE))</f>
        <v>0</v>
      </c>
      <c r="I28" s="7">
        <f t="shared" si="0"/>
        <v>0</v>
      </c>
    </row>
    <row r="29" spans="1:9" s="1" customFormat="1">
      <c r="A29" s="5" t="str">
        <f>IF(VLOOKUP(B29,'[2]1. Select Services'!$A$6:$E$77,5,FALSE)="x","x","")</f>
        <v>x</v>
      </c>
      <c r="B29" s="9">
        <v>33</v>
      </c>
      <c r="C29" s="10">
        <v>65</v>
      </c>
      <c r="D29" s="35"/>
      <c r="E29" s="34" t="s">
        <v>39</v>
      </c>
      <c r="F29" s="7">
        <f>IF(Chosen_Scenario="Mitigation Impact Only",VLOOKUP($C29,'[2]LiST Outputs WITH M.'!$AA$4:$AM$82,8,FALSE),VLOOKUP($C29,'[2]LiST Outputs WITH M.'!$AA$4:$AM$82,11,FALSE))</f>
        <v>0</v>
      </c>
      <c r="G29" s="7">
        <f>IF(Chosen_Scenario="Mitigation Impact Only",VLOOKUP($C29,'[2]LiST Outputs WITH M.'!$AA$4:$AM$82,9,FALSE),VLOOKUP($C29,'[2]LiST Outputs WITH M.'!$AA$4:$AM$82,12,FALSE))</f>
        <v>0</v>
      </c>
      <c r="H29" s="7">
        <f>IF(Chosen_Scenario="Mitigation Impact Only",VLOOKUP($C29,'[2]LiST Outputs WITH M.'!$AA$4:$AM$82,10,FALSE),VLOOKUP($C29,'[2]LiST Outputs WITH M.'!$AA$4:$AM$82,13,FALSE))</f>
        <v>0</v>
      </c>
      <c r="I29" s="7">
        <f t="shared" si="0"/>
        <v>0</v>
      </c>
    </row>
    <row r="30" spans="1:9" s="1" customFormat="1">
      <c r="A30" s="5" t="str">
        <f>IF(VLOOKUP(B30,'[2]1. Select Services'!$A$6:$E$77,5,FALSE)="x","x","")</f>
        <v>x</v>
      </c>
      <c r="B30" s="10">
        <v>34</v>
      </c>
      <c r="C30" s="10">
        <v>10</v>
      </c>
      <c r="D30" s="35"/>
      <c r="E30" s="36" t="s">
        <v>40</v>
      </c>
      <c r="F30" s="7">
        <f>IF(Chosen_Scenario="Mitigation Impact Only",VLOOKUP($C30,'[2]LiST Outputs WITH M.'!$AA$4:$AM$82,8,FALSE),VLOOKUP($C30,'[2]LiST Outputs WITH M.'!$AA$4:$AM$82,11,FALSE))</f>
        <v>0</v>
      </c>
      <c r="G30" s="7">
        <f>IF(Chosen_Scenario="Mitigation Impact Only",VLOOKUP($C30,'[2]LiST Outputs WITH M.'!$AA$4:$AM$82,9,FALSE),VLOOKUP($C30,'[2]LiST Outputs WITH M.'!$AA$4:$AM$82,12,FALSE))</f>
        <v>0</v>
      </c>
      <c r="H30" s="7">
        <f>IF(Chosen_Scenario="Mitigation Impact Only",VLOOKUP($C30,'[2]LiST Outputs WITH M.'!$AA$4:$AM$82,10,FALSE),VLOOKUP($C30,'[2]LiST Outputs WITH M.'!$AA$4:$AM$82,13,FALSE))</f>
        <v>1</v>
      </c>
      <c r="I30" s="7">
        <f t="shared" si="0"/>
        <v>1</v>
      </c>
    </row>
    <row r="31" spans="1:9" s="1" customFormat="1">
      <c r="A31" s="5" t="str">
        <f>IF(VLOOKUP(B31,'[2]1. Select Services'!$A$6:$E$77,5,FALSE)="x","x","")</f>
        <v>x</v>
      </c>
      <c r="B31" s="10">
        <v>35</v>
      </c>
      <c r="C31" s="10">
        <v>11</v>
      </c>
      <c r="D31" s="35"/>
      <c r="E31" s="36" t="s">
        <v>41</v>
      </c>
      <c r="F31" s="7">
        <f>IF(Chosen_Scenario="Mitigation Impact Only",VLOOKUP($C31,'[2]LiST Outputs WITH M.'!$AA$4:$AM$82,8,FALSE),VLOOKUP($C31,'[2]LiST Outputs WITH M.'!$AA$4:$AM$82,11,FALSE))</f>
        <v>0</v>
      </c>
      <c r="G31" s="7">
        <f>IF(Chosen_Scenario="Mitigation Impact Only",VLOOKUP($C31,'[2]LiST Outputs WITH M.'!$AA$4:$AM$82,9,FALSE),VLOOKUP($C31,'[2]LiST Outputs WITH M.'!$AA$4:$AM$82,12,FALSE))</f>
        <v>0</v>
      </c>
      <c r="H31" s="7">
        <f>IF(Chosen_Scenario="Mitigation Impact Only",VLOOKUP($C31,'[2]LiST Outputs WITH M.'!$AA$4:$AM$82,10,FALSE),VLOOKUP($C31,'[2]LiST Outputs WITH M.'!$AA$4:$AM$82,13,FALSE))</f>
        <v>0</v>
      </c>
      <c r="I31" s="7">
        <f t="shared" si="0"/>
        <v>0</v>
      </c>
    </row>
    <row r="32" spans="1:9" s="1" customFormat="1">
      <c r="A32" s="5" t="str">
        <f>IF(VLOOKUP(B32,'[2]1. Select Services'!$A$6:$E$77,5,FALSE)="x","x","")</f>
        <v>x</v>
      </c>
      <c r="B32" s="10">
        <v>36</v>
      </c>
      <c r="C32" s="10">
        <v>42</v>
      </c>
      <c r="D32" s="35"/>
      <c r="E32" s="36" t="s">
        <v>42</v>
      </c>
      <c r="F32" s="7">
        <f>IF(Chosen_Scenario="Mitigation Impact Only",VLOOKUP($C32,'[2]LiST Outputs WITH M.'!$AA$4:$AM$82,8,FALSE),VLOOKUP($C32,'[2]LiST Outputs WITH M.'!$AA$4:$AM$82,11,FALSE))</f>
        <v>48</v>
      </c>
      <c r="G32" s="7">
        <f>IF(Chosen_Scenario="Mitigation Impact Only",VLOOKUP($C32,'[2]LiST Outputs WITH M.'!$AA$4:$AM$82,9,FALSE),VLOOKUP($C32,'[2]LiST Outputs WITH M.'!$AA$4:$AM$82,12,FALSE))</f>
        <v>48</v>
      </c>
      <c r="H32" s="7">
        <f>IF(Chosen_Scenario="Mitigation Impact Only",VLOOKUP($C32,'[2]LiST Outputs WITH M.'!$AA$4:$AM$82,10,FALSE),VLOOKUP($C32,'[2]LiST Outputs WITH M.'!$AA$4:$AM$82,13,FALSE))</f>
        <v>1</v>
      </c>
      <c r="I32" s="7">
        <f t="shared" si="0"/>
        <v>49</v>
      </c>
    </row>
    <row r="33" spans="1:10" s="1" customFormat="1">
      <c r="A33" s="5" t="str">
        <f>IF(VLOOKUP(B33,'[2]1. Select Services'!$A$6:$E$77,5,FALSE)="x","x","")</f>
        <v>x</v>
      </c>
      <c r="B33" s="10">
        <v>37</v>
      </c>
      <c r="C33" s="10">
        <v>43</v>
      </c>
      <c r="D33" s="35"/>
      <c r="E33" s="36" t="s">
        <v>43</v>
      </c>
      <c r="F33" s="7">
        <f>IF(Chosen_Scenario="Mitigation Impact Only",VLOOKUP($C33,'[2]LiST Outputs WITH M.'!$AA$4:$AM$82,8,FALSE),VLOOKUP($C33,'[2]LiST Outputs WITH M.'!$AA$4:$AM$82,11,FALSE))</f>
        <v>0</v>
      </c>
      <c r="G33" s="7">
        <f>IF(Chosen_Scenario="Mitigation Impact Only",VLOOKUP($C33,'[2]LiST Outputs WITH M.'!$AA$4:$AM$82,9,FALSE),VLOOKUP($C33,'[2]LiST Outputs WITH M.'!$AA$4:$AM$82,12,FALSE))</f>
        <v>0</v>
      </c>
      <c r="H33" s="7">
        <f>IF(Chosen_Scenario="Mitigation Impact Only",VLOOKUP($C33,'[2]LiST Outputs WITH M.'!$AA$4:$AM$82,10,FALSE),VLOOKUP($C33,'[2]LiST Outputs WITH M.'!$AA$4:$AM$82,13,FALSE))</f>
        <v>0</v>
      </c>
      <c r="I33" s="7">
        <f t="shared" si="0"/>
        <v>0</v>
      </c>
    </row>
    <row r="34" spans="1:10" s="1" customFormat="1">
      <c r="A34" s="5" t="str">
        <f>IF(VLOOKUP(B34,'[2]1. Select Services'!$A$6:$E$77,5,FALSE)="x","x","")</f>
        <v/>
      </c>
      <c r="B34" s="10">
        <v>38</v>
      </c>
      <c r="C34" s="10">
        <v>12</v>
      </c>
      <c r="D34" s="37"/>
      <c r="E34" s="36" t="s">
        <v>44</v>
      </c>
      <c r="F34" s="7">
        <f>IF(Chosen_Scenario="Mitigation Impact Only",VLOOKUP($C34,'[2]LiST Outputs WITH M.'!$AA$4:$AM$82,8,FALSE),VLOOKUP($C34,'[2]LiST Outputs WITH M.'!$AA$4:$AM$82,11,FALSE))</f>
        <v>0</v>
      </c>
      <c r="G34" s="7">
        <f>IF(Chosen_Scenario="Mitigation Impact Only",VLOOKUP($C34,'[2]LiST Outputs WITH M.'!$AA$4:$AM$82,9,FALSE),VLOOKUP($C34,'[2]LiST Outputs WITH M.'!$AA$4:$AM$82,12,FALSE))</f>
        <v>0</v>
      </c>
      <c r="H34" s="7">
        <f>IF(Chosen_Scenario="Mitigation Impact Only",VLOOKUP($C34,'[2]LiST Outputs WITH M.'!$AA$4:$AM$82,10,FALSE),VLOOKUP($C34,'[2]LiST Outputs WITH M.'!$AA$4:$AM$82,13,FALSE))</f>
        <v>0</v>
      </c>
      <c r="I34" s="7">
        <f t="shared" si="0"/>
        <v>0</v>
      </c>
    </row>
    <row r="35" spans="1:10" s="1" customFormat="1">
      <c r="A35" s="5" t="str">
        <f>IF(VLOOKUP(B35,'[2]1. Select Services'!$A$6:$E$77,5,FALSE)="x","x","")</f>
        <v>x</v>
      </c>
      <c r="B35" s="11">
        <v>39</v>
      </c>
      <c r="C35" s="12">
        <v>29</v>
      </c>
      <c r="D35" s="31" t="s">
        <v>45</v>
      </c>
      <c r="E35" s="38" t="s">
        <v>46</v>
      </c>
      <c r="F35" s="7">
        <f>IF(Chosen_Scenario="Mitigation Impact Only",VLOOKUP($C35,'[2]LiST Outputs WITH M.'!$AA$4:$AM$82,8,FALSE),VLOOKUP($C35,'[2]LiST Outputs WITH M.'!$AA$4:$AM$82,11,FALSE))</f>
        <v>209</v>
      </c>
      <c r="G35" s="7">
        <f>IF(Chosen_Scenario="Mitigation Impact Only",VLOOKUP($C35,'[2]LiST Outputs WITH M.'!$AA$4:$AM$82,9,FALSE),VLOOKUP($C35,'[2]LiST Outputs WITH M.'!$AA$4:$AM$82,12,FALSE))</f>
        <v>209</v>
      </c>
      <c r="H35" s="7">
        <f>IF(Chosen_Scenario="Mitigation Impact Only",VLOOKUP($C35,'[2]LiST Outputs WITH M.'!$AA$4:$AM$82,10,FALSE),VLOOKUP($C35,'[2]LiST Outputs WITH M.'!$AA$4:$AM$82,13,FALSE))</f>
        <v>0</v>
      </c>
      <c r="I35" s="7">
        <f t="shared" si="0"/>
        <v>209</v>
      </c>
    </row>
    <row r="36" spans="1:10" s="1" customFormat="1">
      <c r="A36" s="5" t="str">
        <f>IF(VLOOKUP(B36,'[2]1. Select Services'!$A$6:$E$77,5,FALSE)="x","x","")</f>
        <v>x</v>
      </c>
      <c r="B36" s="11">
        <v>40</v>
      </c>
      <c r="C36" s="12">
        <v>30</v>
      </c>
      <c r="D36" s="31"/>
      <c r="E36" s="38" t="s">
        <v>47</v>
      </c>
      <c r="F36" s="7">
        <f>IF(Chosen_Scenario="Mitigation Impact Only",VLOOKUP($C36,'[2]LiST Outputs WITH M.'!$AA$4:$AM$82,8,FALSE),VLOOKUP($C36,'[2]LiST Outputs WITH M.'!$AA$4:$AM$82,11,FALSE))</f>
        <v>350</v>
      </c>
      <c r="G36" s="7">
        <f>IF(Chosen_Scenario="Mitigation Impact Only",VLOOKUP($C36,'[2]LiST Outputs WITH M.'!$AA$4:$AM$82,9,FALSE),VLOOKUP($C36,'[2]LiST Outputs WITH M.'!$AA$4:$AM$82,12,FALSE))</f>
        <v>350</v>
      </c>
      <c r="H36" s="7">
        <f>IF(Chosen_Scenario="Mitigation Impact Only",VLOOKUP($C36,'[2]LiST Outputs WITH M.'!$AA$4:$AM$82,10,FALSE),VLOOKUP($C36,'[2]LiST Outputs WITH M.'!$AA$4:$AM$82,13,FALSE))</f>
        <v>0</v>
      </c>
      <c r="I36" s="7">
        <f t="shared" si="0"/>
        <v>350</v>
      </c>
    </row>
    <row r="37" spans="1:10" s="1" customFormat="1">
      <c r="A37" s="5" t="str">
        <f>IF(VLOOKUP(B37,'[2]1. Select Services'!$A$6:$E$77,5,FALSE)="x","x","")</f>
        <v>x</v>
      </c>
      <c r="B37" s="11">
        <v>41</v>
      </c>
      <c r="C37" s="12">
        <v>31</v>
      </c>
      <c r="D37" s="31"/>
      <c r="E37" s="38" t="s">
        <v>48</v>
      </c>
      <c r="F37" s="7">
        <f>IF(Chosen_Scenario="Mitigation Impact Only",VLOOKUP($C37,'[2]LiST Outputs WITH M.'!$AA$4:$AM$82,8,FALSE),VLOOKUP($C37,'[2]LiST Outputs WITH M.'!$AA$4:$AM$82,11,FALSE))</f>
        <v>290</v>
      </c>
      <c r="G37" s="7">
        <f>IF(Chosen_Scenario="Mitigation Impact Only",VLOOKUP($C37,'[2]LiST Outputs WITH M.'!$AA$4:$AM$82,9,FALSE),VLOOKUP($C37,'[2]LiST Outputs WITH M.'!$AA$4:$AM$82,12,FALSE))</f>
        <v>290</v>
      </c>
      <c r="H37" s="7">
        <f>IF(Chosen_Scenario="Mitigation Impact Only",VLOOKUP($C37,'[2]LiST Outputs WITH M.'!$AA$4:$AM$82,10,FALSE),VLOOKUP($C37,'[2]LiST Outputs WITH M.'!$AA$4:$AM$82,13,FALSE))</f>
        <v>0</v>
      </c>
      <c r="I37" s="7">
        <f t="shared" si="0"/>
        <v>290</v>
      </c>
    </row>
    <row r="38" spans="1:10" s="1" customFormat="1">
      <c r="A38" s="5" t="str">
        <f>IF(VLOOKUP(B38,'[2]1. Select Services'!$A$6:$E$77,5,FALSE)="x","x","")</f>
        <v>x</v>
      </c>
      <c r="B38" s="11">
        <v>42</v>
      </c>
      <c r="C38" s="12">
        <v>37</v>
      </c>
      <c r="D38" s="31"/>
      <c r="E38" s="38" t="s">
        <v>49</v>
      </c>
      <c r="F38" s="7">
        <f>IF(Chosen_Scenario="Mitigation Impact Only",VLOOKUP($C38,'[2]LiST Outputs WITH M.'!$AA$4:$AM$82,8,FALSE),VLOOKUP($C38,'[2]LiST Outputs WITH M.'!$AA$4:$AM$82,11,FALSE))</f>
        <v>237</v>
      </c>
      <c r="G38" s="7">
        <f>IF(Chosen_Scenario="Mitigation Impact Only",VLOOKUP($C38,'[2]LiST Outputs WITH M.'!$AA$4:$AM$82,9,FALSE),VLOOKUP($C38,'[2]LiST Outputs WITH M.'!$AA$4:$AM$82,12,FALSE))</f>
        <v>237</v>
      </c>
      <c r="H38" s="7">
        <f>IF(Chosen_Scenario="Mitigation Impact Only",VLOOKUP($C38,'[2]LiST Outputs WITH M.'!$AA$4:$AM$82,10,FALSE),VLOOKUP($C38,'[2]LiST Outputs WITH M.'!$AA$4:$AM$82,13,FALSE))</f>
        <v>0</v>
      </c>
      <c r="I38" s="7">
        <f t="shared" si="0"/>
        <v>237</v>
      </c>
    </row>
    <row r="39" spans="1:10" s="1" customFormat="1">
      <c r="A39" s="5"/>
      <c r="B39" s="11" t="s">
        <v>50</v>
      </c>
      <c r="C39" s="11" t="s">
        <v>51</v>
      </c>
      <c r="D39" s="31"/>
      <c r="E39" s="39" t="s">
        <v>52</v>
      </c>
      <c r="F39" s="7">
        <f>IF(Chosen_Scenario="Mitigation Impact Only",VLOOKUP($C39,'[2]LiST Outputs WITH M.'!$AA$4:$AM$82,8,FALSE),VLOOKUP($C39,'[2]LiST Outputs WITH M.'!$AA$4:$AM$82,11,FALSE))</f>
        <v>0</v>
      </c>
      <c r="G39" s="7">
        <f>IF(Chosen_Scenario="Mitigation Impact Only",VLOOKUP($C39,'[2]LiST Outputs WITH M.'!$AA$4:$AM$82,9,FALSE),VLOOKUP($C39,'[2]LiST Outputs WITH M.'!$AA$4:$AM$82,12,FALSE))</f>
        <v>0</v>
      </c>
      <c r="H39" s="7">
        <f>IF(Chosen_Scenario="Mitigation Impact Only",VLOOKUP($C39,'[2]LiST Outputs WITH M.'!$AA$4:$AM$82,10,FALSE),VLOOKUP($C39,'[2]LiST Outputs WITH M.'!$AA$4:$AM$82,13,FALSE))</f>
        <v>0</v>
      </c>
      <c r="I39" s="7">
        <f t="shared" si="0"/>
        <v>0</v>
      </c>
    </row>
    <row r="40" spans="1:10" s="1" customFormat="1">
      <c r="A40" s="5" t="str">
        <f>IF(VLOOKUP(B40,'[2]1. Select Services'!$A$6:$E$77,5,FALSE)="x","x","")</f>
        <v>x</v>
      </c>
      <c r="B40" s="11">
        <v>43</v>
      </c>
      <c r="C40" s="11">
        <v>66</v>
      </c>
      <c r="D40" s="31"/>
      <c r="E40" s="40" t="s">
        <v>53</v>
      </c>
      <c r="F40" s="13"/>
      <c r="G40" s="13"/>
      <c r="H40" s="13"/>
      <c r="I40" s="13"/>
      <c r="J40" s="46" t="s">
        <v>54</v>
      </c>
    </row>
    <row r="41" spans="1:10" s="1" customFormat="1">
      <c r="A41" s="5" t="str">
        <f>IF(VLOOKUP(B41,'[2]1. Select Services'!$A$6:$E$77,5,FALSE)="x","x","")</f>
        <v/>
      </c>
      <c r="B41" s="11">
        <v>44</v>
      </c>
      <c r="C41" s="11">
        <v>67</v>
      </c>
      <c r="D41" s="31"/>
      <c r="E41" s="40" t="s">
        <v>55</v>
      </c>
      <c r="F41" s="13"/>
      <c r="G41" s="13"/>
      <c r="H41" s="13"/>
      <c r="I41" s="13"/>
      <c r="J41" s="46" t="s">
        <v>56</v>
      </c>
    </row>
    <row r="42" spans="1:10" s="1" customFormat="1">
      <c r="A42" s="5"/>
      <c r="B42" s="11" t="s">
        <v>57</v>
      </c>
      <c r="C42" s="11" t="s">
        <v>58</v>
      </c>
      <c r="D42" s="31"/>
      <c r="E42" s="39" t="s">
        <v>59</v>
      </c>
      <c r="F42" s="7">
        <f>IF(Chosen_Scenario="Mitigation Impact Only",VLOOKUP($C42,'[2]LiST Outputs WITH M.'!$AA$4:$AM$82,8,FALSE),VLOOKUP($C42,'[2]LiST Outputs WITH M.'!$AA$4:$AM$82,11,FALSE))</f>
        <v>1220</v>
      </c>
      <c r="G42" s="7">
        <f>IF(Chosen_Scenario="Mitigation Impact Only",VLOOKUP($C42,'[2]LiST Outputs WITH M.'!$AA$4:$AM$82,9,FALSE),VLOOKUP($C42,'[2]LiST Outputs WITH M.'!$AA$4:$AM$82,12,FALSE))</f>
        <v>1220</v>
      </c>
      <c r="H42" s="7">
        <f>IF(Chosen_Scenario="Mitigation Impact Only",VLOOKUP($C42,'[2]LiST Outputs WITH M.'!$AA$4:$AM$82,10,FALSE),VLOOKUP($C42,'[2]LiST Outputs WITH M.'!$AA$4:$AM$82,13,FALSE))</f>
        <v>0</v>
      </c>
      <c r="I42" s="7">
        <f t="shared" ref="I42:I47" si="1">SUM(G42:H42)</f>
        <v>1220</v>
      </c>
    </row>
    <row r="43" spans="1:10" s="1" customFormat="1">
      <c r="A43" s="5" t="str">
        <f>IF(VLOOKUP(B43,'[2]1. Select Services'!$A$6:$E$77,5,FALSE)="x","x","")</f>
        <v>x</v>
      </c>
      <c r="B43" s="11">
        <v>45</v>
      </c>
      <c r="C43" s="11">
        <v>68</v>
      </c>
      <c r="D43" s="31"/>
      <c r="E43" s="40" t="s">
        <v>60</v>
      </c>
      <c r="F43" s="13"/>
      <c r="G43" s="13"/>
      <c r="H43" s="13"/>
      <c r="I43" s="13"/>
      <c r="J43" s="47" t="s">
        <v>61</v>
      </c>
    </row>
    <row r="44" spans="1:10" s="1" customFormat="1">
      <c r="A44" s="5" t="str">
        <f>IF(VLOOKUP(B44,'[2]1. Select Services'!$A$6:$E$77,5,FALSE)="x","x","")</f>
        <v>x</v>
      </c>
      <c r="B44" s="11">
        <v>46</v>
      </c>
      <c r="C44" s="11">
        <v>69</v>
      </c>
      <c r="D44" s="31"/>
      <c r="E44" s="40" t="s">
        <v>62</v>
      </c>
      <c r="F44" s="13"/>
      <c r="G44" s="13"/>
      <c r="H44" s="13"/>
      <c r="I44" s="13"/>
      <c r="J44" s="48"/>
    </row>
    <row r="45" spans="1:10" s="1" customFormat="1">
      <c r="A45" s="5" t="str">
        <f>IF(VLOOKUP(B45,'[2]1. Select Services'!$A$6:$E$77,5,FALSE)="x","x","")</f>
        <v/>
      </c>
      <c r="B45" s="11">
        <v>47</v>
      </c>
      <c r="C45" s="11">
        <v>70</v>
      </c>
      <c r="D45" s="31"/>
      <c r="E45" s="40" t="s">
        <v>63</v>
      </c>
      <c r="F45" s="13"/>
      <c r="G45" s="13"/>
      <c r="H45" s="13"/>
      <c r="I45" s="13"/>
      <c r="J45" s="49"/>
    </row>
    <row r="46" spans="1:10" s="1" customFormat="1">
      <c r="A46" s="5" t="s">
        <v>9</v>
      </c>
      <c r="B46" s="14">
        <v>48</v>
      </c>
      <c r="C46" s="14">
        <v>44</v>
      </c>
      <c r="D46" s="41" t="s">
        <v>64</v>
      </c>
      <c r="E46" s="32" t="s">
        <v>64</v>
      </c>
      <c r="F46" s="7">
        <f>IF(Chosen_Scenario="Mitigation Impact Only",VLOOKUP($C46,'[2]LiST Outputs WITH M.'!$AA$4:$AM$82,8,FALSE),VLOOKUP($C46,'[2]LiST Outputs WITH M.'!$AA$4:$AM$82,11,FALSE))</f>
        <v>213</v>
      </c>
      <c r="G46" s="7">
        <f>IF(Chosen_Scenario="Mitigation Impact Only",VLOOKUP($C46,'[2]LiST Outputs WITH M.'!$AA$4:$AM$82,9,FALSE),VLOOKUP($C46,'[2]LiST Outputs WITH M.'!$AA$4:$AM$82,12,FALSE))</f>
        <v>419</v>
      </c>
      <c r="H46" s="7">
        <f>IF(Chosen_Scenario="Mitigation Impact Only",VLOOKUP($C46,'[2]LiST Outputs WITH M.'!$AA$4:$AM$82,10,FALSE),VLOOKUP($C46,'[2]LiST Outputs WITH M.'!$AA$4:$AM$82,13,FALSE))</f>
        <v>0</v>
      </c>
      <c r="I46" s="7">
        <f t="shared" si="1"/>
        <v>419</v>
      </c>
    </row>
    <row r="47" spans="1:10" s="1" customFormat="1">
      <c r="A47" s="5" t="str">
        <f>IF(VLOOKUP(B47,'[2]1. Select Services'!$A$6:$E$77,5,FALSE)="x","x","")</f>
        <v>x</v>
      </c>
      <c r="B47" s="15">
        <v>49</v>
      </c>
      <c r="C47" s="15">
        <v>45</v>
      </c>
      <c r="D47" s="41"/>
      <c r="E47" s="34" t="s">
        <v>65</v>
      </c>
      <c r="F47" s="22">
        <f>IF(Chosen_Scenario="Mitigation Impact Only",SUM('[2]LiST Outputs WITH M.'!$AH$44:$AH$47),SUM('[2]LiST Outputs WITH M.'!$AK$44:$AK$47))</f>
        <v>0</v>
      </c>
      <c r="G47" s="22">
        <f>IF(Chosen_Scenario="Mitigation Impact Only",SUM('[2]LiST Outputs WITH M.'!$AI$44:$AI$47),SUM('[2]LiST Outputs WITH M.'!$AL$44:$AL$47))</f>
        <v>6</v>
      </c>
      <c r="H47" s="22">
        <f>IF(Chosen_Scenario="Mitigation Impact Only",SUM('[2]LiST Outputs WITH M.'!$AJ$44:$AJ$47),SUM('[2]LiST Outputs WITH M.'!$AM$44:$AM$47))</f>
        <v>0</v>
      </c>
      <c r="I47" s="22">
        <f t="shared" si="1"/>
        <v>6</v>
      </c>
      <c r="J47" s="50" t="s">
        <v>66</v>
      </c>
    </row>
    <row r="48" spans="1:10" s="1" customFormat="1">
      <c r="A48" s="5" t="str">
        <f>IF(VLOOKUP(B48,'[2]1. Select Services'!$A$6:$E$77,5,FALSE)="x","x","")</f>
        <v>x</v>
      </c>
      <c r="B48" s="15">
        <v>50</v>
      </c>
      <c r="C48" s="15">
        <v>46</v>
      </c>
      <c r="D48" s="41"/>
      <c r="E48" s="34" t="s">
        <v>67</v>
      </c>
      <c r="F48" s="23"/>
      <c r="G48" s="23"/>
      <c r="H48" s="23"/>
      <c r="I48" s="23"/>
      <c r="J48" s="50"/>
    </row>
    <row r="49" spans="1:9" s="1" customFormat="1" ht="14.65" customHeight="1">
      <c r="A49" s="5"/>
      <c r="B49" s="16">
        <v>51</v>
      </c>
      <c r="C49" s="16">
        <v>55</v>
      </c>
      <c r="D49" s="41" t="s">
        <v>68</v>
      </c>
      <c r="E49" s="34" t="s">
        <v>69</v>
      </c>
      <c r="F49" s="7">
        <f>IF(Chosen_Scenario="Mitigation Impact Only",VLOOKUP($C49,'[2]LiST Outputs WITH M.'!$AA$4:$AM$82,8,FALSE),VLOOKUP($C49,'[2]LiST Outputs WITH M.'!$AA$4:$AM$82,11,FALSE))</f>
        <v>0</v>
      </c>
      <c r="G49" s="7">
        <f>IF(Chosen_Scenario="Mitigation Impact Only",VLOOKUP($C49,'[2]LiST Outputs WITH M.'!$AA$4:$AM$82,9,FALSE),VLOOKUP($C49,'[2]LiST Outputs WITH M.'!$AA$4:$AM$82,12,FALSE))</f>
        <v>0</v>
      </c>
      <c r="H49" s="7">
        <f>IF(Chosen_Scenario="Mitigation Impact Only",VLOOKUP($C49,'[2]LiST Outputs WITH M.'!$AA$4:$AM$82,10,FALSE),VLOOKUP($C49,'[2]LiST Outputs WITH M.'!$AA$4:$AM$82,13,FALSE))</f>
        <v>0</v>
      </c>
      <c r="I49" s="7">
        <f t="shared" ref="I49:I70" si="2">SUM(G49:H49)</f>
        <v>0</v>
      </c>
    </row>
    <row r="50" spans="1:9" s="1" customFormat="1">
      <c r="A50" s="5" t="str">
        <f>IF(VLOOKUP(B50,'[2]1. Select Services'!$A$6:$E$77,5,FALSE)="x","x","")</f>
        <v>x</v>
      </c>
      <c r="B50" s="16">
        <v>52</v>
      </c>
      <c r="C50" s="16">
        <v>56</v>
      </c>
      <c r="D50" s="41"/>
      <c r="E50" s="34" t="s">
        <v>70</v>
      </c>
      <c r="F50" s="7">
        <f>IF(Chosen_Scenario="Mitigation Impact Only",VLOOKUP($C50,'[2]LiST Outputs WITH M.'!$AA$4:$AM$82,8,FALSE),VLOOKUP($C50,'[2]LiST Outputs WITH M.'!$AA$4:$AM$82,11,FALSE))</f>
        <v>0</v>
      </c>
      <c r="G50" s="7">
        <f>IF(Chosen_Scenario="Mitigation Impact Only",VLOOKUP($C50,'[2]LiST Outputs WITH M.'!$AA$4:$AM$82,9,FALSE),VLOOKUP($C50,'[2]LiST Outputs WITH M.'!$AA$4:$AM$82,12,FALSE))</f>
        <v>0</v>
      </c>
      <c r="H50" s="7">
        <f>IF(Chosen_Scenario="Mitigation Impact Only",VLOOKUP($C50,'[2]LiST Outputs WITH M.'!$AA$4:$AM$82,10,FALSE),VLOOKUP($C50,'[2]LiST Outputs WITH M.'!$AA$4:$AM$82,13,FALSE))</f>
        <v>0</v>
      </c>
      <c r="I50" s="7">
        <f t="shared" si="2"/>
        <v>0</v>
      </c>
    </row>
    <row r="51" spans="1:9" s="1" customFormat="1" ht="14.65" customHeight="1">
      <c r="A51" s="5"/>
      <c r="B51" s="16"/>
      <c r="C51" s="16"/>
      <c r="D51" s="41"/>
      <c r="E51" s="42" t="s">
        <v>71</v>
      </c>
      <c r="F51" s="7"/>
      <c r="G51" s="7"/>
      <c r="H51" s="7"/>
      <c r="I51" s="7"/>
    </row>
    <row r="52" spans="1:9" s="1" customFormat="1">
      <c r="A52" s="5" t="str">
        <f>IF(VLOOKUP(B52,'[2]1. Select Services'!$A$6:$E$77,5,FALSE)="x","x","")</f>
        <v>x</v>
      </c>
      <c r="B52" s="16">
        <v>53</v>
      </c>
      <c r="C52" s="16">
        <v>57</v>
      </c>
      <c r="D52" s="41"/>
      <c r="E52" s="40" t="s">
        <v>72</v>
      </c>
      <c r="F52" s="7">
        <f>IF(Chosen_Scenario="Mitigation Impact Only",VLOOKUP($C52,'[2]LiST Outputs WITH M.'!$AA$4:$AM$82,8,FALSE),VLOOKUP($C52,'[2]LiST Outputs WITH M.'!$AA$4:$AM$82,11,FALSE))</f>
        <v>0</v>
      </c>
      <c r="G52" s="7">
        <f>IF(Chosen_Scenario="Mitigation Impact Only",VLOOKUP($C52,'[2]LiST Outputs WITH M.'!$AA$4:$AM$82,9,FALSE),VLOOKUP($C52,'[2]LiST Outputs WITH M.'!$AA$4:$AM$82,12,FALSE))</f>
        <v>60</v>
      </c>
      <c r="H52" s="7">
        <f>IF(Chosen_Scenario="Mitigation Impact Only",VLOOKUP($C52,'[2]LiST Outputs WITH M.'!$AA$4:$AM$82,10,FALSE),VLOOKUP($C52,'[2]LiST Outputs WITH M.'!$AA$4:$AM$82,13,FALSE))</f>
        <v>0</v>
      </c>
      <c r="I52" s="7">
        <f t="shared" si="2"/>
        <v>60</v>
      </c>
    </row>
    <row r="53" spans="1:9" s="1" customFormat="1">
      <c r="A53" s="5" t="str">
        <f>IF(VLOOKUP(B53,'[2]1. Select Services'!$A$6:$E$77,5,FALSE)="x","x","")</f>
        <v>x</v>
      </c>
      <c r="B53" s="16">
        <v>54</v>
      </c>
      <c r="C53" s="16">
        <v>58</v>
      </c>
      <c r="D53" s="41"/>
      <c r="E53" s="40" t="s">
        <v>73</v>
      </c>
      <c r="F53" s="7">
        <f>IF(Chosen_Scenario="Mitigation Impact Only",VLOOKUP($C53,'[2]LiST Outputs WITH M.'!$AA$4:$AM$82,8,FALSE),VLOOKUP($C53,'[2]LiST Outputs WITH M.'!$AA$4:$AM$82,11,FALSE))</f>
        <v>0</v>
      </c>
      <c r="G53" s="7">
        <f>IF(Chosen_Scenario="Mitigation Impact Only",VLOOKUP($C53,'[2]LiST Outputs WITH M.'!$AA$4:$AM$82,9,FALSE),VLOOKUP($C53,'[2]LiST Outputs WITH M.'!$AA$4:$AM$82,12,FALSE))</f>
        <v>63</v>
      </c>
      <c r="H53" s="7">
        <f>IF(Chosen_Scenario="Mitigation Impact Only",VLOOKUP($C53,'[2]LiST Outputs WITH M.'!$AA$4:$AM$82,10,FALSE),VLOOKUP($C53,'[2]LiST Outputs WITH M.'!$AA$4:$AM$82,13,FALSE))</f>
        <v>0</v>
      </c>
      <c r="I53" s="7">
        <f t="shared" si="2"/>
        <v>63</v>
      </c>
    </row>
    <row r="54" spans="1:9" s="1" customFormat="1">
      <c r="A54" s="5" t="str">
        <f>IF(VLOOKUP(B54,'[2]1. Select Services'!$A$6:$E$77,5,FALSE)="x","x","")</f>
        <v>x</v>
      </c>
      <c r="B54" s="16">
        <v>55</v>
      </c>
      <c r="C54" s="16">
        <v>59</v>
      </c>
      <c r="D54" s="41"/>
      <c r="E54" s="40" t="s">
        <v>74</v>
      </c>
      <c r="F54" s="7">
        <f>IF(Chosen_Scenario="Mitigation Impact Only",VLOOKUP($C54,'[2]LiST Outputs WITH M.'!$AA$4:$AM$82,8,FALSE),VLOOKUP($C54,'[2]LiST Outputs WITH M.'!$AA$4:$AM$82,11,FALSE))</f>
        <v>0</v>
      </c>
      <c r="G54" s="7">
        <f>IF(Chosen_Scenario="Mitigation Impact Only",VLOOKUP($C54,'[2]LiST Outputs WITH M.'!$AA$4:$AM$82,9,FALSE),VLOOKUP($C54,'[2]LiST Outputs WITH M.'!$AA$4:$AM$82,12,FALSE))</f>
        <v>0</v>
      </c>
      <c r="H54" s="7">
        <f>IF(Chosen_Scenario="Mitigation Impact Only",VLOOKUP($C54,'[2]LiST Outputs WITH M.'!$AA$4:$AM$82,10,FALSE),VLOOKUP($C54,'[2]LiST Outputs WITH M.'!$AA$4:$AM$82,13,FALSE))</f>
        <v>0</v>
      </c>
      <c r="I54" s="7">
        <f t="shared" si="2"/>
        <v>0</v>
      </c>
    </row>
    <row r="55" spans="1:9" s="1" customFormat="1">
      <c r="A55" s="5" t="str">
        <f>IF(VLOOKUP(B55,'[2]1. Select Services'!$A$6:$E$77,5,FALSE)="x","x","")</f>
        <v>x</v>
      </c>
      <c r="B55" s="16">
        <v>56</v>
      </c>
      <c r="C55" s="16">
        <v>60</v>
      </c>
      <c r="D55" s="41"/>
      <c r="E55" s="34" t="s">
        <v>75</v>
      </c>
      <c r="F55" s="7">
        <f>IF(Chosen_Scenario="Mitigation Impact Only",VLOOKUP($C55,'[2]LiST Outputs WITH M.'!$AA$4:$AM$82,8,FALSE),VLOOKUP($C55,'[2]LiST Outputs WITH M.'!$AA$4:$AM$82,11,FALSE))</f>
        <v>0</v>
      </c>
      <c r="G55" s="7">
        <f>IF(Chosen_Scenario="Mitigation Impact Only",VLOOKUP($C55,'[2]LiST Outputs WITH M.'!$AA$4:$AM$82,9,FALSE),VLOOKUP($C55,'[2]LiST Outputs WITH M.'!$AA$4:$AM$82,12,FALSE))</f>
        <v>66</v>
      </c>
      <c r="H55" s="7">
        <f>IF(Chosen_Scenario="Mitigation Impact Only",VLOOKUP($C55,'[2]LiST Outputs WITH M.'!$AA$4:$AM$82,10,FALSE),VLOOKUP($C55,'[2]LiST Outputs WITH M.'!$AA$4:$AM$82,13,FALSE))</f>
        <v>0</v>
      </c>
      <c r="I55" s="7">
        <f t="shared" si="2"/>
        <v>66</v>
      </c>
    </row>
    <row r="56" spans="1:9" s="1" customFormat="1">
      <c r="A56" s="5" t="str">
        <f>IF(VLOOKUP(B56,'[2]1. Select Services'!$A$6:$E$77,5,FALSE)="x","x","")</f>
        <v>x</v>
      </c>
      <c r="B56" s="16">
        <v>57</v>
      </c>
      <c r="C56" s="16">
        <v>61</v>
      </c>
      <c r="D56" s="41"/>
      <c r="E56" s="34" t="s">
        <v>76</v>
      </c>
      <c r="F56" s="7">
        <f>IF(Chosen_Scenario="Mitigation Impact Only",VLOOKUP($C56,'[2]LiST Outputs WITH M.'!$AA$4:$AM$82,8,FALSE),VLOOKUP($C56,'[2]LiST Outputs WITH M.'!$AA$4:$AM$82,11,FALSE))</f>
        <v>0</v>
      </c>
      <c r="G56" s="7">
        <f>IF(Chosen_Scenario="Mitigation Impact Only",VLOOKUP($C56,'[2]LiST Outputs WITH M.'!$AA$4:$AM$82,9,FALSE),VLOOKUP($C56,'[2]LiST Outputs WITH M.'!$AA$4:$AM$82,12,FALSE))</f>
        <v>9</v>
      </c>
      <c r="H56" s="7">
        <f>IF(Chosen_Scenario="Mitigation Impact Only",VLOOKUP($C56,'[2]LiST Outputs WITH M.'!$AA$4:$AM$82,10,FALSE),VLOOKUP($C56,'[2]LiST Outputs WITH M.'!$AA$4:$AM$82,13,FALSE))</f>
        <v>0</v>
      </c>
      <c r="I56" s="7">
        <f t="shared" si="2"/>
        <v>9</v>
      </c>
    </row>
    <row r="57" spans="1:9" s="1" customFormat="1">
      <c r="A57" s="5" t="str">
        <f>IF(VLOOKUP(B57,'[2]1. Select Services'!$A$6:$E$77,5,FALSE)="x","x","")</f>
        <v>x</v>
      </c>
      <c r="B57" s="16">
        <v>58</v>
      </c>
      <c r="C57" s="16">
        <v>62</v>
      </c>
      <c r="D57" s="41"/>
      <c r="E57" s="34" t="s">
        <v>77</v>
      </c>
      <c r="F57" s="7">
        <f>IF(Chosen_Scenario="Mitigation Impact Only",VLOOKUP($C57,'[2]LiST Outputs WITH M.'!$AA$4:$AM$82,8,FALSE),VLOOKUP($C57,'[2]LiST Outputs WITH M.'!$AA$4:$AM$82,11,FALSE))</f>
        <v>0</v>
      </c>
      <c r="G57" s="7">
        <f>IF(Chosen_Scenario="Mitigation Impact Only",VLOOKUP($C57,'[2]LiST Outputs WITH M.'!$AA$4:$AM$82,9,FALSE),VLOOKUP($C57,'[2]LiST Outputs WITH M.'!$AA$4:$AM$82,12,FALSE))</f>
        <v>0</v>
      </c>
      <c r="H57" s="7">
        <f>IF(Chosen_Scenario="Mitigation Impact Only",VLOOKUP($C57,'[2]LiST Outputs WITH M.'!$AA$4:$AM$82,10,FALSE),VLOOKUP($C57,'[2]LiST Outputs WITH M.'!$AA$4:$AM$82,13,FALSE))</f>
        <v>0</v>
      </c>
      <c r="I57" s="7">
        <f t="shared" si="2"/>
        <v>0</v>
      </c>
    </row>
    <row r="58" spans="1:9" s="1" customFormat="1" ht="14.65" customHeight="1">
      <c r="A58" s="5"/>
      <c r="B58" s="16">
        <v>59</v>
      </c>
      <c r="C58" s="16">
        <v>63</v>
      </c>
      <c r="D58" s="41"/>
      <c r="E58" s="34" t="s">
        <v>78</v>
      </c>
      <c r="F58" s="7">
        <f>IF(Chosen_Scenario="Mitigation Impact Only",VLOOKUP($C58,'[2]LiST Outputs WITH M.'!$AA$4:$AM$82,8,FALSE),VLOOKUP($C58,'[2]LiST Outputs WITH M.'!$AA$4:$AM$82,11,FALSE))</f>
        <v>0</v>
      </c>
      <c r="G58" s="7">
        <f>IF(Chosen_Scenario="Mitigation Impact Only",VLOOKUP($C58,'[2]LiST Outputs WITH M.'!$AA$4:$AM$82,9,FALSE),VLOOKUP($C58,'[2]LiST Outputs WITH M.'!$AA$4:$AM$82,12,FALSE))</f>
        <v>0</v>
      </c>
      <c r="H58" s="7">
        <f>IF(Chosen_Scenario="Mitigation Impact Only",VLOOKUP($C58,'[2]LiST Outputs WITH M.'!$AA$4:$AM$82,10,FALSE),VLOOKUP($C58,'[2]LiST Outputs WITH M.'!$AA$4:$AM$82,13,FALSE))</f>
        <v>0</v>
      </c>
      <c r="I58" s="7">
        <f t="shared" si="2"/>
        <v>0</v>
      </c>
    </row>
    <row r="59" spans="1:9" s="1" customFormat="1">
      <c r="A59" s="5" t="str">
        <f>IF(VLOOKUP(B59,'[2]1. Select Services'!$A$6:$E$77,5,FALSE)="x","x","")</f>
        <v>x</v>
      </c>
      <c r="B59" s="16">
        <v>60</v>
      </c>
      <c r="C59" s="16">
        <v>64</v>
      </c>
      <c r="D59" s="41"/>
      <c r="E59" s="34" t="s">
        <v>79</v>
      </c>
      <c r="F59" s="7">
        <f>IF(Chosen_Scenario="Mitigation Impact Only",VLOOKUP($C59,'[2]LiST Outputs WITH M.'!$AA$4:$AM$82,8,FALSE),VLOOKUP($C59,'[2]LiST Outputs WITH M.'!$AA$4:$AM$82,11,FALSE))</f>
        <v>0</v>
      </c>
      <c r="G59" s="7">
        <f>IF(Chosen_Scenario="Mitigation Impact Only",VLOOKUP($C59,'[2]LiST Outputs WITH M.'!$AA$4:$AM$82,9,FALSE),VLOOKUP($C59,'[2]LiST Outputs WITH M.'!$AA$4:$AM$82,12,FALSE))</f>
        <v>16</v>
      </c>
      <c r="H59" s="7">
        <f>IF(Chosen_Scenario="Mitigation Impact Only",VLOOKUP($C59,'[2]LiST Outputs WITH M.'!$AA$4:$AM$82,10,FALSE),VLOOKUP($C59,'[2]LiST Outputs WITH M.'!$AA$4:$AM$82,13,FALSE))</f>
        <v>0</v>
      </c>
      <c r="I59" s="7">
        <f t="shared" si="2"/>
        <v>16</v>
      </c>
    </row>
    <row r="60" spans="1:9" s="1" customFormat="1">
      <c r="A60" s="5" t="str">
        <f>IF(VLOOKUP(B60,'[2]1. Select Services'!$A$6:$E$77,5,FALSE)="x","x","")</f>
        <v>x</v>
      </c>
      <c r="B60" s="17">
        <v>61</v>
      </c>
      <c r="C60" s="17">
        <v>47</v>
      </c>
      <c r="D60" s="41" t="s">
        <v>80</v>
      </c>
      <c r="E60" s="38" t="s">
        <v>81</v>
      </c>
      <c r="F60" s="7">
        <f>IF(Chosen_Scenario="Mitigation Impact Only",VLOOKUP($C60,'[2]LiST Outputs WITH M.'!$AA$4:$AM$82,8,FALSE),VLOOKUP($C60,'[2]LiST Outputs WITH M.'!$AA$4:$AM$82,11,FALSE))</f>
        <v>0</v>
      </c>
      <c r="G60" s="7">
        <f>IF(Chosen_Scenario="Mitigation Impact Only",VLOOKUP($C60,'[2]LiST Outputs WITH M.'!$AA$4:$AM$82,9,FALSE),VLOOKUP($C60,'[2]LiST Outputs WITH M.'!$AA$4:$AM$82,12,FALSE))</f>
        <v>0</v>
      </c>
      <c r="H60" s="7">
        <f>IF(Chosen_Scenario="Mitigation Impact Only",VLOOKUP($C60,'[2]LiST Outputs WITH M.'!$AA$4:$AM$82,10,FALSE),VLOOKUP($C60,'[2]LiST Outputs WITH M.'!$AA$4:$AM$82,13,FALSE))</f>
        <v>0</v>
      </c>
      <c r="I60" s="7">
        <f t="shared" si="2"/>
        <v>0</v>
      </c>
    </row>
    <row r="61" spans="1:9" s="1" customFormat="1">
      <c r="A61" s="5" t="str">
        <f>IF(VLOOKUP(B61,'[2]1. Select Services'!$A$6:$E$77,5,FALSE)="x","x","")</f>
        <v>x</v>
      </c>
      <c r="B61" s="17">
        <v>62</v>
      </c>
      <c r="C61" s="17">
        <v>48</v>
      </c>
      <c r="D61" s="41"/>
      <c r="E61" s="38" t="s">
        <v>82</v>
      </c>
      <c r="F61" s="7">
        <f>IF(Chosen_Scenario="Mitigation Impact Only",VLOOKUP($C61,'[2]LiST Outputs WITH M.'!$AA$4:$AM$82,8,FALSE),VLOOKUP($C61,'[2]LiST Outputs WITH M.'!$AA$4:$AM$82,11,FALSE))</f>
        <v>0</v>
      </c>
      <c r="G61" s="7">
        <f>IF(Chosen_Scenario="Mitigation Impact Only",VLOOKUP($C61,'[2]LiST Outputs WITH M.'!$AA$4:$AM$82,9,FALSE),VLOOKUP($C61,'[2]LiST Outputs WITH M.'!$AA$4:$AM$82,12,FALSE))</f>
        <v>0</v>
      </c>
      <c r="H61" s="7">
        <f>IF(Chosen_Scenario="Mitigation Impact Only",VLOOKUP($C61,'[2]LiST Outputs WITH M.'!$AA$4:$AM$82,10,FALSE),VLOOKUP($C61,'[2]LiST Outputs WITH M.'!$AA$4:$AM$82,13,FALSE))</f>
        <v>0</v>
      </c>
      <c r="I61" s="7">
        <f t="shared" si="2"/>
        <v>0</v>
      </c>
    </row>
    <row r="62" spans="1:9" s="1" customFormat="1">
      <c r="A62" s="5" t="str">
        <f>IF(VLOOKUP(B62,'[2]1. Select Services'!$A$6:$E$77,5,FALSE)="x","x","")</f>
        <v>x</v>
      </c>
      <c r="B62" s="17">
        <v>63</v>
      </c>
      <c r="C62" s="17">
        <v>71</v>
      </c>
      <c r="D62" s="41"/>
      <c r="E62" s="38" t="s">
        <v>83</v>
      </c>
      <c r="F62" s="7">
        <f>IF(Chosen_Scenario="Mitigation Impact Only",VLOOKUP($C62,'[2]LiST Outputs WITH M.'!$AA$4:$AM$82,8,FALSE),VLOOKUP($C62,'[2]LiST Outputs WITH M.'!$AA$4:$AM$82,11,FALSE))</f>
        <v>0</v>
      </c>
      <c r="G62" s="7">
        <f>IF(Chosen_Scenario="Mitigation Impact Only",VLOOKUP($C62,'[2]LiST Outputs WITH M.'!$AA$4:$AM$82,9,FALSE),VLOOKUP($C62,'[2]LiST Outputs WITH M.'!$AA$4:$AM$82,12,FALSE))</f>
        <v>9</v>
      </c>
      <c r="H62" s="7">
        <f>IF(Chosen_Scenario="Mitigation Impact Only",VLOOKUP($C62,'[2]LiST Outputs WITH M.'!$AA$4:$AM$82,10,FALSE),VLOOKUP($C62,'[2]LiST Outputs WITH M.'!$AA$4:$AM$82,13,FALSE))</f>
        <v>0</v>
      </c>
      <c r="I62" s="7">
        <f t="shared" si="2"/>
        <v>9</v>
      </c>
    </row>
    <row r="63" spans="1:9" s="1" customFormat="1">
      <c r="A63" s="5" t="str">
        <f>IF(VLOOKUP(B63,'[2]1. Select Services'!$A$6:$E$77,5,FALSE)="x","x","")</f>
        <v>x</v>
      </c>
      <c r="B63" s="17">
        <v>64</v>
      </c>
      <c r="C63" s="17">
        <v>72</v>
      </c>
      <c r="D63" s="41"/>
      <c r="E63" s="38" t="s">
        <v>84</v>
      </c>
      <c r="F63" s="7">
        <f>IF(Chosen_Scenario="Mitigation Impact Only",VLOOKUP($C63,'[2]LiST Outputs WITH M.'!$AA$4:$AM$82,8,FALSE),VLOOKUP($C63,'[2]LiST Outputs WITH M.'!$AA$4:$AM$82,11,FALSE))</f>
        <v>0</v>
      </c>
      <c r="G63" s="7">
        <f>IF(Chosen_Scenario="Mitigation Impact Only",VLOOKUP($C63,'[2]LiST Outputs WITH M.'!$AA$4:$AM$82,9,FALSE),VLOOKUP($C63,'[2]LiST Outputs WITH M.'!$AA$4:$AM$82,12,FALSE))</f>
        <v>0</v>
      </c>
      <c r="H63" s="7">
        <f>IF(Chosen_Scenario="Mitigation Impact Only",VLOOKUP($C63,'[2]LiST Outputs WITH M.'!$AA$4:$AM$82,10,FALSE),VLOOKUP($C63,'[2]LiST Outputs WITH M.'!$AA$4:$AM$82,13,FALSE))</f>
        <v>0</v>
      </c>
      <c r="I63" s="7">
        <f t="shared" si="2"/>
        <v>0</v>
      </c>
    </row>
    <row r="64" spans="1:9" s="1" customFormat="1">
      <c r="A64" s="5" t="str">
        <f>IF(VLOOKUP(B64,'[2]1. Select Services'!$A$6:$E$77,5,FALSE)="x","x","")</f>
        <v>x</v>
      </c>
      <c r="B64" s="17">
        <v>65</v>
      </c>
      <c r="C64" s="17">
        <v>73</v>
      </c>
      <c r="D64" s="41"/>
      <c r="E64" s="38" t="s">
        <v>85</v>
      </c>
      <c r="F64" s="7">
        <f>IF(Chosen_Scenario="Mitigation Impact Only",VLOOKUP($C64,'[2]LiST Outputs WITH M.'!$AA$4:$AM$82,8,FALSE),VLOOKUP($C64,'[2]LiST Outputs WITH M.'!$AA$4:$AM$82,11,FALSE))</f>
        <v>0</v>
      </c>
      <c r="G64" s="7">
        <f>IF(Chosen_Scenario="Mitigation Impact Only",VLOOKUP($C64,'[2]LiST Outputs WITH M.'!$AA$4:$AM$82,9,FALSE),VLOOKUP($C64,'[2]LiST Outputs WITH M.'!$AA$4:$AM$82,12,FALSE))</f>
        <v>0</v>
      </c>
      <c r="H64" s="7">
        <f>IF(Chosen_Scenario="Mitigation Impact Only",VLOOKUP($C64,'[2]LiST Outputs WITH M.'!$AA$4:$AM$82,10,FALSE),VLOOKUP($C64,'[2]LiST Outputs WITH M.'!$AA$4:$AM$82,13,FALSE))</f>
        <v>0</v>
      </c>
      <c r="I64" s="7">
        <f t="shared" si="2"/>
        <v>0</v>
      </c>
    </row>
    <row r="65" spans="1:10" s="1" customFormat="1">
      <c r="A65" s="5" t="str">
        <f>IF(VLOOKUP(B65,'[2]1. Select Services'!$A$6:$E$77,5,FALSE)="x","x","")</f>
        <v>x</v>
      </c>
      <c r="B65" s="17">
        <v>66</v>
      </c>
      <c r="C65" s="17">
        <v>74</v>
      </c>
      <c r="D65" s="41"/>
      <c r="E65" s="38" t="s">
        <v>86</v>
      </c>
      <c r="F65" s="7">
        <f>IF(Chosen_Scenario="Mitigation Impact Only",VLOOKUP($C65,'[2]LiST Outputs WITH M.'!$AA$4:$AM$82,8,FALSE),VLOOKUP($C65,'[2]LiST Outputs WITH M.'!$AA$4:$AM$82,11,FALSE))</f>
        <v>0</v>
      </c>
      <c r="G65" s="7">
        <f>IF(Chosen_Scenario="Mitigation Impact Only",VLOOKUP($C65,'[2]LiST Outputs WITH M.'!$AA$4:$AM$82,9,FALSE),VLOOKUP($C65,'[2]LiST Outputs WITH M.'!$AA$4:$AM$82,12,FALSE))</f>
        <v>25</v>
      </c>
      <c r="H65" s="7">
        <f>IF(Chosen_Scenario="Mitigation Impact Only",VLOOKUP($C65,'[2]LiST Outputs WITH M.'!$AA$4:$AM$82,10,FALSE),VLOOKUP($C65,'[2]LiST Outputs WITH M.'!$AA$4:$AM$82,13,FALSE))</f>
        <v>0</v>
      </c>
      <c r="I65" s="7">
        <f t="shared" si="2"/>
        <v>25</v>
      </c>
    </row>
    <row r="66" spans="1:10" s="1" customFormat="1">
      <c r="A66" s="5" t="str">
        <f>IF(VLOOKUP(B66,'[2]1. Select Services'!$A$6:$E$77,5,FALSE)="x","x","")</f>
        <v>x</v>
      </c>
      <c r="B66" s="17">
        <v>67</v>
      </c>
      <c r="C66" s="17">
        <v>75</v>
      </c>
      <c r="D66" s="41"/>
      <c r="E66" s="38" t="s">
        <v>87</v>
      </c>
      <c r="F66" s="7">
        <f>IF(Chosen_Scenario="Mitigation Impact Only",VLOOKUP($C66,'[2]LiST Outputs WITH M.'!$AA$4:$AM$82,8,FALSE),VLOOKUP($C66,'[2]LiST Outputs WITH M.'!$AA$4:$AM$82,11,FALSE))</f>
        <v>0</v>
      </c>
      <c r="G66" s="7">
        <f>IF(Chosen_Scenario="Mitigation Impact Only",VLOOKUP($C66,'[2]LiST Outputs WITH M.'!$AA$4:$AM$82,9,FALSE),VLOOKUP($C66,'[2]LiST Outputs WITH M.'!$AA$4:$AM$82,12,FALSE))</f>
        <v>0</v>
      </c>
      <c r="H66" s="7">
        <f>IF(Chosen_Scenario="Mitigation Impact Only",VLOOKUP($C66,'[2]LiST Outputs WITH M.'!$AA$4:$AM$82,10,FALSE),VLOOKUP($C66,'[2]LiST Outputs WITH M.'!$AA$4:$AM$82,13,FALSE))</f>
        <v>0</v>
      </c>
      <c r="I66" s="7">
        <f t="shared" si="2"/>
        <v>0</v>
      </c>
    </row>
    <row r="67" spans="1:10" s="1" customFormat="1">
      <c r="A67" s="5" t="str">
        <f>IF(VLOOKUP(B67,'[2]1. Select Services'!$A$6:$E$77,5,FALSE)="x","x","")</f>
        <v>x</v>
      </c>
      <c r="B67" s="17">
        <v>68</v>
      </c>
      <c r="C67" s="17">
        <v>76</v>
      </c>
      <c r="D67" s="41"/>
      <c r="E67" s="38" t="s">
        <v>88</v>
      </c>
      <c r="F67" s="7">
        <f>IF(Chosen_Scenario="Mitigation Impact Only",VLOOKUP($C67,'[2]LiST Outputs WITH M.'!$AA$4:$AM$82,8,FALSE),VLOOKUP($C67,'[2]LiST Outputs WITH M.'!$AA$4:$AM$82,11,FALSE))</f>
        <v>0</v>
      </c>
      <c r="G67" s="7">
        <f>IF(Chosen_Scenario="Mitigation Impact Only",VLOOKUP($C67,'[2]LiST Outputs WITH M.'!$AA$4:$AM$82,9,FALSE),VLOOKUP($C67,'[2]LiST Outputs WITH M.'!$AA$4:$AM$82,12,FALSE))</f>
        <v>0</v>
      </c>
      <c r="H67" s="7">
        <f>IF(Chosen_Scenario="Mitigation Impact Only",VLOOKUP($C67,'[2]LiST Outputs WITH M.'!$AA$4:$AM$82,10,FALSE),VLOOKUP($C67,'[2]LiST Outputs WITH M.'!$AA$4:$AM$82,13,FALSE))</f>
        <v>0</v>
      </c>
      <c r="I67" s="7">
        <f t="shared" si="2"/>
        <v>0</v>
      </c>
    </row>
    <row r="68" spans="1:10" s="1" customFormat="1">
      <c r="A68" s="5" t="str">
        <f>IF(VLOOKUP(B68,'[2]1. Select Services'!$A$6:$E$77,5,FALSE)="x","x","")</f>
        <v/>
      </c>
      <c r="B68" s="18">
        <v>69</v>
      </c>
      <c r="C68" s="18">
        <v>77</v>
      </c>
      <c r="D68" s="43" t="s">
        <v>89</v>
      </c>
      <c r="E68" s="44" t="s">
        <v>90</v>
      </c>
      <c r="F68" s="7">
        <f>VLOOKUP($C68,'[2]LiST Outputs WITH M.'!$AA$4:$AM$82,11,FALSE)+'[2]LiST Outputs WITH M.'!AH81</f>
        <v>0</v>
      </c>
      <c r="G68" s="7">
        <f>VLOOKUP($C68,'[2]LiST Outputs WITH M.'!$AA$4:$AM$82,12,FALSE)</f>
        <v>0</v>
      </c>
      <c r="H68" s="7">
        <f>VLOOKUP($C68,'[2]LiST Outputs WITH M.'!$AA$4:$AM$82,13,FALSE)</f>
        <v>0</v>
      </c>
      <c r="I68" s="7">
        <f t="shared" si="2"/>
        <v>0</v>
      </c>
      <c r="J68" s="45" t="s">
        <v>91</v>
      </c>
    </row>
    <row r="69" spans="1:10" s="1" customFormat="1">
      <c r="A69" s="5" t="str">
        <f>IF(VLOOKUP(B69,'[2]1. Select Services'!$A$6:$E$77,5,FALSE)="x","x","")</f>
        <v/>
      </c>
      <c r="B69" s="18">
        <v>70</v>
      </c>
      <c r="C69" s="18">
        <v>78</v>
      </c>
      <c r="D69" s="43"/>
      <c r="E69" s="44" t="s">
        <v>92</v>
      </c>
      <c r="F69" s="7">
        <f>VLOOKUP($C69,'[2]LiST Outputs WITH M.'!$AA$4:$AM$82,11,FALSE)</f>
        <v>0</v>
      </c>
      <c r="G69" s="7">
        <f>VLOOKUP($C69,'[2]LiST Outputs WITH M.'!$AA$4:$AM$82,12,FALSE)</f>
        <v>0</v>
      </c>
      <c r="H69" s="7">
        <f>VLOOKUP($C69,'[2]LiST Outputs WITH M.'!$AA$4:$AM$82,13,FALSE)</f>
        <v>0</v>
      </c>
      <c r="I69" s="7">
        <f t="shared" si="2"/>
        <v>0</v>
      </c>
    </row>
    <row r="70" spans="1:10" s="1" customFormat="1">
      <c r="A70" s="5" t="str">
        <f>IF(VLOOKUP(B70,'[2]1. Select Services'!$A$6:$E$77,5,FALSE)="x","x","")</f>
        <v/>
      </c>
      <c r="B70" s="19">
        <v>71</v>
      </c>
      <c r="C70" s="20">
        <v>54</v>
      </c>
      <c r="D70" s="21"/>
      <c r="E70" s="34" t="s">
        <v>93</v>
      </c>
      <c r="F70" s="7">
        <f>VLOOKUP($C70,'[2]LiST Outputs WITH M.'!$AA$4:$AM$82,11,FALSE)</f>
        <v>0</v>
      </c>
      <c r="G70" s="7">
        <f>VLOOKUP($C70,'[2]LiST Outputs WITH M.'!$AA$4:$AM$82,12,FALSE)</f>
        <v>0</v>
      </c>
      <c r="H70" s="7">
        <f>VLOOKUP($C70,'[2]LiST Outputs WITH M.'!$AA$4:$AM$82,13,FALSE)</f>
        <v>0</v>
      </c>
      <c r="I70" s="7">
        <f t="shared" si="2"/>
        <v>0</v>
      </c>
    </row>
  </sheetData>
  <mergeCells count="13">
    <mergeCell ref="I47:I48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2024-11-19T07:20:00Z</dcterms:created>
  <dcterms:modified xsi:type="dcterms:W3CDTF">2025-12-01T02:15:28Z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0EE0364260C74DEBA656F45CC2B3588D_11</vt:lpwstr>
  </property>
  <property fmtid="{D5CDD505-2E9C-101B-9397-08002B2CF9AE}" pid="3" name="KSOProductBuildVer">
    <vt:lpwstr>2052-12.1.0.19302</vt:lpwstr>
  </property>
</Properties>
</file>