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 tabRatio="500"/>
  </bookViews>
  <sheets>
    <sheet name="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7" i="1" l="1"/>
</calcChain>
</file>

<file path=xl/sharedStrings.xml><?xml version="1.0" encoding="utf-8"?>
<sst xmlns="http://schemas.openxmlformats.org/spreadsheetml/2006/main" count="106" uniqueCount="39">
  <si>
    <t>Number and percentage of public school students retained, by race/ethnicity, disability status, and English proficiency, by gender and grade: School Year 2011-12</t>
  </si>
  <si>
    <t>Grade</t>
  </si>
  <si>
    <t>Gender</t>
  </si>
  <si>
    <t>Total Students</t>
  </si>
  <si>
    <t>Race/Ethnicity</t>
  </si>
  <si>
    <t>Students With Disabilities Served Under IDEA</t>
  </si>
  <si>
    <t>Students With Disabilities Served Only Under Section 504</t>
  </si>
  <si>
    <t>English Language Learners</t>
  </si>
  <si>
    <t>Number of Schools</t>
  </si>
  <si>
    <t xml:space="preserve">Percent of Schools Reporting </t>
  </si>
  <si>
    <t>American Indian or
Alaska Native</t>
  </si>
  <si>
    <t>Asian</t>
  </si>
  <si>
    <t>Hispanic or Latino of any race</t>
  </si>
  <si>
    <t>Black or African American</t>
  </si>
  <si>
    <t>White</t>
  </si>
  <si>
    <t>Native Hawaiian or Other Pacific Islander</t>
  </si>
  <si>
    <t>Two or more races</t>
  </si>
  <si>
    <t>Number</t>
  </si>
  <si>
    <t>Percent</t>
  </si>
  <si>
    <t>Percent </t>
  </si>
  <si>
    <t>Kindergarten</t>
  </si>
  <si>
    <t>Male</t>
  </si>
  <si>
    <t>Female</t>
  </si>
  <si>
    <t>Total</t>
  </si>
  <si>
    <t>1</t>
  </si>
  <si>
    <t>2</t>
  </si>
  <si>
    <t>3</t>
  </si>
  <si>
    <t>4</t>
  </si>
  <si>
    <t xml:space="preserve">1-3 </t>
  </si>
  <si>
    <t>5</t>
  </si>
  <si>
    <t>6</t>
  </si>
  <si>
    <t>7</t>
  </si>
  <si>
    <t>8</t>
  </si>
  <si>
    <t>9</t>
  </si>
  <si>
    <t>10</t>
  </si>
  <si>
    <t>11</t>
  </si>
  <si>
    <t>12</t>
  </si>
  <si>
    <t xml:space="preserve">            The ‘1-3’ reference indicates that the data have been suppressed based on the schools’ reported n-size, and that the midpoint was used to calculate the total.</t>
  </si>
  <si>
    <r>
      <rPr>
        <sz val="10"/>
        <rFont val="Arial"/>
        <charset val="134"/>
      </rPr>
      <t xml:space="preserve">SOURCE: U.S. Department of Education, Office for Civil Rights, Civil Rights Data Collection, 2011-12, available at </t>
    </r>
    <r>
      <rPr>
        <u/>
        <sz val="10"/>
        <color theme="3"/>
        <rFont val="Arial"/>
        <charset val="134"/>
      </rPr>
      <t>http://ocrdata.ed.gov</t>
    </r>
    <r>
      <rPr>
        <sz val="10"/>
        <rFont val="Arial"/>
        <charset val="134"/>
      </rPr>
      <t xml:space="preserve">. Data notes are available at </t>
    </r>
    <r>
      <rPr>
        <u/>
        <sz val="10"/>
        <color theme="3"/>
        <rFont val="Arial"/>
        <charset val="134"/>
      </rPr>
      <t>http://ocrdata.ed.gov/downloads/DataNotes.docx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</si>
</sst>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#,##0_)"/>
    <numFmt numFmtId="169" formatCode="#,##0.0_)"/>
  </numFmts>
  <fonts count="16">
    <font>
      <sz val="12"/>
      <color theme="1"/>
      <name val="Calibri"/>
      <charset val="134"/>
      <scheme val="minor"/>
    </font>
    <font>
      <sz val="11"/>
      <color theme="1"/>
      <name val="Arial"/>
      <charset val="134"/>
    </font>
    <font>
      <sz val="14"/>
      <color theme="1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14"/>
      <name val="Arial"/>
      <charset val="134"/>
    </font>
    <font>
      <sz val="11"/>
      <color rgb="FF333399"/>
      <name val="Arial"/>
      <charset val="134"/>
    </font>
    <font>
      <b/>
      <sz val="14"/>
      <color rgb="FF333399"/>
      <name val="Arial"/>
      <charset val="134"/>
    </font>
    <font>
      <b/>
      <sz val="11"/>
      <color rgb="FF333399"/>
      <name val="Arial"/>
      <charset val="134"/>
    </font>
    <font>
      <b/>
      <sz val="10"/>
      <name val="Arial"/>
      <charset val="134"/>
    </font>
    <font>
      <sz val="10"/>
      <color theme="1"/>
      <name val="Arial"/>
      <charset val="134"/>
    </font>
    <font>
      <sz val="10"/>
      <color theme="0"/>
      <name val="Arial"/>
      <charset val="134"/>
    </font>
    <font>
      <sz val="11"/>
      <color theme="1"/>
      <name val="Calibri"/>
      <charset val="134"/>
      <scheme val="minor"/>
    </font>
    <font>
      <sz val="10"/>
      <name val="MS Sans Serif"/>
      <charset val="134"/>
    </font>
    <font>
      <sz val="10"/>
      <color theme="1"/>
      <name val="Arial Narrow"/>
      <charset val="134"/>
    </font>
    <font>
      <u/>
      <sz val="10"/>
      <color theme="3"/>
      <name val="Arial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3" fillId="0" borderId="0"/>
    <xf numFmtId="0" fontId="12" fillId="0" borderId="0"/>
    <xf numFmtId="0" fontId="13" fillId="0" borderId="0"/>
    <xf numFmtId="0" fontId="14" fillId="0" borderId="0"/>
    <xf numFmtId="0" fontId="14" fillId="0" borderId="0"/>
  </cellStyleXfs>
  <cellXfs count="132">
    <xf numFmtId="0" fontId="0" fillId="0" borderId="0" xfId="0"/>
    <xf numFmtId="0" fontId="1" fillId="0" borderId="0" xfId="2" applyFont="1"/>
    <xf numFmtId="0" fontId="2" fillId="0" borderId="0" xfId="2" applyFont="1" applyAlignment="1">
      <alignment horizontal="left"/>
    </xf>
    <xf numFmtId="0" fontId="3" fillId="0" borderId="0" xfId="2" applyFont="1" applyFill="1" applyAlignment="1"/>
    <xf numFmtId="0" fontId="3" fillId="0" borderId="0" xfId="1" applyFont="1" applyFill="1"/>
    <xf numFmtId="0" fontId="3" fillId="0" borderId="0" xfId="1" applyFont="1" applyFill="1" applyBorder="1"/>
    <xf numFmtId="0" fontId="4" fillId="0" borderId="0" xfId="1" applyFont="1"/>
    <xf numFmtId="0" fontId="3" fillId="0" borderId="0" xfId="1" applyFont="1"/>
    <xf numFmtId="0" fontId="1" fillId="0" borderId="0" xfId="2" applyFont="1" applyAlignment="1">
      <alignment vertical="center"/>
    </xf>
    <xf numFmtId="0" fontId="1" fillId="0" borderId="0" xfId="2" applyFont="1" applyBorder="1"/>
    <xf numFmtId="0" fontId="4" fillId="0" borderId="0" xfId="1" applyFont="1" applyBorder="1"/>
    <xf numFmtId="0" fontId="5" fillId="0" borderId="0" xfId="1" applyFont="1" applyFill="1" applyAlignment="1">
      <alignment vertical="center"/>
    </xf>
    <xf numFmtId="0" fontId="5" fillId="0" borderId="0" xfId="1" applyFont="1" applyFill="1"/>
    <xf numFmtId="1" fontId="6" fillId="0" borderId="0" xfId="4" applyNumberFormat="1" applyFont="1" applyAlignment="1">
      <alignment wrapText="1"/>
    </xf>
    <xf numFmtId="0" fontId="8" fillId="0" borderId="1" xfId="4" applyFont="1" applyBorder="1" applyAlignment="1">
      <alignment vertical="center"/>
    </xf>
    <xf numFmtId="0" fontId="8" fillId="0" borderId="1" xfId="4" applyFont="1" applyBorder="1"/>
    <xf numFmtId="1" fontId="6" fillId="0" borderId="1" xfId="4" applyNumberFormat="1" applyFont="1" applyBorder="1" applyAlignment="1">
      <alignment wrapText="1"/>
    </xf>
    <xf numFmtId="168" fontId="3" fillId="2" borderId="4" xfId="2" applyNumberFormat="1" applyFont="1" applyFill="1" applyBorder="1" applyAlignment="1">
      <alignment horizontal="right"/>
    </xf>
    <xf numFmtId="169" fontId="3" fillId="2" borderId="0" xfId="2" applyNumberFormat="1" applyFont="1" applyFill="1" applyBorder="1" applyAlignment="1">
      <alignment horizontal="right"/>
    </xf>
    <xf numFmtId="168" fontId="3" fillId="0" borderId="12" xfId="2" applyNumberFormat="1" applyFont="1" applyFill="1" applyBorder="1" applyAlignment="1">
      <alignment horizontal="right"/>
    </xf>
    <xf numFmtId="169" fontId="3" fillId="0" borderId="13" xfId="2" applyNumberFormat="1" applyFont="1" applyFill="1" applyBorder="1" applyAlignment="1">
      <alignment horizontal="right"/>
    </xf>
    <xf numFmtId="168" fontId="3" fillId="2" borderId="6" xfId="2" applyNumberFormat="1" applyFont="1" applyFill="1" applyBorder="1" applyAlignment="1">
      <alignment horizontal="right"/>
    </xf>
    <xf numFmtId="169" fontId="3" fillId="2" borderId="15" xfId="2" applyNumberFormat="1" applyFont="1" applyFill="1" applyBorder="1" applyAlignment="1">
      <alignment horizontal="right"/>
    </xf>
    <xf numFmtId="168" fontId="3" fillId="0" borderId="16" xfId="2" applyNumberFormat="1" applyFont="1" applyFill="1" applyBorder="1" applyAlignment="1">
      <alignment horizontal="right"/>
    </xf>
    <xf numFmtId="169" fontId="3" fillId="0" borderId="0" xfId="2" applyNumberFormat="1" applyFont="1" applyFill="1" applyBorder="1" applyAlignment="1">
      <alignment horizontal="right"/>
    </xf>
    <xf numFmtId="168" fontId="3" fillId="2" borderId="12" xfId="2" applyNumberFormat="1" applyFont="1" applyFill="1" applyBorder="1" applyAlignment="1">
      <alignment horizontal="right"/>
    </xf>
    <xf numFmtId="169" fontId="3" fillId="2" borderId="13" xfId="2" applyNumberFormat="1" applyFont="1" applyFill="1" applyBorder="1" applyAlignment="1">
      <alignment horizontal="right"/>
    </xf>
    <xf numFmtId="168" fontId="3" fillId="0" borderId="6" xfId="2" applyNumberFormat="1" applyFont="1" applyFill="1" applyBorder="1" applyAlignment="1">
      <alignment horizontal="right"/>
    </xf>
    <xf numFmtId="169" fontId="3" fillId="0" borderId="15" xfId="2" applyNumberFormat="1" applyFont="1" applyFill="1" applyBorder="1" applyAlignment="1">
      <alignment horizontal="right"/>
    </xf>
    <xf numFmtId="168" fontId="3" fillId="2" borderId="16" xfId="2" applyNumberFormat="1" applyFont="1" applyFill="1" applyBorder="1" applyAlignment="1">
      <alignment horizontal="right"/>
    </xf>
    <xf numFmtId="168" fontId="3" fillId="2" borderId="18" xfId="2" applyNumberFormat="1" applyFont="1" applyFill="1" applyBorder="1" applyAlignment="1">
      <alignment horizontal="right"/>
    </xf>
    <xf numFmtId="169" fontId="3" fillId="2" borderId="1" xfId="2" applyNumberFormat="1" applyFont="1" applyFill="1" applyBorder="1" applyAlignment="1">
      <alignment horizontal="right"/>
    </xf>
    <xf numFmtId="0" fontId="10" fillId="0" borderId="0" xfId="2" applyFont="1"/>
    <xf numFmtId="0" fontId="3" fillId="0" borderId="0" xfId="2" applyFont="1" applyFill="1" applyBorder="1"/>
    <xf numFmtId="0" fontId="3" fillId="0" borderId="0" xfId="2" applyFont="1" applyFill="1"/>
    <xf numFmtId="169" fontId="3" fillId="2" borderId="25" xfId="2" applyNumberFormat="1" applyFont="1" applyFill="1" applyBorder="1" applyAlignment="1">
      <alignment horizontal="right"/>
    </xf>
    <xf numFmtId="168" fontId="3" fillId="2" borderId="0" xfId="2" applyNumberFormat="1" applyFont="1" applyFill="1" applyBorder="1" applyAlignment="1">
      <alignment horizontal="right"/>
    </xf>
    <xf numFmtId="169" fontId="3" fillId="0" borderId="26" xfId="2" applyNumberFormat="1" applyFont="1" applyFill="1" applyBorder="1" applyAlignment="1">
      <alignment horizontal="right"/>
    </xf>
    <xf numFmtId="168" fontId="3" fillId="0" borderId="13" xfId="2" applyNumberFormat="1" applyFont="1" applyFill="1" applyBorder="1" applyAlignment="1">
      <alignment horizontal="right"/>
    </xf>
    <xf numFmtId="169" fontId="3" fillId="2" borderId="27" xfId="2" applyNumberFormat="1" applyFont="1" applyFill="1" applyBorder="1" applyAlignment="1">
      <alignment horizontal="right"/>
    </xf>
    <xf numFmtId="168" fontId="3" fillId="2" borderId="15" xfId="2" applyNumberFormat="1" applyFont="1" applyFill="1" applyBorder="1" applyAlignment="1">
      <alignment horizontal="right"/>
    </xf>
    <xf numFmtId="169" fontId="3" fillId="0" borderId="25" xfId="2" applyNumberFormat="1" applyFont="1" applyFill="1" applyBorder="1" applyAlignment="1">
      <alignment horizontal="right"/>
    </xf>
    <xf numFmtId="168" fontId="3" fillId="0" borderId="0" xfId="2" applyNumberFormat="1" applyFont="1" applyFill="1" applyBorder="1" applyAlignment="1">
      <alignment horizontal="right"/>
    </xf>
    <xf numFmtId="169" fontId="3" fillId="2" borderId="26" xfId="2" applyNumberFormat="1" applyFont="1" applyFill="1" applyBorder="1" applyAlignment="1">
      <alignment horizontal="right"/>
    </xf>
    <xf numFmtId="168" fontId="3" fillId="2" borderId="13" xfId="2" applyNumberFormat="1" applyFont="1" applyFill="1" applyBorder="1" applyAlignment="1">
      <alignment horizontal="right"/>
    </xf>
    <xf numFmtId="169" fontId="3" fillId="0" borderId="27" xfId="2" applyNumberFormat="1" applyFont="1" applyFill="1" applyBorder="1" applyAlignment="1">
      <alignment horizontal="right"/>
    </xf>
    <xf numFmtId="168" fontId="3" fillId="0" borderId="15" xfId="2" applyNumberFormat="1" applyFont="1" applyFill="1" applyBorder="1" applyAlignment="1">
      <alignment horizontal="right"/>
    </xf>
    <xf numFmtId="169" fontId="3" fillId="2" borderId="28" xfId="2" applyNumberFormat="1" applyFont="1" applyFill="1" applyBorder="1" applyAlignment="1">
      <alignment horizontal="right"/>
    </xf>
    <xf numFmtId="168" fontId="3" fillId="2" borderId="1" xfId="2" applyNumberFormat="1" applyFont="1" applyFill="1" applyBorder="1" applyAlignment="1">
      <alignment horizontal="right"/>
    </xf>
    <xf numFmtId="0" fontId="11" fillId="3" borderId="0" xfId="2" applyFont="1" applyFill="1" applyBorder="1"/>
    <xf numFmtId="168" fontId="3" fillId="2" borderId="33" xfId="2" applyNumberFormat="1" applyFont="1" applyFill="1" applyBorder="1" applyAlignment="1">
      <alignment horizontal="right"/>
    </xf>
    <xf numFmtId="169" fontId="3" fillId="2" borderId="5" xfId="2" applyNumberFormat="1" applyFont="1" applyFill="1" applyBorder="1" applyAlignment="1">
      <alignment horizontal="right"/>
    </xf>
    <xf numFmtId="168" fontId="3" fillId="0" borderId="34" xfId="2" applyNumberFormat="1" applyFont="1" applyFill="1" applyBorder="1" applyAlignment="1">
      <alignment horizontal="right"/>
    </xf>
    <xf numFmtId="169" fontId="3" fillId="0" borderId="35" xfId="2" applyNumberFormat="1" applyFont="1" applyFill="1" applyBorder="1" applyAlignment="1">
      <alignment horizontal="right"/>
    </xf>
    <xf numFmtId="168" fontId="3" fillId="2" borderId="36" xfId="2" applyNumberFormat="1" applyFont="1" applyFill="1" applyBorder="1" applyAlignment="1">
      <alignment horizontal="right"/>
    </xf>
    <xf numFmtId="169" fontId="3" fillId="2" borderId="7" xfId="2" applyNumberFormat="1" applyFont="1" applyFill="1" applyBorder="1" applyAlignment="1">
      <alignment horizontal="right"/>
    </xf>
    <xf numFmtId="168" fontId="3" fillId="0" borderId="33" xfId="2" applyNumberFormat="1" applyFont="1" applyFill="1" applyBorder="1" applyAlignment="1">
      <alignment horizontal="right"/>
    </xf>
    <xf numFmtId="169" fontId="3" fillId="0" borderId="5" xfId="2" applyNumberFormat="1" applyFont="1" applyFill="1" applyBorder="1" applyAlignment="1">
      <alignment horizontal="right"/>
    </xf>
    <xf numFmtId="168" fontId="3" fillId="2" borderId="34" xfId="2" applyNumberFormat="1" applyFont="1" applyFill="1" applyBorder="1" applyAlignment="1">
      <alignment horizontal="right"/>
    </xf>
    <xf numFmtId="169" fontId="3" fillId="2" borderId="35" xfId="2" applyNumberFormat="1" applyFont="1" applyFill="1" applyBorder="1" applyAlignment="1">
      <alignment horizontal="right"/>
    </xf>
    <xf numFmtId="168" fontId="3" fillId="0" borderId="36" xfId="2" applyNumberFormat="1" applyFont="1" applyFill="1" applyBorder="1" applyAlignment="1">
      <alignment horizontal="right"/>
    </xf>
    <xf numFmtId="169" fontId="3" fillId="0" borderId="7" xfId="2" applyNumberFormat="1" applyFont="1" applyFill="1" applyBorder="1" applyAlignment="1">
      <alignment horizontal="right"/>
    </xf>
    <xf numFmtId="168" fontId="3" fillId="2" borderId="37" xfId="2" applyNumberFormat="1" applyFont="1" applyFill="1" applyBorder="1" applyAlignment="1">
      <alignment horizontal="right"/>
    </xf>
    <xf numFmtId="169" fontId="3" fillId="2" borderId="8" xfId="2" applyNumberFormat="1" applyFont="1" applyFill="1" applyBorder="1" applyAlignment="1">
      <alignment horizontal="right"/>
    </xf>
    <xf numFmtId="1" fontId="6" fillId="0" borderId="0" xfId="4" applyNumberFormat="1" applyFont="1" applyBorder="1" applyAlignment="1">
      <alignment wrapText="1"/>
    </xf>
    <xf numFmtId="0" fontId="10" fillId="0" borderId="0" xfId="2" applyFont="1" applyBorder="1"/>
    <xf numFmtId="37" fontId="3" fillId="2" borderId="40" xfId="1" applyNumberFormat="1" applyFont="1" applyFill="1" applyBorder="1"/>
    <xf numFmtId="169" fontId="3" fillId="2" borderId="33" xfId="2" applyNumberFormat="1" applyFont="1" applyFill="1" applyBorder="1"/>
    <xf numFmtId="37" fontId="3" fillId="0" borderId="42" xfId="1" applyNumberFormat="1" applyFont="1" applyFill="1" applyBorder="1"/>
    <xf numFmtId="169" fontId="3" fillId="0" borderId="34" xfId="2" applyNumberFormat="1" applyFont="1" applyFill="1" applyBorder="1"/>
    <xf numFmtId="37" fontId="3" fillId="2" borderId="43" xfId="1" applyNumberFormat="1" applyFont="1" applyFill="1" applyBorder="1"/>
    <xf numFmtId="169" fontId="3" fillId="2" borderId="36" xfId="2" applyNumberFormat="1" applyFont="1" applyFill="1" applyBorder="1"/>
    <xf numFmtId="37" fontId="3" fillId="0" borderId="40" xfId="1" applyNumberFormat="1" applyFont="1" applyFill="1" applyBorder="1"/>
    <xf numFmtId="169" fontId="3" fillId="0" borderId="33" xfId="2" applyNumberFormat="1" applyFont="1" applyFill="1" applyBorder="1"/>
    <xf numFmtId="37" fontId="3" fillId="2" borderId="42" xfId="1" applyNumberFormat="1" applyFont="1" applyFill="1" applyBorder="1"/>
    <xf numFmtId="169" fontId="3" fillId="2" borderId="34" xfId="2" applyNumberFormat="1" applyFont="1" applyFill="1" applyBorder="1"/>
    <xf numFmtId="37" fontId="3" fillId="0" borderId="43" xfId="1" applyNumberFormat="1" applyFont="1" applyFill="1" applyBorder="1"/>
    <xf numFmtId="169" fontId="3" fillId="0" borderId="36" xfId="2" applyNumberFormat="1" applyFont="1" applyFill="1" applyBorder="1"/>
    <xf numFmtId="37" fontId="3" fillId="2" borderId="41" xfId="1" applyNumberFormat="1" applyFont="1" applyFill="1" applyBorder="1"/>
    <xf numFmtId="169" fontId="3" fillId="2" borderId="37" xfId="2" applyNumberFormat="1" applyFont="1" applyFill="1" applyBorder="1"/>
    <xf numFmtId="0" fontId="3" fillId="0" borderId="0" xfId="1" applyFont="1" applyBorder="1"/>
    <xf numFmtId="168" fontId="3" fillId="0" borderId="12" xfId="2" quotePrefix="1" applyNumberFormat="1" applyFont="1" applyFill="1" applyBorder="1" applyAlignment="1">
      <alignment horizontal="right"/>
    </xf>
    <xf numFmtId="168" fontId="3" fillId="0" borderId="16" xfId="2" quotePrefix="1" applyNumberFormat="1" applyFont="1" applyFill="1" applyBorder="1" applyAlignment="1">
      <alignment horizontal="right"/>
    </xf>
    <xf numFmtId="168" fontId="3" fillId="0" borderId="0" xfId="2" quotePrefix="1" applyNumberFormat="1" applyFont="1" applyFill="1" applyBorder="1" applyAlignment="1">
      <alignment horizontal="right"/>
    </xf>
    <xf numFmtId="168" fontId="3" fillId="2" borderId="12" xfId="2" quotePrefix="1" applyNumberFormat="1" applyFont="1" applyFill="1" applyBorder="1" applyAlignment="1">
      <alignment horizontal="right"/>
    </xf>
    <xf numFmtId="168" fontId="3" fillId="2" borderId="13" xfId="2" quotePrefix="1" applyNumberFormat="1" applyFont="1" applyFill="1" applyBorder="1" applyAlignment="1">
      <alignment horizontal="right"/>
    </xf>
    <xf numFmtId="168" fontId="3" fillId="2" borderId="0" xfId="2" quotePrefix="1" applyNumberFormat="1" applyFont="1" applyFill="1" applyBorder="1" applyAlignment="1">
      <alignment horizontal="right"/>
    </xf>
    <xf numFmtId="168" fontId="3" fillId="0" borderId="13" xfId="2" quotePrefix="1" applyNumberFormat="1" applyFont="1" applyFill="1" applyBorder="1" applyAlignment="1">
      <alignment horizontal="right"/>
    </xf>
    <xf numFmtId="168" fontId="3" fillId="2" borderId="34" xfId="2" quotePrefix="1" applyNumberFormat="1" applyFont="1" applyFill="1" applyBorder="1" applyAlignment="1">
      <alignment horizontal="right"/>
    </xf>
    <xf numFmtId="37" fontId="7" fillId="4" borderId="0" xfId="5" applyNumberFormat="1" applyFont="1" applyFill="1" applyAlignment="1">
      <alignment horizontal="left" vertical="center" wrapText="1"/>
    </xf>
    <xf numFmtId="37" fontId="7" fillId="4" borderId="0" xfId="5" applyNumberFormat="1" applyFont="1" applyFill="1" applyAlignment="1">
      <alignment horizontal="left" wrapText="1"/>
    </xf>
    <xf numFmtId="0" fontId="9" fillId="5" borderId="2" xfId="3" applyFont="1" applyFill="1" applyBorder="1" applyAlignment="1">
      <alignment horizontal="center" vertical="center" wrapText="1"/>
    </xf>
    <xf numFmtId="0" fontId="9" fillId="5" borderId="3" xfId="3" applyFont="1" applyFill="1" applyBorder="1" applyAlignment="1">
      <alignment horizontal="center" vertical="center"/>
    </xf>
    <xf numFmtId="1" fontId="9" fillId="5" borderId="4" xfId="3" applyNumberFormat="1" applyFont="1" applyFill="1" applyBorder="1" applyAlignment="1">
      <alignment horizontal="center" wrapText="1"/>
    </xf>
    <xf numFmtId="1" fontId="9" fillId="5" borderId="3" xfId="3" applyNumberFormat="1" applyFont="1" applyFill="1" applyBorder="1" applyAlignment="1">
      <alignment horizontal="center" wrapText="1"/>
    </xf>
    <xf numFmtId="1" fontId="9" fillId="5" borderId="19" xfId="3" applyNumberFormat="1" applyFont="1" applyFill="1" applyBorder="1" applyAlignment="1">
      <alignment horizontal="center" vertical="center"/>
    </xf>
    <xf numFmtId="1" fontId="9" fillId="5" borderId="20" xfId="3" applyNumberFormat="1" applyFont="1" applyFill="1" applyBorder="1" applyAlignment="1">
      <alignment horizontal="center" vertical="center"/>
    </xf>
    <xf numFmtId="1" fontId="9" fillId="5" borderId="30" xfId="3" applyNumberFormat="1" applyFont="1" applyFill="1" applyBorder="1" applyAlignment="1">
      <alignment horizontal="center" vertical="center"/>
    </xf>
    <xf numFmtId="1" fontId="9" fillId="5" borderId="38" xfId="3" applyNumberFormat="1" applyFont="1" applyFill="1" applyBorder="1" applyAlignment="1">
      <alignment horizontal="center" vertical="center" wrapText="1"/>
    </xf>
    <xf numFmtId="1" fontId="9" fillId="5" borderId="39" xfId="3" applyNumberFormat="1" applyFont="1" applyFill="1" applyBorder="1" applyAlignment="1">
      <alignment horizontal="center" vertical="center" wrapText="1"/>
    </xf>
    <xf numFmtId="0" fontId="9" fillId="5" borderId="0" xfId="3" applyFont="1" applyFill="1" applyBorder="1" applyAlignment="1">
      <alignment horizontal="center" vertical="center" wrapText="1"/>
    </xf>
    <xf numFmtId="0" fontId="9" fillId="5" borderId="5" xfId="3" applyFont="1" applyFill="1" applyBorder="1" applyAlignment="1">
      <alignment horizontal="center" vertical="center"/>
    </xf>
    <xf numFmtId="1" fontId="9" fillId="5" borderId="6" xfId="3" applyNumberFormat="1" applyFont="1" applyFill="1" applyBorder="1" applyAlignment="1">
      <alignment horizontal="center" wrapText="1"/>
    </xf>
    <xf numFmtId="1" fontId="9" fillId="5" borderId="7" xfId="3" applyNumberFormat="1" applyFont="1" applyFill="1" applyBorder="1" applyAlignment="1">
      <alignment horizontal="center" wrapText="1"/>
    </xf>
    <xf numFmtId="1" fontId="9" fillId="5" borderId="21" xfId="3" applyNumberFormat="1" applyFont="1" applyFill="1" applyBorder="1" applyAlignment="1">
      <alignment horizontal="center" wrapText="1"/>
    </xf>
    <xf numFmtId="1" fontId="9" fillId="5" borderId="22" xfId="3" applyNumberFormat="1" applyFont="1" applyFill="1" applyBorder="1" applyAlignment="1">
      <alignment horizontal="center" wrapText="1"/>
    </xf>
    <xf numFmtId="1" fontId="9" fillId="5" borderId="23" xfId="3" applyNumberFormat="1" applyFont="1" applyFill="1" applyBorder="1" applyAlignment="1">
      <alignment horizontal="center" wrapText="1"/>
    </xf>
    <xf numFmtId="1" fontId="9" fillId="5" borderId="29" xfId="3" applyNumberFormat="1" applyFont="1" applyFill="1" applyBorder="1" applyAlignment="1">
      <alignment horizontal="center" wrapText="1"/>
    </xf>
    <xf numFmtId="1" fontId="9" fillId="5" borderId="31" xfId="3" applyNumberFormat="1" applyFont="1" applyFill="1" applyBorder="1" applyAlignment="1">
      <alignment horizontal="center" wrapText="1"/>
    </xf>
    <xf numFmtId="1" fontId="9" fillId="5" borderId="40" xfId="3" applyNumberFormat="1" applyFont="1" applyFill="1" applyBorder="1" applyAlignment="1">
      <alignment horizontal="center" vertical="center" wrapText="1"/>
    </xf>
    <xf numFmtId="1" fontId="9" fillId="5" borderId="33" xfId="3" applyNumberFormat="1" applyFont="1" applyFill="1" applyBorder="1" applyAlignment="1">
      <alignment horizontal="center" vertical="center" wrapText="1"/>
    </xf>
    <xf numFmtId="0" fontId="9" fillId="5" borderId="1" xfId="3" applyFont="1" applyFill="1" applyBorder="1" applyAlignment="1">
      <alignment horizontal="center" vertical="center" wrapText="1"/>
    </xf>
    <xf numFmtId="0" fontId="9" fillId="5" borderId="8" xfId="3" applyFont="1" applyFill="1" applyBorder="1" applyAlignment="1">
      <alignment horizontal="center" vertical="center"/>
    </xf>
    <xf numFmtId="1" fontId="9" fillId="5" borderId="1" xfId="3" applyNumberFormat="1" applyFont="1" applyFill="1" applyBorder="1" applyAlignment="1">
      <alignment horizontal="right" wrapText="1"/>
    </xf>
    <xf numFmtId="1" fontId="9" fillId="5" borderId="8" xfId="3" applyNumberFormat="1" applyFont="1" applyFill="1" applyBorder="1" applyAlignment="1">
      <alignment horizontal="right" wrapText="1"/>
    </xf>
    <xf numFmtId="1" fontId="9" fillId="5" borderId="18" xfId="3" applyNumberFormat="1" applyFont="1" applyFill="1" applyBorder="1" applyAlignment="1">
      <alignment horizontal="right" wrapText="1"/>
    </xf>
    <xf numFmtId="1" fontId="9" fillId="5" borderId="24" xfId="0" applyNumberFormat="1" applyFont="1" applyFill="1" applyBorder="1" applyAlignment="1">
      <alignment horizontal="right" wrapText="1"/>
    </xf>
    <xf numFmtId="1" fontId="9" fillId="5" borderId="32" xfId="0" applyNumberFormat="1" applyFont="1" applyFill="1" applyBorder="1" applyAlignment="1">
      <alignment horizontal="right" wrapText="1"/>
    </xf>
    <xf numFmtId="1" fontId="9" fillId="5" borderId="41" xfId="3" applyNumberFormat="1" applyFont="1" applyFill="1" applyBorder="1" applyAlignment="1">
      <alignment horizontal="center" vertical="center" wrapText="1"/>
    </xf>
    <xf numFmtId="1" fontId="9" fillId="5" borderId="37" xfId="3" applyNumberFormat="1" applyFont="1" applyFill="1" applyBorder="1" applyAlignment="1">
      <alignment horizontal="center" vertical="center" wrapText="1"/>
    </xf>
    <xf numFmtId="0" fontId="3" fillId="6" borderId="9" xfId="5" applyFont="1" applyFill="1" applyBorder="1" applyAlignment="1">
      <alignment horizontal="center" vertical="center"/>
    </xf>
    <xf numFmtId="0" fontId="3" fillId="6" borderId="10" xfId="5" applyFont="1" applyFill="1" applyBorder="1" applyAlignment="1">
      <alignment horizontal="center" vertical="center"/>
    </xf>
    <xf numFmtId="0" fontId="3" fillId="6" borderId="14" xfId="5" applyFont="1" applyFill="1" applyBorder="1" applyAlignment="1">
      <alignment horizontal="center" vertical="center"/>
    </xf>
    <xf numFmtId="0" fontId="3" fillId="6" borderId="10" xfId="5" applyFont="1" applyFill="1" applyBorder="1"/>
    <xf numFmtId="0" fontId="3" fillId="6" borderId="11" xfId="5" applyFont="1" applyFill="1" applyBorder="1"/>
    <xf numFmtId="0" fontId="3" fillId="6" borderId="14" xfId="5" applyFont="1" applyFill="1" applyBorder="1"/>
    <xf numFmtId="0" fontId="3" fillId="6" borderId="17" xfId="5" applyFont="1" applyFill="1" applyBorder="1" applyAlignment="1">
      <alignment horizontal="center" vertical="center"/>
    </xf>
    <xf numFmtId="0" fontId="3" fillId="6" borderId="17" xfId="5" applyFont="1" applyFill="1" applyBorder="1"/>
    <xf numFmtId="0" fontId="3" fillId="6" borderId="9" xfId="3" applyFont="1" applyFill="1" applyBorder="1" applyAlignment="1">
      <alignment horizontal="left" vertical="center"/>
    </xf>
    <xf numFmtId="0" fontId="3" fillId="4" borderId="0" xfId="2" applyFont="1" applyFill="1" applyAlignment="1">
      <alignment horizontal="left" vertical="center"/>
    </xf>
    <xf numFmtId="0" fontId="3" fillId="4" borderId="0" xfId="2" quotePrefix="1" applyFont="1" applyFill="1" applyAlignment="1">
      <alignment horizontal="left" vertical="center"/>
    </xf>
    <xf numFmtId="0" fontId="3" fillId="4" borderId="0" xfId="1" applyFont="1" applyFill="1" applyBorder="1" applyAlignment="1">
      <alignment vertical="center"/>
    </xf>
  </cellXfs>
  <cellStyles count="6">
    <cellStyle name="Normal 2 2" xfId="1"/>
    <cellStyle name="Normal 3" xfId="2"/>
    <cellStyle name="Normal 6" xfId="3"/>
    <cellStyle name="Normal 9" xfId="4"/>
    <cellStyle name="Normal 9 2" xfId="5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9"/>
  <sheetViews>
    <sheetView tabSelected="1" workbookViewId="0">
      <selection activeCell="B48" sqref="B48"/>
    </sheetView>
  </sheetViews>
  <sheetFormatPr defaultColWidth="8.83203125" defaultRowHeight="15.5"/>
  <cols>
    <col min="1" max="1" width="10.83203125" style="8" customWidth="1"/>
    <col min="2" max="2" width="23.1640625" style="1" customWidth="1"/>
    <col min="3" max="23" width="11.83203125" style="1" customWidth="1"/>
    <col min="24" max="24" width="11.83203125" style="9" customWidth="1"/>
    <col min="25" max="25" width="11.83203125" style="10" customWidth="1"/>
    <col min="26" max="26" width="11.83203125" style="1" customWidth="1"/>
  </cols>
  <sheetData>
    <row r="1" spans="1:26" s="1" customFormat="1" ht="15" customHeight="1">
      <c r="A1" s="11"/>
      <c r="B1" s="12"/>
      <c r="C1" s="12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64"/>
      <c r="Y1" s="9"/>
      <c r="Z1" s="13"/>
    </row>
    <row r="2" spans="1:26" s="2" customFormat="1" ht="15" customHeight="1">
      <c r="A2" s="89" t="s">
        <v>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1:26" s="1" customFormat="1" ht="15" customHeight="1">
      <c r="A3" s="14"/>
      <c r="B3" s="15"/>
      <c r="C3" s="15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9"/>
      <c r="Z3" s="16"/>
    </row>
    <row r="4" spans="1:26" s="3" customFormat="1" ht="25" customHeight="1">
      <c r="A4" s="91" t="s">
        <v>1</v>
      </c>
      <c r="B4" s="92" t="s">
        <v>2</v>
      </c>
      <c r="C4" s="93" t="s">
        <v>3</v>
      </c>
      <c r="D4" s="94"/>
      <c r="E4" s="95" t="s">
        <v>4</v>
      </c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7"/>
      <c r="S4" s="93" t="s">
        <v>5</v>
      </c>
      <c r="T4" s="94"/>
      <c r="U4" s="93" t="s">
        <v>6</v>
      </c>
      <c r="V4" s="94"/>
      <c r="W4" s="93" t="s">
        <v>7</v>
      </c>
      <c r="X4" s="94"/>
      <c r="Y4" s="98" t="s">
        <v>8</v>
      </c>
      <c r="Z4" s="99" t="s">
        <v>9</v>
      </c>
    </row>
    <row r="5" spans="1:26" s="3" customFormat="1" ht="25" customHeight="1">
      <c r="A5" s="100"/>
      <c r="B5" s="101"/>
      <c r="C5" s="102"/>
      <c r="D5" s="103"/>
      <c r="E5" s="104" t="s">
        <v>10</v>
      </c>
      <c r="F5" s="105"/>
      <c r="G5" s="106" t="s">
        <v>11</v>
      </c>
      <c r="H5" s="105"/>
      <c r="I5" s="107" t="s">
        <v>12</v>
      </c>
      <c r="J5" s="105"/>
      <c r="K5" s="107" t="s">
        <v>13</v>
      </c>
      <c r="L5" s="105"/>
      <c r="M5" s="107" t="s">
        <v>14</v>
      </c>
      <c r="N5" s="105"/>
      <c r="O5" s="107" t="s">
        <v>15</v>
      </c>
      <c r="P5" s="105"/>
      <c r="Q5" s="107" t="s">
        <v>16</v>
      </c>
      <c r="R5" s="108"/>
      <c r="S5" s="102"/>
      <c r="T5" s="103"/>
      <c r="U5" s="102"/>
      <c r="V5" s="103"/>
      <c r="W5" s="102"/>
      <c r="X5" s="103"/>
      <c r="Y5" s="109"/>
      <c r="Z5" s="110"/>
    </row>
    <row r="6" spans="1:26" s="3" customFormat="1" ht="15" customHeight="1">
      <c r="A6" s="111"/>
      <c r="B6" s="112"/>
      <c r="C6" s="113" t="s">
        <v>17</v>
      </c>
      <c r="D6" s="114" t="s">
        <v>18</v>
      </c>
      <c r="E6" s="115" t="s">
        <v>17</v>
      </c>
      <c r="F6" s="116" t="s">
        <v>19</v>
      </c>
      <c r="G6" s="113" t="s">
        <v>17</v>
      </c>
      <c r="H6" s="116" t="s">
        <v>19</v>
      </c>
      <c r="I6" s="113" t="s">
        <v>17</v>
      </c>
      <c r="J6" s="116" t="s">
        <v>19</v>
      </c>
      <c r="K6" s="113" t="s">
        <v>17</v>
      </c>
      <c r="L6" s="116" t="s">
        <v>19</v>
      </c>
      <c r="M6" s="113" t="s">
        <v>17</v>
      </c>
      <c r="N6" s="116" t="s">
        <v>19</v>
      </c>
      <c r="O6" s="113" t="s">
        <v>17</v>
      </c>
      <c r="P6" s="116" t="s">
        <v>19</v>
      </c>
      <c r="Q6" s="113" t="s">
        <v>17</v>
      </c>
      <c r="R6" s="117" t="s">
        <v>19</v>
      </c>
      <c r="S6" s="115" t="s">
        <v>17</v>
      </c>
      <c r="T6" s="114" t="s">
        <v>18</v>
      </c>
      <c r="U6" s="115" t="s">
        <v>17</v>
      </c>
      <c r="V6" s="114" t="s">
        <v>18</v>
      </c>
      <c r="W6" s="113" t="s">
        <v>17</v>
      </c>
      <c r="X6" s="114" t="s">
        <v>18</v>
      </c>
      <c r="Y6" s="118"/>
      <c r="Z6" s="119"/>
    </row>
    <row r="7" spans="1:26" s="4" customFormat="1" ht="15" customHeight="1">
      <c r="A7" s="120" t="s">
        <v>20</v>
      </c>
      <c r="B7" s="128" t="s">
        <v>21</v>
      </c>
      <c r="C7" s="17">
        <v>7984</v>
      </c>
      <c r="D7" s="18">
        <v>62.482391610580699</v>
      </c>
      <c r="E7" s="29">
        <v>93</v>
      </c>
      <c r="F7" s="35">
        <v>0.72781342933166404</v>
      </c>
      <c r="G7" s="36">
        <v>468</v>
      </c>
      <c r="H7" s="35">
        <v>3.6625449992174</v>
      </c>
      <c r="I7" s="36">
        <v>4240</v>
      </c>
      <c r="J7" s="35">
        <v>33.1820316168414</v>
      </c>
      <c r="K7" s="36">
        <v>436</v>
      </c>
      <c r="L7" s="35">
        <v>3.4121145719204899</v>
      </c>
      <c r="M7" s="36">
        <v>2410</v>
      </c>
      <c r="N7" s="35">
        <v>18.860541555798999</v>
      </c>
      <c r="O7" s="36">
        <v>42</v>
      </c>
      <c r="P7" s="35">
        <v>0.32868993582720302</v>
      </c>
      <c r="Q7" s="50">
        <v>295</v>
      </c>
      <c r="R7" s="51">
        <v>2.3086555016434498</v>
      </c>
      <c r="S7" s="17">
        <v>1017</v>
      </c>
      <c r="T7" s="51">
        <v>7.9589920175301296</v>
      </c>
      <c r="U7" s="17">
        <v>62</v>
      </c>
      <c r="V7" s="51">
        <v>0.48520895288777599</v>
      </c>
      <c r="W7" s="17">
        <v>2717</v>
      </c>
      <c r="X7" s="18">
        <v>21.263108467678801</v>
      </c>
      <c r="Y7" s="66">
        <v>5931</v>
      </c>
      <c r="Z7" s="67">
        <v>99.966278873714401</v>
      </c>
    </row>
    <row r="8" spans="1:26" s="4" customFormat="1" ht="15" customHeight="1">
      <c r="A8" s="121"/>
      <c r="B8" s="124" t="s">
        <v>22</v>
      </c>
      <c r="C8" s="19">
        <v>4794</v>
      </c>
      <c r="D8" s="20">
        <v>37.517608389419301</v>
      </c>
      <c r="E8" s="19">
        <v>60</v>
      </c>
      <c r="F8" s="37">
        <v>0.46955705118171898</v>
      </c>
      <c r="G8" s="38">
        <v>221</v>
      </c>
      <c r="H8" s="37">
        <v>1.7295351385193301</v>
      </c>
      <c r="I8" s="38">
        <v>2726</v>
      </c>
      <c r="J8" s="37">
        <v>21.333542025356099</v>
      </c>
      <c r="K8" s="38">
        <v>298</v>
      </c>
      <c r="L8" s="37">
        <v>2.33213335420254</v>
      </c>
      <c r="M8" s="38">
        <v>1314</v>
      </c>
      <c r="N8" s="37">
        <v>10.283299420879599</v>
      </c>
      <c r="O8" s="38">
        <v>26</v>
      </c>
      <c r="P8" s="37">
        <v>0.20347472217874499</v>
      </c>
      <c r="Q8" s="52">
        <v>149</v>
      </c>
      <c r="R8" s="53">
        <v>1.16606667710127</v>
      </c>
      <c r="S8" s="19">
        <v>387</v>
      </c>
      <c r="T8" s="53">
        <v>3.02864298012208</v>
      </c>
      <c r="U8" s="19">
        <v>47</v>
      </c>
      <c r="V8" s="53">
        <v>0.367819690092346</v>
      </c>
      <c r="W8" s="19">
        <v>1751</v>
      </c>
      <c r="X8" s="20">
        <v>13.7032399436532</v>
      </c>
      <c r="Y8" s="68">
        <v>5931</v>
      </c>
      <c r="Z8" s="69">
        <v>99.966278873714401</v>
      </c>
    </row>
    <row r="9" spans="1:26" s="4" customFormat="1" ht="15" customHeight="1">
      <c r="A9" s="122"/>
      <c r="B9" s="125" t="s">
        <v>23</v>
      </c>
      <c r="C9" s="21">
        <v>12778</v>
      </c>
      <c r="D9" s="22">
        <v>100</v>
      </c>
      <c r="E9" s="21">
        <v>153</v>
      </c>
      <c r="F9" s="39">
        <v>1.19737048051338</v>
      </c>
      <c r="G9" s="40">
        <v>689</v>
      </c>
      <c r="H9" s="39">
        <v>5.3920801377367296</v>
      </c>
      <c r="I9" s="40">
        <v>6966</v>
      </c>
      <c r="J9" s="39">
        <v>54.515573642197502</v>
      </c>
      <c r="K9" s="40">
        <v>734</v>
      </c>
      <c r="L9" s="39">
        <v>5.7442479261230197</v>
      </c>
      <c r="M9" s="40">
        <v>3724</v>
      </c>
      <c r="N9" s="39">
        <v>29.1438409766787</v>
      </c>
      <c r="O9" s="40">
        <v>68</v>
      </c>
      <c r="P9" s="39">
        <v>0.53216465800594803</v>
      </c>
      <c r="Q9" s="54">
        <v>444</v>
      </c>
      <c r="R9" s="55">
        <v>3.4747221787447198</v>
      </c>
      <c r="S9" s="21">
        <v>1404</v>
      </c>
      <c r="T9" s="55">
        <v>10.987634997652201</v>
      </c>
      <c r="U9" s="21">
        <v>109</v>
      </c>
      <c r="V9" s="55">
        <v>0.85302864298012204</v>
      </c>
      <c r="W9" s="21">
        <v>4468</v>
      </c>
      <c r="X9" s="22">
        <v>34.966348411332</v>
      </c>
      <c r="Y9" s="70">
        <v>5931</v>
      </c>
      <c r="Z9" s="71">
        <v>99.966278873714401</v>
      </c>
    </row>
    <row r="10" spans="1:26" s="4" customFormat="1" ht="15" customHeight="1">
      <c r="A10" s="121" t="s">
        <v>24</v>
      </c>
      <c r="B10" s="123" t="s">
        <v>21</v>
      </c>
      <c r="C10" s="23">
        <v>5749</v>
      </c>
      <c r="D10" s="24">
        <v>57.936108031845201</v>
      </c>
      <c r="E10" s="23">
        <v>52</v>
      </c>
      <c r="F10" s="41">
        <v>0.52403507003930305</v>
      </c>
      <c r="G10" s="42">
        <v>236</v>
      </c>
      <c r="H10" s="41">
        <v>2.37831301017837</v>
      </c>
      <c r="I10" s="42">
        <v>3903</v>
      </c>
      <c r="J10" s="41">
        <v>39.332863045449997</v>
      </c>
      <c r="K10" s="42">
        <v>458</v>
      </c>
      <c r="L10" s="41">
        <v>4.6155396553461703</v>
      </c>
      <c r="M10" s="42">
        <v>937</v>
      </c>
      <c r="N10" s="41">
        <v>9.4427088582081993</v>
      </c>
      <c r="O10" s="42">
        <v>27</v>
      </c>
      <c r="P10" s="41">
        <v>0.27209513252040701</v>
      </c>
      <c r="Q10" s="56">
        <v>136</v>
      </c>
      <c r="R10" s="57">
        <v>1.3705532601027901</v>
      </c>
      <c r="S10" s="23">
        <v>714</v>
      </c>
      <c r="T10" s="57">
        <v>7.19540461553966</v>
      </c>
      <c r="U10" s="23">
        <v>76</v>
      </c>
      <c r="V10" s="57">
        <v>0.76589741005744205</v>
      </c>
      <c r="W10" s="23">
        <v>2588</v>
      </c>
      <c r="X10" s="24">
        <v>26.080822331956099</v>
      </c>
      <c r="Y10" s="72">
        <v>5977</v>
      </c>
      <c r="Z10" s="73">
        <v>99.966538397189197</v>
      </c>
    </row>
    <row r="11" spans="1:26" s="4" customFormat="1" ht="15" customHeight="1">
      <c r="A11" s="121"/>
      <c r="B11" s="124" t="s">
        <v>22</v>
      </c>
      <c r="C11" s="25">
        <v>4174</v>
      </c>
      <c r="D11" s="26">
        <v>42.063891968154799</v>
      </c>
      <c r="E11" s="25">
        <v>43</v>
      </c>
      <c r="F11" s="43">
        <v>0.43333669253250001</v>
      </c>
      <c r="G11" s="44">
        <v>124</v>
      </c>
      <c r="H11" s="43">
        <v>1.2496220900937201</v>
      </c>
      <c r="I11" s="44">
        <v>2902</v>
      </c>
      <c r="J11" s="43">
        <v>29.245187947193401</v>
      </c>
      <c r="K11" s="44">
        <v>313</v>
      </c>
      <c r="L11" s="43">
        <v>3.1542880177365702</v>
      </c>
      <c r="M11" s="44">
        <v>665</v>
      </c>
      <c r="N11" s="43">
        <v>6.70160233800262</v>
      </c>
      <c r="O11" s="44">
        <v>20</v>
      </c>
      <c r="P11" s="43">
        <v>0.201551950015116</v>
      </c>
      <c r="Q11" s="58">
        <v>107</v>
      </c>
      <c r="R11" s="59">
        <v>1.07830293258087</v>
      </c>
      <c r="S11" s="25">
        <v>306</v>
      </c>
      <c r="T11" s="59">
        <v>3.08374483523128</v>
      </c>
      <c r="U11" s="25">
        <v>41</v>
      </c>
      <c r="V11" s="59">
        <v>0.41318149753098898</v>
      </c>
      <c r="W11" s="25">
        <v>1951</v>
      </c>
      <c r="X11" s="26">
        <v>19.6613927239746</v>
      </c>
      <c r="Y11" s="74">
        <v>5977</v>
      </c>
      <c r="Z11" s="75">
        <v>99.966538397189197</v>
      </c>
    </row>
    <row r="12" spans="1:26" s="4" customFormat="1" ht="15" customHeight="1">
      <c r="A12" s="122"/>
      <c r="B12" s="125" t="s">
        <v>23</v>
      </c>
      <c r="C12" s="27">
        <v>9923</v>
      </c>
      <c r="D12" s="28">
        <v>100</v>
      </c>
      <c r="E12" s="27">
        <v>95</v>
      </c>
      <c r="F12" s="45">
        <v>0.95737176257180301</v>
      </c>
      <c r="G12" s="46">
        <v>360</v>
      </c>
      <c r="H12" s="45">
        <v>3.6279351002720999</v>
      </c>
      <c r="I12" s="46">
        <v>6805</v>
      </c>
      <c r="J12" s="45">
        <v>68.578050992643398</v>
      </c>
      <c r="K12" s="46">
        <v>771</v>
      </c>
      <c r="L12" s="45">
        <v>7.76982767308274</v>
      </c>
      <c r="M12" s="46">
        <v>1602</v>
      </c>
      <c r="N12" s="45">
        <v>16.144311196210801</v>
      </c>
      <c r="O12" s="46">
        <v>47</v>
      </c>
      <c r="P12" s="45">
        <v>0.47364708253552401</v>
      </c>
      <c r="Q12" s="60">
        <v>243</v>
      </c>
      <c r="R12" s="61">
        <v>2.4488561926836598</v>
      </c>
      <c r="S12" s="27">
        <v>1020</v>
      </c>
      <c r="T12" s="61">
        <v>10.2791494507709</v>
      </c>
      <c r="U12" s="27">
        <v>117</v>
      </c>
      <c r="V12" s="61">
        <v>1.17907890758843</v>
      </c>
      <c r="W12" s="27">
        <v>4539</v>
      </c>
      <c r="X12" s="28">
        <v>45.7422150559307</v>
      </c>
      <c r="Y12" s="76">
        <v>5977</v>
      </c>
      <c r="Z12" s="77">
        <v>99.966538397189197</v>
      </c>
    </row>
    <row r="13" spans="1:26" s="4" customFormat="1" ht="15" customHeight="1">
      <c r="A13" s="121" t="s">
        <v>25</v>
      </c>
      <c r="B13" s="123" t="s">
        <v>21</v>
      </c>
      <c r="C13" s="29">
        <v>2763</v>
      </c>
      <c r="D13" s="18">
        <v>57.755016722408001</v>
      </c>
      <c r="E13" s="29">
        <v>23</v>
      </c>
      <c r="F13" s="35">
        <v>0.480769230769231</v>
      </c>
      <c r="G13" s="36">
        <v>120</v>
      </c>
      <c r="H13" s="35">
        <v>2.5083612040133798</v>
      </c>
      <c r="I13" s="36">
        <v>1888</v>
      </c>
      <c r="J13" s="35">
        <v>39.464882943143799</v>
      </c>
      <c r="K13" s="36">
        <v>263</v>
      </c>
      <c r="L13" s="35">
        <v>5.4974916387959896</v>
      </c>
      <c r="M13" s="36">
        <v>396</v>
      </c>
      <c r="N13" s="35">
        <v>8.2775919732441494</v>
      </c>
      <c r="O13" s="36">
        <v>17</v>
      </c>
      <c r="P13" s="35">
        <v>0.35535117056856202</v>
      </c>
      <c r="Q13" s="50">
        <v>56</v>
      </c>
      <c r="R13" s="51">
        <v>1.17056856187291</v>
      </c>
      <c r="S13" s="29">
        <v>341</v>
      </c>
      <c r="T13" s="51">
        <v>7.1279264214046796</v>
      </c>
      <c r="U13" s="29">
        <v>27</v>
      </c>
      <c r="V13" s="51">
        <v>0.56438127090301005</v>
      </c>
      <c r="W13" s="29">
        <v>1181</v>
      </c>
      <c r="X13" s="18">
        <v>24.6864548494983</v>
      </c>
      <c r="Y13" s="66">
        <v>5976</v>
      </c>
      <c r="Z13" s="67">
        <v>99.966532797858093</v>
      </c>
    </row>
    <row r="14" spans="1:26" s="4" customFormat="1" ht="15" customHeight="1">
      <c r="A14" s="121"/>
      <c r="B14" s="124" t="s">
        <v>22</v>
      </c>
      <c r="C14" s="19">
        <v>2021</v>
      </c>
      <c r="D14" s="20">
        <v>42.244983277591999</v>
      </c>
      <c r="E14" s="19">
        <v>20</v>
      </c>
      <c r="F14" s="37">
        <v>0.41806020066889599</v>
      </c>
      <c r="G14" s="38">
        <v>59</v>
      </c>
      <c r="H14" s="37">
        <v>1.2332775919732399</v>
      </c>
      <c r="I14" s="38">
        <v>1416</v>
      </c>
      <c r="J14" s="37">
        <v>29.598662207357901</v>
      </c>
      <c r="K14" s="38">
        <v>180</v>
      </c>
      <c r="L14" s="37">
        <v>3.7625418060200699</v>
      </c>
      <c r="M14" s="38">
        <v>296</v>
      </c>
      <c r="N14" s="37">
        <v>6.1872909698996699</v>
      </c>
      <c r="O14" s="38">
        <v>12</v>
      </c>
      <c r="P14" s="37">
        <v>0.25083612040133801</v>
      </c>
      <c r="Q14" s="52">
        <v>38</v>
      </c>
      <c r="R14" s="53">
        <v>0.79431438127090304</v>
      </c>
      <c r="S14" s="19">
        <v>167</v>
      </c>
      <c r="T14" s="53">
        <v>3.4908026755852801</v>
      </c>
      <c r="U14" s="19">
        <v>23</v>
      </c>
      <c r="V14" s="53">
        <v>0.480769230769231</v>
      </c>
      <c r="W14" s="19">
        <v>936</v>
      </c>
      <c r="X14" s="20">
        <v>19.565217391304301</v>
      </c>
      <c r="Y14" s="68">
        <v>5976</v>
      </c>
      <c r="Z14" s="69">
        <v>99.966532797858093</v>
      </c>
    </row>
    <row r="15" spans="1:26" s="4" customFormat="1" ht="15" customHeight="1">
      <c r="A15" s="122"/>
      <c r="B15" s="125" t="s">
        <v>23</v>
      </c>
      <c r="C15" s="21">
        <v>4784</v>
      </c>
      <c r="D15" s="22">
        <v>100</v>
      </c>
      <c r="E15" s="21">
        <v>43</v>
      </c>
      <c r="F15" s="39">
        <v>0.89882943143812699</v>
      </c>
      <c r="G15" s="40">
        <v>179</v>
      </c>
      <c r="H15" s="39">
        <v>3.7416387959866202</v>
      </c>
      <c r="I15" s="40">
        <v>3304</v>
      </c>
      <c r="J15" s="39">
        <v>69.063545150501696</v>
      </c>
      <c r="K15" s="40">
        <v>443</v>
      </c>
      <c r="L15" s="39">
        <v>9.2600334448160506</v>
      </c>
      <c r="M15" s="40">
        <v>692</v>
      </c>
      <c r="N15" s="39">
        <v>14.464882943143801</v>
      </c>
      <c r="O15" s="40">
        <v>29</v>
      </c>
      <c r="P15" s="39">
        <v>0.60618729096989998</v>
      </c>
      <c r="Q15" s="54">
        <v>94</v>
      </c>
      <c r="R15" s="55">
        <v>1.96488294314381</v>
      </c>
      <c r="S15" s="21">
        <v>508</v>
      </c>
      <c r="T15" s="55">
        <v>10.61872909699</v>
      </c>
      <c r="U15" s="21">
        <v>50</v>
      </c>
      <c r="V15" s="55">
        <v>1.04515050167224</v>
      </c>
      <c r="W15" s="21">
        <v>2117</v>
      </c>
      <c r="X15" s="22">
        <v>44.251672240802698</v>
      </c>
      <c r="Y15" s="70">
        <v>5976</v>
      </c>
      <c r="Z15" s="71">
        <v>99.966532797858093</v>
      </c>
    </row>
    <row r="16" spans="1:26" s="4" customFormat="1" ht="15" customHeight="1">
      <c r="A16" s="121" t="s">
        <v>26</v>
      </c>
      <c r="B16" s="123" t="s">
        <v>21</v>
      </c>
      <c r="C16" s="23">
        <v>1436</v>
      </c>
      <c r="D16" s="24">
        <v>58.636178031849703</v>
      </c>
      <c r="E16" s="23">
        <v>13</v>
      </c>
      <c r="F16" s="41">
        <v>0.53082890975908503</v>
      </c>
      <c r="G16" s="42">
        <v>58</v>
      </c>
      <c r="H16" s="41">
        <v>2.36831359738669</v>
      </c>
      <c r="I16" s="42">
        <v>963</v>
      </c>
      <c r="J16" s="41">
        <v>39.322172315230702</v>
      </c>
      <c r="K16" s="42">
        <v>137</v>
      </c>
      <c r="L16" s="41">
        <v>5.5941200489995904</v>
      </c>
      <c r="M16" s="42">
        <v>238</v>
      </c>
      <c r="N16" s="41">
        <v>9.7182523478970992</v>
      </c>
      <c r="O16" s="42">
        <v>10</v>
      </c>
      <c r="P16" s="41">
        <v>0.40832993058391198</v>
      </c>
      <c r="Q16" s="56">
        <v>17</v>
      </c>
      <c r="R16" s="57">
        <v>0.69416088199265003</v>
      </c>
      <c r="S16" s="23">
        <v>221</v>
      </c>
      <c r="T16" s="57">
        <v>9.0240914659044495</v>
      </c>
      <c r="U16" s="23">
        <v>28</v>
      </c>
      <c r="V16" s="57">
        <v>1.14332380563495</v>
      </c>
      <c r="W16" s="23">
        <v>599</v>
      </c>
      <c r="X16" s="24">
        <v>24.458962841976302</v>
      </c>
      <c r="Y16" s="72">
        <v>5975</v>
      </c>
      <c r="Z16" s="73">
        <v>99.966527196652706</v>
      </c>
    </row>
    <row r="17" spans="1:26" s="4" customFormat="1" ht="15" customHeight="1">
      <c r="A17" s="121"/>
      <c r="B17" s="124" t="s">
        <v>22</v>
      </c>
      <c r="C17" s="25">
        <v>1013</v>
      </c>
      <c r="D17" s="26">
        <v>41.363821968150297</v>
      </c>
      <c r="E17" s="25">
        <v>4</v>
      </c>
      <c r="F17" s="43">
        <v>0.16333197223356499</v>
      </c>
      <c r="G17" s="44">
        <v>30</v>
      </c>
      <c r="H17" s="43">
        <v>1.2249897917517401</v>
      </c>
      <c r="I17" s="44">
        <v>704</v>
      </c>
      <c r="J17" s="43">
        <v>28.746427113107401</v>
      </c>
      <c r="K17" s="44">
        <v>95</v>
      </c>
      <c r="L17" s="43">
        <v>3.8791343405471599</v>
      </c>
      <c r="M17" s="44">
        <v>150</v>
      </c>
      <c r="N17" s="43">
        <v>6.1249489587586803</v>
      </c>
      <c r="O17" s="44">
        <v>7</v>
      </c>
      <c r="P17" s="43">
        <v>0.28583095140873799</v>
      </c>
      <c r="Q17" s="58">
        <v>23</v>
      </c>
      <c r="R17" s="59">
        <v>0.93915884034299701</v>
      </c>
      <c r="S17" s="25">
        <v>87</v>
      </c>
      <c r="T17" s="59">
        <v>3.5524703960800301</v>
      </c>
      <c r="U17" s="25">
        <v>11</v>
      </c>
      <c r="V17" s="59">
        <v>0.44916292364230298</v>
      </c>
      <c r="W17" s="25">
        <v>465</v>
      </c>
      <c r="X17" s="26">
        <v>18.9873417721519</v>
      </c>
      <c r="Y17" s="74">
        <v>5975</v>
      </c>
      <c r="Z17" s="75">
        <v>99.966527196652706</v>
      </c>
    </row>
    <row r="18" spans="1:26" s="4" customFormat="1" ht="15" customHeight="1">
      <c r="A18" s="122"/>
      <c r="B18" s="125" t="s">
        <v>23</v>
      </c>
      <c r="C18" s="27">
        <v>2449</v>
      </c>
      <c r="D18" s="28">
        <v>100</v>
      </c>
      <c r="E18" s="27">
        <v>17</v>
      </c>
      <c r="F18" s="45">
        <v>0.69416088199265003</v>
      </c>
      <c r="G18" s="46">
        <v>88</v>
      </c>
      <c r="H18" s="45">
        <v>3.5933033891384198</v>
      </c>
      <c r="I18" s="46">
        <v>1667</v>
      </c>
      <c r="J18" s="45">
        <v>68.068599428338104</v>
      </c>
      <c r="K18" s="46">
        <v>232</v>
      </c>
      <c r="L18" s="45">
        <v>9.4732543895467494</v>
      </c>
      <c r="M18" s="46">
        <v>388</v>
      </c>
      <c r="N18" s="45">
        <v>15.8432013066558</v>
      </c>
      <c r="O18" s="46">
        <v>17</v>
      </c>
      <c r="P18" s="45">
        <v>0.69416088199265003</v>
      </c>
      <c r="Q18" s="60">
        <v>40</v>
      </c>
      <c r="R18" s="61">
        <v>1.6333197223356499</v>
      </c>
      <c r="S18" s="27">
        <v>308</v>
      </c>
      <c r="T18" s="61">
        <v>12.5765618619845</v>
      </c>
      <c r="U18" s="27">
        <v>39</v>
      </c>
      <c r="V18" s="61">
        <v>1.59248672927726</v>
      </c>
      <c r="W18" s="27">
        <v>1064</v>
      </c>
      <c r="X18" s="28">
        <v>43.446304614128202</v>
      </c>
      <c r="Y18" s="76">
        <v>5975</v>
      </c>
      <c r="Z18" s="77">
        <v>99.966527196652706</v>
      </c>
    </row>
    <row r="19" spans="1:26" s="4" customFormat="1" ht="15" customHeight="1">
      <c r="A19" s="121" t="s">
        <v>27</v>
      </c>
      <c r="B19" s="123" t="s">
        <v>21</v>
      </c>
      <c r="C19" s="29">
        <v>687</v>
      </c>
      <c r="D19" s="18">
        <v>58.517887563884202</v>
      </c>
      <c r="E19" s="29">
        <v>5</v>
      </c>
      <c r="F19" s="35">
        <v>0.425894378194208</v>
      </c>
      <c r="G19" s="36">
        <v>36</v>
      </c>
      <c r="H19" s="35">
        <v>3.0664395229983001</v>
      </c>
      <c r="I19" s="36">
        <v>430</v>
      </c>
      <c r="J19" s="35">
        <v>36.626916524701898</v>
      </c>
      <c r="K19" s="36">
        <v>91</v>
      </c>
      <c r="L19" s="35">
        <v>7.75127768313458</v>
      </c>
      <c r="M19" s="36">
        <v>104</v>
      </c>
      <c r="N19" s="35">
        <v>8.8586030664395192</v>
      </c>
      <c r="O19" s="36">
        <v>4</v>
      </c>
      <c r="P19" s="35">
        <v>0.34071550255536598</v>
      </c>
      <c r="Q19" s="50">
        <v>17</v>
      </c>
      <c r="R19" s="51">
        <v>1.44804088586031</v>
      </c>
      <c r="S19" s="29">
        <v>95</v>
      </c>
      <c r="T19" s="51">
        <v>8.0919931856899492</v>
      </c>
      <c r="U19" s="29">
        <v>13</v>
      </c>
      <c r="V19" s="51">
        <v>1.1073253833049399</v>
      </c>
      <c r="W19" s="29">
        <v>270</v>
      </c>
      <c r="X19" s="18">
        <v>22.998296422487201</v>
      </c>
      <c r="Y19" s="66">
        <v>5977</v>
      </c>
      <c r="Z19" s="67">
        <v>99.966538397189197</v>
      </c>
    </row>
    <row r="20" spans="1:26" s="4" customFormat="1" ht="15" customHeight="1">
      <c r="A20" s="121"/>
      <c r="B20" s="124" t="s">
        <v>22</v>
      </c>
      <c r="C20" s="19">
        <v>487</v>
      </c>
      <c r="D20" s="20">
        <v>41.482112436115798</v>
      </c>
      <c r="E20" s="81" t="s">
        <v>28</v>
      </c>
      <c r="F20" s="37">
        <v>0.17035775127768299</v>
      </c>
      <c r="G20" s="38">
        <v>23</v>
      </c>
      <c r="H20" s="37">
        <v>1.95911413969336</v>
      </c>
      <c r="I20" s="38">
        <v>321</v>
      </c>
      <c r="J20" s="37">
        <v>27.342419080068101</v>
      </c>
      <c r="K20" s="38">
        <v>60</v>
      </c>
      <c r="L20" s="37">
        <v>5.11073253833049</v>
      </c>
      <c r="M20" s="38">
        <v>68</v>
      </c>
      <c r="N20" s="37">
        <v>5.7921635434412302</v>
      </c>
      <c r="O20" s="38">
        <v>5</v>
      </c>
      <c r="P20" s="37">
        <v>0.425894378194208</v>
      </c>
      <c r="Q20" s="52">
        <v>8</v>
      </c>
      <c r="R20" s="53">
        <v>0.68143100511073296</v>
      </c>
      <c r="S20" s="19">
        <v>56</v>
      </c>
      <c r="T20" s="53">
        <v>4.7700170357751297</v>
      </c>
      <c r="U20" s="19">
        <v>5</v>
      </c>
      <c r="V20" s="53">
        <v>0.425894378194208</v>
      </c>
      <c r="W20" s="19">
        <v>195</v>
      </c>
      <c r="X20" s="20">
        <v>16.609880749574099</v>
      </c>
      <c r="Y20" s="68">
        <v>5977</v>
      </c>
      <c r="Z20" s="69">
        <v>99.966538397189197</v>
      </c>
    </row>
    <row r="21" spans="1:26" s="4" customFormat="1" ht="15" customHeight="1">
      <c r="A21" s="122"/>
      <c r="B21" s="125" t="s">
        <v>23</v>
      </c>
      <c r="C21" s="21">
        <v>1174</v>
      </c>
      <c r="D21" s="22">
        <v>100</v>
      </c>
      <c r="E21" s="21">
        <v>7</v>
      </c>
      <c r="F21" s="39">
        <v>0.59625212947189099</v>
      </c>
      <c r="G21" s="40">
        <v>59</v>
      </c>
      <c r="H21" s="39">
        <v>5.0255536626916504</v>
      </c>
      <c r="I21" s="40">
        <v>751</v>
      </c>
      <c r="J21" s="39">
        <v>63.969335604770002</v>
      </c>
      <c r="K21" s="40">
        <v>151</v>
      </c>
      <c r="L21" s="39">
        <v>12.8620102214651</v>
      </c>
      <c r="M21" s="40">
        <v>172</v>
      </c>
      <c r="N21" s="39">
        <v>14.6507666098807</v>
      </c>
      <c r="O21" s="40">
        <v>9</v>
      </c>
      <c r="P21" s="39">
        <v>0.76660988074957404</v>
      </c>
      <c r="Q21" s="54">
        <v>25</v>
      </c>
      <c r="R21" s="55">
        <v>2.1294718909710402</v>
      </c>
      <c r="S21" s="21">
        <v>151</v>
      </c>
      <c r="T21" s="55">
        <v>12.8620102214651</v>
      </c>
      <c r="U21" s="21">
        <v>18</v>
      </c>
      <c r="V21" s="55">
        <v>1.5332197614991501</v>
      </c>
      <c r="W21" s="21">
        <v>465</v>
      </c>
      <c r="X21" s="22">
        <v>39.608177172061303</v>
      </c>
      <c r="Y21" s="70">
        <v>5977</v>
      </c>
      <c r="Z21" s="71">
        <v>99.966538397189197</v>
      </c>
    </row>
    <row r="22" spans="1:26" s="4" customFormat="1" ht="15" customHeight="1">
      <c r="A22" s="121" t="s">
        <v>29</v>
      </c>
      <c r="B22" s="123" t="s">
        <v>21</v>
      </c>
      <c r="C22" s="23">
        <v>436</v>
      </c>
      <c r="D22" s="24">
        <v>61.235955056179797</v>
      </c>
      <c r="E22" s="82" t="s">
        <v>28</v>
      </c>
      <c r="F22" s="41">
        <v>0.28089887640449401</v>
      </c>
      <c r="G22" s="42">
        <v>28</v>
      </c>
      <c r="H22" s="41">
        <v>3.9325842696629199</v>
      </c>
      <c r="I22" s="42">
        <v>256</v>
      </c>
      <c r="J22" s="41">
        <v>35.955056179775298</v>
      </c>
      <c r="K22" s="42">
        <v>52</v>
      </c>
      <c r="L22" s="41">
        <v>7.30337078651685</v>
      </c>
      <c r="M22" s="42">
        <v>85</v>
      </c>
      <c r="N22" s="41">
        <v>11.938202247191001</v>
      </c>
      <c r="O22" s="83" t="s">
        <v>28</v>
      </c>
      <c r="P22" s="41">
        <v>0.28089887640449401</v>
      </c>
      <c r="Q22" s="56">
        <v>11</v>
      </c>
      <c r="R22" s="57">
        <v>1.5449438202247201</v>
      </c>
      <c r="S22" s="23">
        <v>75</v>
      </c>
      <c r="T22" s="57">
        <v>10.5337078651685</v>
      </c>
      <c r="U22" s="23">
        <v>4</v>
      </c>
      <c r="V22" s="57">
        <v>0.56179775280898903</v>
      </c>
      <c r="W22" s="23">
        <v>143</v>
      </c>
      <c r="X22" s="24">
        <v>20.084269662921301</v>
      </c>
      <c r="Y22" s="72">
        <v>6001</v>
      </c>
      <c r="Z22" s="73">
        <v>99.966672221296406</v>
      </c>
    </row>
    <row r="23" spans="1:26" s="4" customFormat="1" ht="15" customHeight="1">
      <c r="A23" s="121"/>
      <c r="B23" s="124" t="s">
        <v>22</v>
      </c>
      <c r="C23" s="25">
        <v>276</v>
      </c>
      <c r="D23" s="26">
        <v>38.764044943820203</v>
      </c>
      <c r="E23" s="84" t="s">
        <v>28</v>
      </c>
      <c r="F23" s="43">
        <v>0.28089887640449401</v>
      </c>
      <c r="G23" s="44">
        <v>16</v>
      </c>
      <c r="H23" s="43">
        <v>2.2471910112359601</v>
      </c>
      <c r="I23" s="44">
        <v>173</v>
      </c>
      <c r="J23" s="43">
        <v>24.2977528089888</v>
      </c>
      <c r="K23" s="44">
        <v>32</v>
      </c>
      <c r="L23" s="43">
        <v>4.4943820224719104</v>
      </c>
      <c r="M23" s="44">
        <v>43</v>
      </c>
      <c r="N23" s="43">
        <v>6.0393258426966296</v>
      </c>
      <c r="O23" s="85" t="s">
        <v>28</v>
      </c>
      <c r="P23" s="43">
        <v>0.28089887640449401</v>
      </c>
      <c r="Q23" s="58">
        <v>8</v>
      </c>
      <c r="R23" s="59">
        <v>1.1235955056179801</v>
      </c>
      <c r="S23" s="25">
        <v>37</v>
      </c>
      <c r="T23" s="59">
        <v>5.19662921348315</v>
      </c>
      <c r="U23" s="25">
        <v>11</v>
      </c>
      <c r="V23" s="59">
        <v>1.5449438202247201</v>
      </c>
      <c r="W23" s="25">
        <v>92</v>
      </c>
      <c r="X23" s="26">
        <v>12.9213483146067</v>
      </c>
      <c r="Y23" s="74">
        <v>6001</v>
      </c>
      <c r="Z23" s="75">
        <v>99.966672221296406</v>
      </c>
    </row>
    <row r="24" spans="1:26" s="4" customFormat="1" ht="15" customHeight="1">
      <c r="A24" s="122"/>
      <c r="B24" s="125" t="s">
        <v>23</v>
      </c>
      <c r="C24" s="27">
        <v>712</v>
      </c>
      <c r="D24" s="28">
        <v>100</v>
      </c>
      <c r="E24" s="27">
        <v>4</v>
      </c>
      <c r="F24" s="45">
        <v>0.56179775280898903</v>
      </c>
      <c r="G24" s="46">
        <v>44</v>
      </c>
      <c r="H24" s="45">
        <v>6.1797752808988804</v>
      </c>
      <c r="I24" s="46">
        <v>429</v>
      </c>
      <c r="J24" s="45">
        <v>60.252808988764002</v>
      </c>
      <c r="K24" s="46">
        <v>84</v>
      </c>
      <c r="L24" s="45">
        <v>11.7977528089888</v>
      </c>
      <c r="M24" s="46">
        <v>128</v>
      </c>
      <c r="N24" s="45">
        <v>17.977528089887599</v>
      </c>
      <c r="O24" s="46">
        <v>4</v>
      </c>
      <c r="P24" s="45">
        <v>0.56179775280898903</v>
      </c>
      <c r="Q24" s="60">
        <v>19</v>
      </c>
      <c r="R24" s="61">
        <v>2.6685393258426999</v>
      </c>
      <c r="S24" s="27">
        <v>112</v>
      </c>
      <c r="T24" s="61">
        <v>15.730337078651701</v>
      </c>
      <c r="U24" s="27">
        <v>15</v>
      </c>
      <c r="V24" s="61">
        <v>2.1067415730337098</v>
      </c>
      <c r="W24" s="27">
        <v>235</v>
      </c>
      <c r="X24" s="28">
        <v>33.005617977528097</v>
      </c>
      <c r="Y24" s="76">
        <v>6001</v>
      </c>
      <c r="Z24" s="77">
        <v>99.966672221296406</v>
      </c>
    </row>
    <row r="25" spans="1:26" s="4" customFormat="1" ht="15" customHeight="1">
      <c r="A25" s="121" t="s">
        <v>30</v>
      </c>
      <c r="B25" s="123" t="s">
        <v>21</v>
      </c>
      <c r="C25" s="29">
        <v>513</v>
      </c>
      <c r="D25" s="18">
        <v>70.081967213114794</v>
      </c>
      <c r="E25" s="29">
        <v>4</v>
      </c>
      <c r="F25" s="35">
        <v>0.54644808743169404</v>
      </c>
      <c r="G25" s="36">
        <v>28</v>
      </c>
      <c r="H25" s="35">
        <v>3.8251366120218599</v>
      </c>
      <c r="I25" s="36">
        <v>291</v>
      </c>
      <c r="J25" s="35">
        <v>39.754098360655703</v>
      </c>
      <c r="K25" s="36">
        <v>108</v>
      </c>
      <c r="L25" s="35">
        <v>14.7540983606557</v>
      </c>
      <c r="M25" s="36">
        <v>67</v>
      </c>
      <c r="N25" s="35">
        <v>9.15300546448087</v>
      </c>
      <c r="O25" s="86" t="s">
        <v>28</v>
      </c>
      <c r="P25" s="35">
        <v>0.27322404371584702</v>
      </c>
      <c r="Q25" s="50">
        <v>13</v>
      </c>
      <c r="R25" s="51">
        <v>1.7759562841530101</v>
      </c>
      <c r="S25" s="29">
        <v>104</v>
      </c>
      <c r="T25" s="51">
        <v>14.207650273224001</v>
      </c>
      <c r="U25" s="29">
        <v>5</v>
      </c>
      <c r="V25" s="51">
        <v>0.68306010928961702</v>
      </c>
      <c r="W25" s="29">
        <v>181</v>
      </c>
      <c r="X25" s="18">
        <v>24.7267759562842</v>
      </c>
      <c r="Y25" s="66">
        <v>4536</v>
      </c>
      <c r="Z25" s="67">
        <v>99.933862433862402</v>
      </c>
    </row>
    <row r="26" spans="1:26" s="4" customFormat="1" ht="15" customHeight="1">
      <c r="A26" s="121"/>
      <c r="B26" s="124" t="s">
        <v>22</v>
      </c>
      <c r="C26" s="19">
        <v>219</v>
      </c>
      <c r="D26" s="20">
        <v>29.918032786885199</v>
      </c>
      <c r="E26" s="81" t="s">
        <v>28</v>
      </c>
      <c r="F26" s="37">
        <v>0.27322404371584702</v>
      </c>
      <c r="G26" s="38">
        <v>9</v>
      </c>
      <c r="H26" s="37">
        <v>1.22950819672131</v>
      </c>
      <c r="I26" s="38">
        <v>120</v>
      </c>
      <c r="J26" s="37">
        <v>16.393442622950801</v>
      </c>
      <c r="K26" s="38">
        <v>47</v>
      </c>
      <c r="L26" s="37">
        <v>6.4207650273223997</v>
      </c>
      <c r="M26" s="38">
        <v>30</v>
      </c>
      <c r="N26" s="37">
        <v>4.0983606557377001</v>
      </c>
      <c r="O26" s="87" t="s">
        <v>28</v>
      </c>
      <c r="P26" s="37">
        <v>0.27322404371584702</v>
      </c>
      <c r="Q26" s="52">
        <v>9</v>
      </c>
      <c r="R26" s="53">
        <v>1.22950819672131</v>
      </c>
      <c r="S26" s="19">
        <v>36</v>
      </c>
      <c r="T26" s="53">
        <v>4.9180327868852496</v>
      </c>
      <c r="U26" s="81" t="s">
        <v>28</v>
      </c>
      <c r="V26" s="53">
        <v>0.27322404371584702</v>
      </c>
      <c r="W26" s="19">
        <v>76</v>
      </c>
      <c r="X26" s="20">
        <v>10.3825136612022</v>
      </c>
      <c r="Y26" s="68">
        <v>4536</v>
      </c>
      <c r="Z26" s="69">
        <v>99.933862433862402</v>
      </c>
    </row>
    <row r="27" spans="1:26" s="4" customFormat="1" ht="15" customHeight="1">
      <c r="A27" s="122"/>
      <c r="B27" s="125" t="s">
        <v>23</v>
      </c>
      <c r="C27" s="21">
        <v>732</v>
      </c>
      <c r="D27" s="22">
        <v>100</v>
      </c>
      <c r="E27" s="21">
        <v>6</v>
      </c>
      <c r="F27" s="39">
        <v>0.81967213114754101</v>
      </c>
      <c r="G27" s="40">
        <v>37</v>
      </c>
      <c r="H27" s="39">
        <v>5.0546448087431699</v>
      </c>
      <c r="I27" s="40">
        <v>411</v>
      </c>
      <c r="J27" s="39">
        <v>56.147540983606604</v>
      </c>
      <c r="K27" s="40">
        <v>155</v>
      </c>
      <c r="L27" s="39">
        <v>21.1748633879781</v>
      </c>
      <c r="M27" s="40">
        <v>97</v>
      </c>
      <c r="N27" s="39">
        <v>13.2513661202186</v>
      </c>
      <c r="O27" s="40">
        <v>4</v>
      </c>
      <c r="P27" s="39">
        <v>0.54644808743169404</v>
      </c>
      <c r="Q27" s="54">
        <v>22</v>
      </c>
      <c r="R27" s="55">
        <v>3.0054644808743198</v>
      </c>
      <c r="S27" s="21">
        <v>140</v>
      </c>
      <c r="T27" s="55">
        <v>19.125683060109299</v>
      </c>
      <c r="U27" s="21">
        <v>7</v>
      </c>
      <c r="V27" s="55">
        <v>0.95628415300546399</v>
      </c>
      <c r="W27" s="21">
        <v>257</v>
      </c>
      <c r="X27" s="22">
        <v>35.109289617486297</v>
      </c>
      <c r="Y27" s="70">
        <v>4536</v>
      </c>
      <c r="Z27" s="71">
        <v>99.933862433862402</v>
      </c>
    </row>
    <row r="28" spans="1:26" s="4" customFormat="1" ht="15" customHeight="1">
      <c r="A28" s="121" t="s">
        <v>31</v>
      </c>
      <c r="B28" s="123" t="s">
        <v>21</v>
      </c>
      <c r="C28" s="23">
        <v>667</v>
      </c>
      <c r="D28" s="24">
        <v>61.645101663585997</v>
      </c>
      <c r="E28" s="23">
        <v>5</v>
      </c>
      <c r="F28" s="41">
        <v>0.46210720887245799</v>
      </c>
      <c r="G28" s="42">
        <v>17</v>
      </c>
      <c r="H28" s="41">
        <v>1.5711645101663601</v>
      </c>
      <c r="I28" s="42">
        <v>446</v>
      </c>
      <c r="J28" s="41">
        <v>41.219963031423298</v>
      </c>
      <c r="K28" s="42">
        <v>118</v>
      </c>
      <c r="L28" s="41">
        <v>10.905730129389999</v>
      </c>
      <c r="M28" s="42">
        <v>65</v>
      </c>
      <c r="N28" s="41">
        <v>6.0073937153419603</v>
      </c>
      <c r="O28" s="42">
        <v>4</v>
      </c>
      <c r="P28" s="41">
        <v>0.36968576709796702</v>
      </c>
      <c r="Q28" s="56">
        <v>12</v>
      </c>
      <c r="R28" s="57">
        <v>1.1090573012939</v>
      </c>
      <c r="S28" s="23">
        <v>81</v>
      </c>
      <c r="T28" s="57">
        <v>7.48613678373383</v>
      </c>
      <c r="U28" s="23">
        <v>10</v>
      </c>
      <c r="V28" s="57">
        <v>0.92421441774491697</v>
      </c>
      <c r="W28" s="23">
        <v>217</v>
      </c>
      <c r="X28" s="24">
        <v>20.055452865064701</v>
      </c>
      <c r="Y28" s="72">
        <v>2991</v>
      </c>
      <c r="Z28" s="73">
        <v>99.966566365763995</v>
      </c>
    </row>
    <row r="29" spans="1:26" s="4" customFormat="1" ht="15" customHeight="1">
      <c r="A29" s="121"/>
      <c r="B29" s="124" t="s">
        <v>22</v>
      </c>
      <c r="C29" s="25">
        <v>415</v>
      </c>
      <c r="D29" s="26">
        <v>38.354898336414003</v>
      </c>
      <c r="E29" s="84" t="s">
        <v>28</v>
      </c>
      <c r="F29" s="43">
        <v>0.18484288354898301</v>
      </c>
      <c r="G29" s="44">
        <v>14</v>
      </c>
      <c r="H29" s="43">
        <v>1.2939001848428799</v>
      </c>
      <c r="I29" s="44">
        <v>257</v>
      </c>
      <c r="J29" s="43">
        <v>23.752310536044401</v>
      </c>
      <c r="K29" s="44">
        <v>91</v>
      </c>
      <c r="L29" s="43">
        <v>8.4103512014787398</v>
      </c>
      <c r="M29" s="44">
        <v>45</v>
      </c>
      <c r="N29" s="43">
        <v>4.1589648798521299</v>
      </c>
      <c r="O29" s="44">
        <v>4</v>
      </c>
      <c r="P29" s="43">
        <v>0.36968576709796702</v>
      </c>
      <c r="Q29" s="88" t="s">
        <v>28</v>
      </c>
      <c r="R29" s="59">
        <v>0.18484288354898301</v>
      </c>
      <c r="S29" s="25">
        <v>38</v>
      </c>
      <c r="T29" s="59">
        <v>3.51201478743068</v>
      </c>
      <c r="U29" s="84" t="s">
        <v>28</v>
      </c>
      <c r="V29" s="59">
        <v>0.18484288354898301</v>
      </c>
      <c r="W29" s="25">
        <v>112</v>
      </c>
      <c r="X29" s="26">
        <v>10.3512014787431</v>
      </c>
      <c r="Y29" s="74">
        <v>2991</v>
      </c>
      <c r="Z29" s="75">
        <v>99.966566365763995</v>
      </c>
    </row>
    <row r="30" spans="1:26" s="4" customFormat="1" ht="15" customHeight="1">
      <c r="A30" s="122"/>
      <c r="B30" s="125" t="s">
        <v>23</v>
      </c>
      <c r="C30" s="27">
        <v>1082</v>
      </c>
      <c r="D30" s="28">
        <v>100</v>
      </c>
      <c r="E30" s="27">
        <v>7</v>
      </c>
      <c r="F30" s="45">
        <v>0.64695009242144197</v>
      </c>
      <c r="G30" s="46">
        <v>31</v>
      </c>
      <c r="H30" s="45">
        <v>2.8650646950092402</v>
      </c>
      <c r="I30" s="46">
        <v>703</v>
      </c>
      <c r="J30" s="45">
        <v>64.972273567467695</v>
      </c>
      <c r="K30" s="46">
        <v>209</v>
      </c>
      <c r="L30" s="45">
        <v>19.316081330868801</v>
      </c>
      <c r="M30" s="46">
        <v>110</v>
      </c>
      <c r="N30" s="45">
        <v>10.166358595194099</v>
      </c>
      <c r="O30" s="46">
        <v>8</v>
      </c>
      <c r="P30" s="45">
        <v>0.73937153419593304</v>
      </c>
      <c r="Q30" s="60">
        <v>14</v>
      </c>
      <c r="R30" s="61">
        <v>1.2939001848428799</v>
      </c>
      <c r="S30" s="27">
        <v>119</v>
      </c>
      <c r="T30" s="61">
        <v>10.998151571164501</v>
      </c>
      <c r="U30" s="27">
        <v>12</v>
      </c>
      <c r="V30" s="61">
        <v>1.1090573012939</v>
      </c>
      <c r="W30" s="27">
        <v>329</v>
      </c>
      <c r="X30" s="28">
        <v>30.406654343807801</v>
      </c>
      <c r="Y30" s="76">
        <v>2991</v>
      </c>
      <c r="Z30" s="77">
        <v>99.966566365763995</v>
      </c>
    </row>
    <row r="31" spans="1:26" s="4" customFormat="1" ht="15" customHeight="1">
      <c r="A31" s="121" t="s">
        <v>32</v>
      </c>
      <c r="B31" s="123" t="s">
        <v>21</v>
      </c>
      <c r="C31" s="29">
        <v>487</v>
      </c>
      <c r="D31" s="18">
        <v>64.332892998679</v>
      </c>
      <c r="E31" s="29">
        <v>9</v>
      </c>
      <c r="F31" s="35">
        <v>1.1889035667107</v>
      </c>
      <c r="G31" s="36">
        <v>24</v>
      </c>
      <c r="H31" s="35">
        <v>3.17040951122853</v>
      </c>
      <c r="I31" s="36">
        <v>268</v>
      </c>
      <c r="J31" s="35">
        <v>35.402906208718598</v>
      </c>
      <c r="K31" s="36">
        <v>60</v>
      </c>
      <c r="L31" s="35">
        <v>7.9260237780713299</v>
      </c>
      <c r="M31" s="36">
        <v>112</v>
      </c>
      <c r="N31" s="35">
        <v>14.7952443857332</v>
      </c>
      <c r="O31" s="36">
        <v>5</v>
      </c>
      <c r="P31" s="35">
        <v>0.66050198150594497</v>
      </c>
      <c r="Q31" s="50">
        <v>9</v>
      </c>
      <c r="R31" s="51">
        <v>1.1889035667107</v>
      </c>
      <c r="S31" s="29">
        <v>81</v>
      </c>
      <c r="T31" s="51">
        <v>10.700132100396299</v>
      </c>
      <c r="U31" s="29">
        <v>9</v>
      </c>
      <c r="V31" s="51">
        <v>1.1889035667107</v>
      </c>
      <c r="W31" s="29">
        <v>115</v>
      </c>
      <c r="X31" s="18">
        <v>15.191545574636701</v>
      </c>
      <c r="Y31" s="66">
        <v>2966</v>
      </c>
      <c r="Z31" s="67">
        <v>99.9662845583277</v>
      </c>
    </row>
    <row r="32" spans="1:26" s="4" customFormat="1" ht="15" customHeight="1">
      <c r="A32" s="121"/>
      <c r="B32" s="124" t="s">
        <v>22</v>
      </c>
      <c r="C32" s="19">
        <v>270</v>
      </c>
      <c r="D32" s="20">
        <v>35.667107001321</v>
      </c>
      <c r="E32" s="19">
        <v>5</v>
      </c>
      <c r="F32" s="37">
        <v>0.66050198150594497</v>
      </c>
      <c r="G32" s="38">
        <v>18</v>
      </c>
      <c r="H32" s="37">
        <v>2.3778071334213999</v>
      </c>
      <c r="I32" s="38">
        <v>132</v>
      </c>
      <c r="J32" s="37">
        <v>17.4372523117569</v>
      </c>
      <c r="K32" s="38">
        <v>34</v>
      </c>
      <c r="L32" s="37">
        <v>4.4914134742404199</v>
      </c>
      <c r="M32" s="38">
        <v>70</v>
      </c>
      <c r="N32" s="37">
        <v>9.2470277410832207</v>
      </c>
      <c r="O32" s="38">
        <v>4</v>
      </c>
      <c r="P32" s="37">
        <v>0.528401585204756</v>
      </c>
      <c r="Q32" s="52">
        <v>7</v>
      </c>
      <c r="R32" s="53">
        <v>0.92470277410832202</v>
      </c>
      <c r="S32" s="19">
        <v>36</v>
      </c>
      <c r="T32" s="53">
        <v>4.7556142668427999</v>
      </c>
      <c r="U32" s="81" t="s">
        <v>28</v>
      </c>
      <c r="V32" s="53">
        <v>0.264200792602378</v>
      </c>
      <c r="W32" s="19">
        <v>47</v>
      </c>
      <c r="X32" s="20">
        <v>6.2087186261558802</v>
      </c>
      <c r="Y32" s="68">
        <v>2966</v>
      </c>
      <c r="Z32" s="69">
        <v>99.9662845583277</v>
      </c>
    </row>
    <row r="33" spans="1:26" s="4" customFormat="1" ht="15" customHeight="1">
      <c r="A33" s="122"/>
      <c r="B33" s="125" t="s">
        <v>23</v>
      </c>
      <c r="C33" s="21">
        <v>757</v>
      </c>
      <c r="D33" s="22">
        <v>100</v>
      </c>
      <c r="E33" s="21">
        <v>14</v>
      </c>
      <c r="F33" s="39">
        <v>1.84940554821664</v>
      </c>
      <c r="G33" s="40">
        <v>42</v>
      </c>
      <c r="H33" s="39">
        <v>5.5482166446499299</v>
      </c>
      <c r="I33" s="40">
        <v>400</v>
      </c>
      <c r="J33" s="39">
        <v>52.840158520475597</v>
      </c>
      <c r="K33" s="40">
        <v>94</v>
      </c>
      <c r="L33" s="39">
        <v>12.4174372523118</v>
      </c>
      <c r="M33" s="40">
        <v>182</v>
      </c>
      <c r="N33" s="39">
        <v>24.0422721268164</v>
      </c>
      <c r="O33" s="40">
        <v>9</v>
      </c>
      <c r="P33" s="39">
        <v>1.1889035667107</v>
      </c>
      <c r="Q33" s="54">
        <v>16</v>
      </c>
      <c r="R33" s="55">
        <v>2.11360634081902</v>
      </c>
      <c r="S33" s="21">
        <v>117</v>
      </c>
      <c r="T33" s="55">
        <v>15.455746367239099</v>
      </c>
      <c r="U33" s="21">
        <v>11</v>
      </c>
      <c r="V33" s="55">
        <v>1.4531043593130799</v>
      </c>
      <c r="W33" s="21">
        <v>162</v>
      </c>
      <c r="X33" s="22">
        <v>21.400264200792599</v>
      </c>
      <c r="Y33" s="70">
        <v>2966</v>
      </c>
      <c r="Z33" s="71">
        <v>99.9662845583277</v>
      </c>
    </row>
    <row r="34" spans="1:26" s="4" customFormat="1" ht="15" customHeight="1">
      <c r="A34" s="121" t="s">
        <v>33</v>
      </c>
      <c r="B34" s="123" t="s">
        <v>21</v>
      </c>
      <c r="C34" s="23">
        <v>12313</v>
      </c>
      <c r="D34" s="24">
        <v>59.371232942764799</v>
      </c>
      <c r="E34" s="23">
        <v>92</v>
      </c>
      <c r="F34" s="41">
        <v>0.44360866001253701</v>
      </c>
      <c r="G34" s="42">
        <v>343</v>
      </c>
      <c r="H34" s="41">
        <v>1.6538888085250001</v>
      </c>
      <c r="I34" s="42">
        <v>9382</v>
      </c>
      <c r="J34" s="41">
        <v>45.238439654756696</v>
      </c>
      <c r="K34" s="42">
        <v>995</v>
      </c>
      <c r="L34" s="41">
        <v>4.7977240947008104</v>
      </c>
      <c r="M34" s="42">
        <v>1268</v>
      </c>
      <c r="N34" s="41">
        <v>6.1140845749553998</v>
      </c>
      <c r="O34" s="42">
        <v>62</v>
      </c>
      <c r="P34" s="41">
        <v>0.29895366218236202</v>
      </c>
      <c r="Q34" s="56">
        <v>171</v>
      </c>
      <c r="R34" s="57">
        <v>0.82453348763199796</v>
      </c>
      <c r="S34" s="23">
        <v>1995</v>
      </c>
      <c r="T34" s="57">
        <v>9.6195573557066396</v>
      </c>
      <c r="U34" s="23">
        <v>120</v>
      </c>
      <c r="V34" s="57">
        <v>0.57861999132069997</v>
      </c>
      <c r="W34" s="23">
        <v>7001</v>
      </c>
      <c r="X34" s="24">
        <v>33.757654660301803</v>
      </c>
      <c r="Y34" s="72">
        <v>2424</v>
      </c>
      <c r="Z34" s="73">
        <v>99.752475247524799</v>
      </c>
    </row>
    <row r="35" spans="1:26" s="4" customFormat="1" ht="15" customHeight="1">
      <c r="A35" s="121"/>
      <c r="B35" s="124" t="s">
        <v>22</v>
      </c>
      <c r="C35" s="25">
        <v>8426</v>
      </c>
      <c r="D35" s="26">
        <v>40.628767057235201</v>
      </c>
      <c r="E35" s="25">
        <v>43</v>
      </c>
      <c r="F35" s="43">
        <v>0.207338830223251</v>
      </c>
      <c r="G35" s="44">
        <v>162</v>
      </c>
      <c r="H35" s="43">
        <v>0.78113698828294498</v>
      </c>
      <c r="I35" s="44">
        <v>6617</v>
      </c>
      <c r="J35" s="43">
        <v>31.906070688075602</v>
      </c>
      <c r="K35" s="44">
        <v>638</v>
      </c>
      <c r="L35" s="43">
        <v>3.0763296205217201</v>
      </c>
      <c r="M35" s="44">
        <v>788</v>
      </c>
      <c r="N35" s="43">
        <v>3.7996046096725999</v>
      </c>
      <c r="O35" s="44">
        <v>42</v>
      </c>
      <c r="P35" s="43">
        <v>0.20251699696224501</v>
      </c>
      <c r="Q35" s="58">
        <v>136</v>
      </c>
      <c r="R35" s="59">
        <v>0.65576932349679395</v>
      </c>
      <c r="S35" s="25">
        <v>784</v>
      </c>
      <c r="T35" s="59">
        <v>3.78031727662857</v>
      </c>
      <c r="U35" s="25">
        <v>48</v>
      </c>
      <c r="V35" s="59">
        <v>0.23144799652827999</v>
      </c>
      <c r="W35" s="25">
        <v>4447</v>
      </c>
      <c r="X35" s="26">
        <v>21.442692511692901</v>
      </c>
      <c r="Y35" s="74">
        <v>2424</v>
      </c>
      <c r="Z35" s="75">
        <v>99.752475247524799</v>
      </c>
    </row>
    <row r="36" spans="1:26" s="4" customFormat="1" ht="15" customHeight="1">
      <c r="A36" s="122"/>
      <c r="B36" s="125" t="s">
        <v>23</v>
      </c>
      <c r="C36" s="27">
        <v>20739</v>
      </c>
      <c r="D36" s="28">
        <v>100</v>
      </c>
      <c r="E36" s="27">
        <v>135</v>
      </c>
      <c r="F36" s="45">
        <v>0.65094749023578802</v>
      </c>
      <c r="G36" s="46">
        <v>505</v>
      </c>
      <c r="H36" s="45">
        <v>2.4350257968079498</v>
      </c>
      <c r="I36" s="46">
        <v>15999</v>
      </c>
      <c r="J36" s="45">
        <v>77.144510342832305</v>
      </c>
      <c r="K36" s="46">
        <v>1633</v>
      </c>
      <c r="L36" s="45">
        <v>7.8740537152225301</v>
      </c>
      <c r="M36" s="46">
        <v>2056</v>
      </c>
      <c r="N36" s="45">
        <v>9.9136891846279998</v>
      </c>
      <c r="O36" s="46">
        <v>104</v>
      </c>
      <c r="P36" s="45">
        <v>0.50147065914460698</v>
      </c>
      <c r="Q36" s="60">
        <v>307</v>
      </c>
      <c r="R36" s="61">
        <v>1.4803028111287899</v>
      </c>
      <c r="S36" s="27">
        <v>2779</v>
      </c>
      <c r="T36" s="61">
        <v>13.3998746323352</v>
      </c>
      <c r="U36" s="27">
        <v>168</v>
      </c>
      <c r="V36" s="61">
        <v>0.81006798784898004</v>
      </c>
      <c r="W36" s="27">
        <v>11448</v>
      </c>
      <c r="X36" s="28">
        <v>55.2003471719948</v>
      </c>
      <c r="Y36" s="76">
        <v>2424</v>
      </c>
      <c r="Z36" s="77">
        <v>99.752475247524799</v>
      </c>
    </row>
    <row r="37" spans="1:26" s="4" customFormat="1" ht="15" customHeight="1">
      <c r="A37" s="121" t="s">
        <v>34</v>
      </c>
      <c r="B37" s="123" t="s">
        <v>21</v>
      </c>
      <c r="C37" s="29">
        <v>11383</v>
      </c>
      <c r="D37" s="18">
        <v>57.825755651511301</v>
      </c>
      <c r="E37" s="29">
        <v>82</v>
      </c>
      <c r="F37" s="35">
        <v>0.41656083312166597</v>
      </c>
      <c r="G37" s="36">
        <v>1533</v>
      </c>
      <c r="H37" s="35">
        <v>7.7876555753111498</v>
      </c>
      <c r="I37" s="36">
        <v>7013</v>
      </c>
      <c r="J37" s="35">
        <v>35.626111252222501</v>
      </c>
      <c r="K37" s="36">
        <v>1027</v>
      </c>
      <c r="L37" s="35">
        <v>5.2171704343408702</v>
      </c>
      <c r="M37" s="36">
        <v>1463</v>
      </c>
      <c r="N37" s="35">
        <v>7.4320548641097304</v>
      </c>
      <c r="O37" s="36">
        <v>89</v>
      </c>
      <c r="P37" s="35">
        <v>0.45212090424180901</v>
      </c>
      <c r="Q37" s="50">
        <v>176</v>
      </c>
      <c r="R37" s="51">
        <v>0.89408178816357597</v>
      </c>
      <c r="S37" s="29">
        <v>1705</v>
      </c>
      <c r="T37" s="51">
        <v>8.6614173228346498</v>
      </c>
      <c r="U37" s="29">
        <v>106</v>
      </c>
      <c r="V37" s="51">
        <v>0.53848107696215397</v>
      </c>
      <c r="W37" s="29">
        <v>4727</v>
      </c>
      <c r="X37" s="18">
        <v>24.013208026416098</v>
      </c>
      <c r="Y37" s="66">
        <v>2500</v>
      </c>
      <c r="Z37" s="67">
        <v>99.84</v>
      </c>
    </row>
    <row r="38" spans="1:26" s="4" customFormat="1" ht="15" customHeight="1">
      <c r="A38" s="121"/>
      <c r="B38" s="124" t="s">
        <v>22</v>
      </c>
      <c r="C38" s="19">
        <v>8302</v>
      </c>
      <c r="D38" s="20">
        <v>42.174244348488699</v>
      </c>
      <c r="E38" s="19">
        <v>58</v>
      </c>
      <c r="F38" s="37">
        <v>0.29464058928117898</v>
      </c>
      <c r="G38" s="38">
        <v>1317</v>
      </c>
      <c r="H38" s="37">
        <v>6.6903733807467596</v>
      </c>
      <c r="I38" s="38">
        <v>5015</v>
      </c>
      <c r="J38" s="37">
        <v>25.4762509525019</v>
      </c>
      <c r="K38" s="38">
        <v>728</v>
      </c>
      <c r="L38" s="37">
        <v>3.6982473964947902</v>
      </c>
      <c r="M38" s="38">
        <v>987</v>
      </c>
      <c r="N38" s="37">
        <v>5.0139700279400596</v>
      </c>
      <c r="O38" s="38">
        <v>75</v>
      </c>
      <c r="P38" s="37">
        <v>0.381000762001524</v>
      </c>
      <c r="Q38" s="52">
        <v>122</v>
      </c>
      <c r="R38" s="53">
        <v>0.61976123952247897</v>
      </c>
      <c r="S38" s="19">
        <v>756</v>
      </c>
      <c r="T38" s="53">
        <v>3.8404876809753601</v>
      </c>
      <c r="U38" s="19">
        <v>51</v>
      </c>
      <c r="V38" s="53">
        <v>0.259080518161036</v>
      </c>
      <c r="W38" s="19">
        <v>3118</v>
      </c>
      <c r="X38" s="20">
        <v>15.839471678943401</v>
      </c>
      <c r="Y38" s="68">
        <v>2500</v>
      </c>
      <c r="Z38" s="69">
        <v>99.84</v>
      </c>
    </row>
    <row r="39" spans="1:26" s="4" customFormat="1" ht="15" customHeight="1">
      <c r="A39" s="122"/>
      <c r="B39" s="125" t="s">
        <v>23</v>
      </c>
      <c r="C39" s="21">
        <v>19685</v>
      </c>
      <c r="D39" s="22">
        <v>100</v>
      </c>
      <c r="E39" s="21">
        <v>140</v>
      </c>
      <c r="F39" s="39">
        <v>0.71120142240284501</v>
      </c>
      <c r="G39" s="40">
        <v>2850</v>
      </c>
      <c r="H39" s="39">
        <v>14.4780289560579</v>
      </c>
      <c r="I39" s="40">
        <v>12028</v>
      </c>
      <c r="J39" s="39">
        <v>61.1023622047244</v>
      </c>
      <c r="K39" s="40">
        <v>1755</v>
      </c>
      <c r="L39" s="39">
        <v>8.9154178308356595</v>
      </c>
      <c r="M39" s="40">
        <v>2450</v>
      </c>
      <c r="N39" s="39">
        <v>12.446024892049801</v>
      </c>
      <c r="O39" s="40">
        <v>164</v>
      </c>
      <c r="P39" s="39">
        <v>0.83312166624333295</v>
      </c>
      <c r="Q39" s="54">
        <v>298</v>
      </c>
      <c r="R39" s="55">
        <v>1.5138430276860599</v>
      </c>
      <c r="S39" s="21">
        <v>2461</v>
      </c>
      <c r="T39" s="55">
        <v>12.50190500381</v>
      </c>
      <c r="U39" s="21">
        <v>157</v>
      </c>
      <c r="V39" s="55">
        <v>0.79756159512319003</v>
      </c>
      <c r="W39" s="21">
        <v>7845</v>
      </c>
      <c r="X39" s="22">
        <v>39.8526797053594</v>
      </c>
      <c r="Y39" s="70">
        <v>2500</v>
      </c>
      <c r="Z39" s="71">
        <v>99.84</v>
      </c>
    </row>
    <row r="40" spans="1:26" s="4" customFormat="1" ht="15" customHeight="1">
      <c r="A40" s="121" t="s">
        <v>35</v>
      </c>
      <c r="B40" s="123" t="s">
        <v>21</v>
      </c>
      <c r="C40" s="23">
        <v>9326</v>
      </c>
      <c r="D40" s="24">
        <v>56.952671755725198</v>
      </c>
      <c r="E40" s="23">
        <v>72</v>
      </c>
      <c r="F40" s="41">
        <v>0.43969465648855</v>
      </c>
      <c r="G40" s="42">
        <v>1524</v>
      </c>
      <c r="H40" s="41">
        <v>9.3068702290076306</v>
      </c>
      <c r="I40" s="42">
        <v>5430</v>
      </c>
      <c r="J40" s="41">
        <v>33.160305343511503</v>
      </c>
      <c r="K40" s="42">
        <v>764</v>
      </c>
      <c r="L40" s="41">
        <v>4.6656488549618302</v>
      </c>
      <c r="M40" s="42">
        <v>1322</v>
      </c>
      <c r="N40" s="41">
        <v>8.0732824427480896</v>
      </c>
      <c r="O40" s="42">
        <v>85</v>
      </c>
      <c r="P40" s="41">
        <v>0.51908396946564905</v>
      </c>
      <c r="Q40" s="56">
        <v>129</v>
      </c>
      <c r="R40" s="57">
        <v>0.787786259541985</v>
      </c>
      <c r="S40" s="23">
        <v>1374</v>
      </c>
      <c r="T40" s="57">
        <v>8.3908396946564903</v>
      </c>
      <c r="U40" s="23">
        <v>86</v>
      </c>
      <c r="V40" s="57">
        <v>0.52519083969465696</v>
      </c>
      <c r="W40" s="23">
        <v>3398</v>
      </c>
      <c r="X40" s="24">
        <v>20.751145038167898</v>
      </c>
      <c r="Y40" s="72">
        <v>2511</v>
      </c>
      <c r="Z40" s="73">
        <v>99.840700915969705</v>
      </c>
    </row>
    <row r="41" spans="1:26" s="4" customFormat="1" ht="15" customHeight="1">
      <c r="A41" s="121"/>
      <c r="B41" s="124" t="s">
        <v>22</v>
      </c>
      <c r="C41" s="25">
        <v>7049</v>
      </c>
      <c r="D41" s="26">
        <v>43.047328244274802</v>
      </c>
      <c r="E41" s="25">
        <v>52</v>
      </c>
      <c r="F41" s="43">
        <v>0.31755725190839701</v>
      </c>
      <c r="G41" s="44">
        <v>1364</v>
      </c>
      <c r="H41" s="43">
        <v>8.3297709923664094</v>
      </c>
      <c r="I41" s="44">
        <v>3942</v>
      </c>
      <c r="J41" s="43">
        <v>24.073282442748098</v>
      </c>
      <c r="K41" s="44">
        <v>596</v>
      </c>
      <c r="L41" s="43">
        <v>3.6396946564885502</v>
      </c>
      <c r="M41" s="44">
        <v>935</v>
      </c>
      <c r="N41" s="43">
        <v>5.7099236641221403</v>
      </c>
      <c r="O41" s="44">
        <v>58</v>
      </c>
      <c r="P41" s="43">
        <v>0.35419847328244303</v>
      </c>
      <c r="Q41" s="58">
        <v>102</v>
      </c>
      <c r="R41" s="59">
        <v>0.62290076335877897</v>
      </c>
      <c r="S41" s="25">
        <v>610</v>
      </c>
      <c r="T41" s="59">
        <v>3.72519083969466</v>
      </c>
      <c r="U41" s="25">
        <v>37</v>
      </c>
      <c r="V41" s="59">
        <v>0.22595419847328199</v>
      </c>
      <c r="W41" s="25">
        <v>2408</v>
      </c>
      <c r="X41" s="26">
        <v>14.705343511450399</v>
      </c>
      <c r="Y41" s="74">
        <v>2511</v>
      </c>
      <c r="Z41" s="75">
        <v>99.840700915969705</v>
      </c>
    </row>
    <row r="42" spans="1:26" s="4" customFormat="1" ht="15" customHeight="1">
      <c r="A42" s="122"/>
      <c r="B42" s="125" t="s">
        <v>23</v>
      </c>
      <c r="C42" s="27">
        <v>16375</v>
      </c>
      <c r="D42" s="28">
        <v>100</v>
      </c>
      <c r="E42" s="27">
        <v>124</v>
      </c>
      <c r="F42" s="45">
        <v>0.757251908396947</v>
      </c>
      <c r="G42" s="46">
        <v>2888</v>
      </c>
      <c r="H42" s="45">
        <v>17.636641221373999</v>
      </c>
      <c r="I42" s="46">
        <v>9372</v>
      </c>
      <c r="J42" s="45">
        <v>57.233587786259498</v>
      </c>
      <c r="K42" s="46">
        <v>1360</v>
      </c>
      <c r="L42" s="45">
        <v>8.3053435114503795</v>
      </c>
      <c r="M42" s="46">
        <v>2257</v>
      </c>
      <c r="N42" s="45">
        <v>13.7832061068702</v>
      </c>
      <c r="O42" s="46">
        <v>143</v>
      </c>
      <c r="P42" s="45">
        <v>0.87328244274809197</v>
      </c>
      <c r="Q42" s="60">
        <v>231</v>
      </c>
      <c r="R42" s="61">
        <v>1.41068702290076</v>
      </c>
      <c r="S42" s="27">
        <v>1984</v>
      </c>
      <c r="T42" s="61">
        <v>12.116030534351101</v>
      </c>
      <c r="U42" s="27">
        <v>123</v>
      </c>
      <c r="V42" s="61">
        <v>0.75114503816793898</v>
      </c>
      <c r="W42" s="27">
        <v>5806</v>
      </c>
      <c r="X42" s="28">
        <v>35.4564885496183</v>
      </c>
      <c r="Y42" s="76">
        <v>2511</v>
      </c>
      <c r="Z42" s="77">
        <v>99.840700915969705</v>
      </c>
    </row>
    <row r="43" spans="1:26" s="4" customFormat="1" ht="15" customHeight="1">
      <c r="A43" s="121" t="s">
        <v>36</v>
      </c>
      <c r="B43" s="123" t="s">
        <v>21</v>
      </c>
      <c r="C43" s="29">
        <v>13172</v>
      </c>
      <c r="D43" s="18">
        <v>57.977903957040397</v>
      </c>
      <c r="E43" s="29">
        <v>100</v>
      </c>
      <c r="F43" s="35">
        <v>0.440160218319468</v>
      </c>
      <c r="G43" s="36">
        <v>2168</v>
      </c>
      <c r="H43" s="35">
        <v>9.5426735331660701</v>
      </c>
      <c r="I43" s="36">
        <v>7281</v>
      </c>
      <c r="J43" s="35">
        <v>32.048065495840497</v>
      </c>
      <c r="K43" s="36">
        <v>1335</v>
      </c>
      <c r="L43" s="35">
        <v>5.8761389145649003</v>
      </c>
      <c r="M43" s="36">
        <v>1970</v>
      </c>
      <c r="N43" s="35">
        <v>8.6711563008935304</v>
      </c>
      <c r="O43" s="36">
        <v>129</v>
      </c>
      <c r="P43" s="35">
        <v>0.56780668163211401</v>
      </c>
      <c r="Q43" s="50">
        <v>189</v>
      </c>
      <c r="R43" s="51">
        <v>0.83190281262379495</v>
      </c>
      <c r="S43" s="29">
        <v>3480</v>
      </c>
      <c r="T43" s="51">
        <v>15.3175755975175</v>
      </c>
      <c r="U43" s="29">
        <v>146</v>
      </c>
      <c r="V43" s="51">
        <v>0.64263391874642395</v>
      </c>
      <c r="W43" s="29">
        <v>4437</v>
      </c>
      <c r="X43" s="18">
        <v>19.5299088868348</v>
      </c>
      <c r="Y43" s="66">
        <v>2478</v>
      </c>
      <c r="Z43" s="67">
        <v>99.838579499596406</v>
      </c>
    </row>
    <row r="44" spans="1:26" s="5" customFormat="1" ht="15" customHeight="1">
      <c r="A44" s="121"/>
      <c r="B44" s="124" t="s">
        <v>22</v>
      </c>
      <c r="C44" s="19">
        <v>9547</v>
      </c>
      <c r="D44" s="20">
        <v>42.022096042959603</v>
      </c>
      <c r="E44" s="19">
        <v>66</v>
      </c>
      <c r="F44" s="37">
        <v>0.29050574409084901</v>
      </c>
      <c r="G44" s="38">
        <v>1825</v>
      </c>
      <c r="H44" s="37">
        <v>8.0329239843302993</v>
      </c>
      <c r="I44" s="38">
        <v>5110</v>
      </c>
      <c r="J44" s="37">
        <v>22.4921871561248</v>
      </c>
      <c r="K44" s="38">
        <v>968</v>
      </c>
      <c r="L44" s="37">
        <v>4.2607509133324504</v>
      </c>
      <c r="M44" s="38">
        <v>1356</v>
      </c>
      <c r="N44" s="37">
        <v>5.9685725604119897</v>
      </c>
      <c r="O44" s="38">
        <v>95</v>
      </c>
      <c r="P44" s="37">
        <v>0.41815220740349501</v>
      </c>
      <c r="Q44" s="52">
        <v>127</v>
      </c>
      <c r="R44" s="53">
        <v>0.55900347726572497</v>
      </c>
      <c r="S44" s="19">
        <v>1868</v>
      </c>
      <c r="T44" s="53">
        <v>8.2221928782076699</v>
      </c>
      <c r="U44" s="19">
        <v>104</v>
      </c>
      <c r="V44" s="53">
        <v>0.45776662705224702</v>
      </c>
      <c r="W44" s="19">
        <v>3085</v>
      </c>
      <c r="X44" s="20">
        <v>13.5789427351556</v>
      </c>
      <c r="Y44" s="68">
        <v>2478</v>
      </c>
      <c r="Z44" s="69">
        <v>99.838579499596406</v>
      </c>
    </row>
    <row r="45" spans="1:26" s="4" customFormat="1" ht="15" customHeight="1">
      <c r="A45" s="126"/>
      <c r="B45" s="127" t="s">
        <v>23</v>
      </c>
      <c r="C45" s="30">
        <v>22719</v>
      </c>
      <c r="D45" s="31">
        <v>100</v>
      </c>
      <c r="E45" s="30">
        <v>166</v>
      </c>
      <c r="F45" s="47">
        <v>0.730665962410317</v>
      </c>
      <c r="G45" s="48">
        <v>3993</v>
      </c>
      <c r="H45" s="47">
        <v>17.575597517496401</v>
      </c>
      <c r="I45" s="48">
        <v>12391</v>
      </c>
      <c r="J45" s="47">
        <v>54.540252651965297</v>
      </c>
      <c r="K45" s="48">
        <v>2303</v>
      </c>
      <c r="L45" s="47">
        <v>10.1368898278974</v>
      </c>
      <c r="M45" s="48">
        <v>3326</v>
      </c>
      <c r="N45" s="47">
        <v>14.6397288613055</v>
      </c>
      <c r="O45" s="48">
        <v>224</v>
      </c>
      <c r="P45" s="47">
        <v>0.98595888903560902</v>
      </c>
      <c r="Q45" s="62">
        <v>316</v>
      </c>
      <c r="R45" s="63">
        <v>1.3909062898895199</v>
      </c>
      <c r="S45" s="30">
        <v>5348</v>
      </c>
      <c r="T45" s="63">
        <v>23.5397684757252</v>
      </c>
      <c r="U45" s="30">
        <v>250</v>
      </c>
      <c r="V45" s="63">
        <v>1.1004005457986701</v>
      </c>
      <c r="W45" s="30">
        <v>7522</v>
      </c>
      <c r="X45" s="31">
        <v>33.108851621990397</v>
      </c>
      <c r="Y45" s="78">
        <v>2478</v>
      </c>
      <c r="Z45" s="79">
        <v>99.838579499596406</v>
      </c>
    </row>
    <row r="46" spans="1:26" s="6" customFormat="1" ht="15" customHeight="1">
      <c r="A46" s="8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9"/>
      <c r="Y46" s="10"/>
      <c r="Z46" s="1"/>
    </row>
    <row r="47" spans="1:26" s="7" customFormat="1" ht="15" customHeight="1">
      <c r="A47" s="129" t="str">
        <f>CONCATENATE("NOTE: Table reads:  Of all ",IF(ISTEXT(C9),LEFT(C9,3),TEXT(C9,"#,##0"))," public school students retained in kindergarten, ",IF(ISTEXT(E9),LEFT(E9,3),TEXT(E9,"#,##0"))," (",TEXT(F9,"0.0"),"%) were American Indian or Alaska Native, ",IF(ISTEXT(S9),LEFT(S9,3),TEXT(S9,"#,##0"))," (",TEXT(T9,"0.0"),"%) were students with disabilities served under the Individuals with Disabilities Education Act (IDEA), and ",IF(ISTEXT(U9),LEFT(U9,3),TEXT(U9,"#,##0"))," (",TEXT(V9,"0.0"),"%) were students with disabilities served solely under Section 504 of the Rehabilitation Act of 1973.")</f>
        <v>NOTE: Table reads:  Of all 12,778 public school students retained in kindergarten, 153 (1.2%) were American Indian or Alaska Native, 1,404 (11.0%) were students with disabilities served under the Individuals with Disabilities Education Act (IDEA), and 109 (0.9%) were students with disabilities served solely under Section 504 of the Rehabilitation Act of 1973.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65"/>
      <c r="Y47" s="80"/>
      <c r="Z47" s="32"/>
    </row>
    <row r="48" spans="1:26" s="4" customFormat="1" ht="15" customHeight="1">
      <c r="A48" s="130" t="s">
        <v>37</v>
      </c>
      <c r="B48" s="33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3"/>
      <c r="R48" s="33"/>
      <c r="S48" s="33"/>
      <c r="T48" s="33"/>
      <c r="U48" s="33"/>
      <c r="V48" s="33"/>
      <c r="W48" s="34"/>
      <c r="X48" s="34"/>
    </row>
    <row r="49" spans="1:26" s="7" customFormat="1" ht="14" customHeight="1">
      <c r="A49" s="131" t="s">
        <v>38</v>
      </c>
      <c r="B49" s="5"/>
      <c r="C49" s="5"/>
      <c r="D49" s="4"/>
      <c r="E49" s="4"/>
      <c r="F49" s="49"/>
      <c r="G49" s="49"/>
      <c r="H49" s="49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49"/>
      <c r="U49" s="49"/>
      <c r="V49" s="4"/>
      <c r="W49" s="49"/>
      <c r="X49" s="32"/>
      <c r="Y49" s="32"/>
      <c r="Z49" s="32"/>
    </row>
  </sheetData>
  <mergeCells count="30">
    <mergeCell ref="A37:A39"/>
    <mergeCell ref="A40:A42"/>
    <mergeCell ref="A43:A45"/>
    <mergeCell ref="B4:B6"/>
    <mergeCell ref="Y4:Y6"/>
    <mergeCell ref="C4:D5"/>
    <mergeCell ref="S4:T5"/>
    <mergeCell ref="U4:V5"/>
    <mergeCell ref="W4:X5"/>
    <mergeCell ref="A22:A24"/>
    <mergeCell ref="A25:A27"/>
    <mergeCell ref="A28:A30"/>
    <mergeCell ref="A31:A33"/>
    <mergeCell ref="A34:A36"/>
    <mergeCell ref="A7:A9"/>
    <mergeCell ref="A10:A12"/>
    <mergeCell ref="A13:A15"/>
    <mergeCell ref="A16:A18"/>
    <mergeCell ref="A19:A21"/>
    <mergeCell ref="A2:Z2"/>
    <mergeCell ref="E4:R4"/>
    <mergeCell ref="E5:F5"/>
    <mergeCell ref="G5:H5"/>
    <mergeCell ref="I5:J5"/>
    <mergeCell ref="K5:L5"/>
    <mergeCell ref="M5:N5"/>
    <mergeCell ref="O5:P5"/>
    <mergeCell ref="Q5:R5"/>
    <mergeCell ref="A4:A6"/>
    <mergeCell ref="Z4:Z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VBM</dc:creator>
  <cp:lastModifiedBy>Alexander Yurin</cp:lastModifiedBy>
  <dcterms:created xsi:type="dcterms:W3CDTF">2015-11-17T03:59:00Z</dcterms:created>
  <dcterms:modified xsi:type="dcterms:W3CDTF">2025-11-26T11:59:07Z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A4C961A5AEFDF24206C4626761FD6844_43</vt:lpwstr>
  </property>
  <property fmtid="{D5CDD505-2E9C-101B-9397-08002B2CF9AE}" pid="3" name="KSOProductBuildVer">
    <vt:lpwstr>2052-6.14.0.8924</vt:lpwstr>
  </property>
</Properties>
</file>