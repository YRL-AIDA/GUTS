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A4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<sst xmlns="http://schemas.openxmlformats.org/spreadsheetml/2006/main" count="88" uniqueCount="87">
  <si>
    <r>
      <rPr>
        <sz val="12"/>
        <rFont val="Arial Black"/>
        <family val="2"/>
        <charset val="204"/>
      </rPr>
      <t>FIRE STATISTICS TABLE 0901: Non-fire</t>
    </r>
    <r>
      <rPr>
        <vertAlign val="superscript"/>
        <sz val="12"/>
        <rFont val="Arial Black"/>
        <family val="2"/>
        <charset val="204"/>
      </rPr>
      <t>1</t>
    </r>
    <r>
      <rPr>
        <sz val="12"/>
        <rFont val="Arial Black"/>
        <family val="2"/>
        <charset val="204"/>
      </rPr>
      <t xml:space="preserve"> incidents attended, by type of incident and fire and rescue authority</t>
    </r>
    <r>
      <rPr>
        <vertAlign val="superscript"/>
        <sz val="12"/>
        <rFont val="Arial Black"/>
        <family val="2"/>
        <charset val="204"/>
      </rPr>
      <t>2</t>
    </r>
    <r>
      <rPr>
        <sz val="12"/>
        <rFont val="Arial Black"/>
        <family val="2"/>
        <charset val="204"/>
      </rPr>
      <t>, England</t>
    </r>
  </si>
  <si>
    <r>
      <rPr>
        <b/>
        <sz val="12"/>
        <color theme="1"/>
        <rFont val="Arial"/>
        <family val="2"/>
        <charset val="204"/>
      </rPr>
      <t>Select a fire and rescue authority</t>
    </r>
    <r>
      <rPr>
        <b/>
        <vertAlign val="superscript"/>
        <sz val="12"/>
        <color theme="1"/>
        <rFont val="Arial"/>
        <family val="2"/>
        <charset val="204"/>
      </rPr>
      <t>2</t>
    </r>
    <r>
      <rPr>
        <b/>
        <sz val="12"/>
        <color theme="1"/>
        <rFont val="Arial"/>
        <family val="2"/>
        <charset val="204"/>
      </rPr>
      <t xml:space="preserve"> (or other geographical category</t>
    </r>
    <r>
      <rPr>
        <b/>
        <vertAlign val="superscript"/>
        <sz val="12"/>
        <color theme="1"/>
        <rFont val="Arial"/>
        <family val="2"/>
        <charset val="204"/>
      </rPr>
      <t>2</t>
    </r>
    <r>
      <rPr>
        <b/>
        <sz val="12"/>
        <color theme="1"/>
        <rFont val="Arial"/>
        <family val="2"/>
        <charset val="204"/>
      </rPr>
      <t>) from the drop-down list in the orange box below:</t>
    </r>
  </si>
  <si>
    <t>England</t>
  </si>
  <si>
    <t>Year</t>
  </si>
  <si>
    <t>Non-fire incident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</si>
  <si>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</si>
  <si>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</si>
  <si>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</si>
  <si>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</si>
  <si>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</si>
  <si>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</si>
  <si>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</si>
  <si>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</si>
  <si>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</si>
  <si>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</si>
  <si>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</si>
  <si>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</si>
  <si>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</si>
  <si>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</si>
  <si>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</si>
  <si>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</si>
  <si>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Year ending June 2023</t>
  </si>
  <si>
    <t>Year ending June 2024</t>
  </si>
  <si>
    <t>Total</t>
  </si>
  <si>
    <t>Collaboration incidents</t>
  </si>
  <si>
    <t>Assist other agencies</t>
  </si>
  <si>
    <t>Effecting entry / exit</t>
  </si>
  <si>
    <t>Suicide / attempts</t>
  </si>
  <si>
    <t>Medical incidents</t>
  </si>
  <si>
    <t>Medical Incident - First responder</t>
  </si>
  <si>
    <t>Medical Incident - Co-responder</t>
  </si>
  <si>
    <t>RTC</t>
  </si>
  <si>
    <t>Road Traffic Collision (RTC)</t>
  </si>
  <si>
    <t>Flooding incidents</t>
  </si>
  <si>
    <t>Flooding</t>
  </si>
  <si>
    <t>Other non fire incidents</t>
  </si>
  <si>
    <t>Lift release</t>
  </si>
  <si>
    <t>Other rescue / release of persons</t>
  </si>
  <si>
    <t>Animal assistance incidents</t>
  </si>
  <si>
    <t>Removal of objects from people</t>
  </si>
  <si>
    <t>Hazardous Materials incident</t>
  </si>
  <si>
    <t>Spills and Leaks (not RTC)</t>
  </si>
  <si>
    <t>Making Safe (not RTC)</t>
  </si>
  <si>
    <t>Other transport incident</t>
  </si>
  <si>
    <t>Rescue or evacuation from water</t>
  </si>
  <si>
    <t>Evacuation (no fire)</t>
  </si>
  <si>
    <t>Water provision</t>
  </si>
  <si>
    <t>Advice only</t>
  </si>
  <si>
    <t>Stand by</t>
  </si>
  <si>
    <t>No action (not false alarm)</t>
  </si>
  <si>
    <t>Malicious Non-fire False Alarm</t>
  </si>
  <si>
    <t>Good Intent Non-fire False Alarm</t>
  </si>
  <si>
    <t>Footnotes</t>
  </si>
  <si>
    <t>1 Non-fire incidents are also known as special services incidents attended by fire and rescue services.</t>
  </si>
  <si>
    <t>2 For a list of FRAs and whether they are considered "Metropolitan", "Non Metropolitan", "Predominantly Rural", "Significantly Rural" or "Predominantly Urban" please see the FRS geographical categories sheet.</t>
  </si>
  <si>
    <t>3 Prior to 2011/12, no distinction was made between First responder and Co-responder medical incidents. From 2011/12, these could be recorded separately for the first time.</t>
  </si>
  <si>
    <t>As such care should be taken when assessing the categorisation of medical incidents during 2011/12 as services became accustomed to recording Co-responder incidents separately.</t>
  </si>
  <si>
    <t>Note on 2009/10:</t>
  </si>
  <si>
    <t>Summing the non-fire false alarm incident categories for all FRSs may not sum to England totals due to data inconsistencies.</t>
  </si>
  <si>
    <t>Note on Hampshire FRA</t>
  </si>
  <si>
    <t>Before 2017/18, Hampshire FRS did not record medical co-responding incidents in the IRS. They are currently undertaking a project to upload this data for 2017/18 to 2020/21.</t>
  </si>
  <si>
    <t>General note:</t>
  </si>
  <si>
    <t>Fire data are collected by the Incident Recording System (IRS) which collects information on all incidents attended by fire and rescue services. For a variety of reasons some records take longer</t>
  </si>
  <si>
    <t xml:space="preserve"> than others for fire services to upload to the IRS and therefore totals are constantly being amended (by relatively small numbers).</t>
  </si>
  <si>
    <t>.. denotes data not available.</t>
  </si>
  <si>
    <t xml:space="preserve">Figures for Hampshire and Isle of Wight, who merged into one FRS on 1 April 2021, are presented merged. </t>
  </si>
  <si>
    <t>The full set of fire statistics releases, tables and guidance can be found on our landing page, here-</t>
  </si>
  <si>
    <t>https://www.gov.uk/government/collections/fire-statistics</t>
  </si>
  <si>
    <t>The statistics in this table are Accredited Official Statistics.</t>
  </si>
  <si>
    <t>Source: Home Office Incident Recording System</t>
  </si>
  <si>
    <t>Contact: FireStatistics@homeoffice.gov.uk</t>
  </si>
  <si>
    <t>end of table</t>
  </si>
  <si>
    <t>Non-metropolitan</t>
  </si>
  <si>
    <t>Metropolitan</t>
  </si>
  <si>
    <t>Predominantly Urban</t>
  </si>
  <si>
    <t>Significantly Rural</t>
  </si>
  <si>
    <t>Predominantly Rural</t>
  </si>
  <si>
    <t>Avon</t>
  </si>
  <si>
    <t>Bedfordshire</t>
  </si>
  <si>
    <t>Berkshire</t>
  </si>
  <si>
    <t>Buckinghamshire</t>
  </si>
  <si>
    <t>Cambridgeshire</t>
  </si>
  <si>
    <t>Cheshire</t>
  </si>
  <si>
    <t>Cleveland</t>
  </si>
  <si>
    <t>Cornwall</t>
  </si>
  <si>
    <t>Cumbria</t>
  </si>
  <si>
    <t>Derbyshire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</si>
</sst>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_ * #,##0.00_ ;_ * \-#,##0.00_ ;_ * &quot;-&quot;??_ ;_ @_ "/>
    <numFmt numFmtId="168" formatCode="_-* #,##0_-;\-* #,##0_-;_-* &quot;-&quot;??_-;_-@_-"/>
    <numFmt numFmtId="169" formatCode="0.0%"/>
  </numFmts>
  <fonts count="15">
    <font>
      <sz val="11"/>
      <color theme="1"/>
      <name val="Calibri"/>
      <charset val="134"/>
      <scheme val="minor"/>
    </font>
    <font>
      <sz val="12"/>
      <name val="Arial Black"/>
      <family val="2"/>
      <charset val="204"/>
    </font>
    <font>
      <sz val="11"/>
      <name val="Arial Black"/>
      <family val="2"/>
      <charset val="204"/>
    </font>
    <font>
      <b/>
      <sz val="12"/>
      <color theme="1"/>
      <name val="Arial"/>
      <family val="2"/>
      <charset val="204"/>
    </font>
    <font>
      <sz val="12"/>
      <color theme="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u/>
      <sz val="12"/>
      <color theme="10"/>
      <name val="Arial"/>
      <family val="2"/>
      <charset val="204"/>
    </font>
    <font>
      <sz val="11"/>
      <color theme="1"/>
      <name val="Calibri"/>
      <charset val="134"/>
      <scheme val="minor"/>
    </font>
    <font>
      <sz val="11"/>
      <color theme="0"/>
      <name val="Arial Black"/>
      <family val="2"/>
      <charset val="204"/>
    </font>
    <font>
      <u/>
      <sz val="11"/>
      <color rgb="FF0000FF"/>
      <name val="Calibri"/>
      <scheme val="minor"/>
    </font>
    <font>
      <u/>
      <sz val="11"/>
      <color theme="10"/>
      <name val="Calibri"/>
      <charset val="134"/>
      <scheme val="minor"/>
    </font>
    <font>
      <b/>
      <vertAlign val="superscript"/>
      <sz val="12"/>
      <color theme="1"/>
      <name val="Arial"/>
      <family val="2"/>
      <charset val="204"/>
    </font>
    <font>
      <vertAlign val="superscript"/>
      <sz val="12"/>
      <name val="Arial Black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>
      <alignment vertical="center"/>
    </xf>
    <xf numFmtId="16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/>
    <xf numFmtId="0" fontId="12" fillId="0" borderId="0" applyNumberFormat="0" applyFill="0" applyBorder="0" applyAlignment="0" applyProtection="0"/>
  </cellStyleXfs>
  <cellXfs count="80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/>
    <xf numFmtId="3" fontId="3" fillId="3" borderId="0" xfId="0" applyNumberFormat="1" applyFont="1" applyFill="1" applyAlignment="1">
      <alignment horizontal="right" vertical="center" wrapText="1"/>
    </xf>
    <xf numFmtId="0" fontId="6" fillId="3" borderId="0" xfId="4" applyFont="1" applyFill="1" applyAlignment="1">
      <alignment horizontal="left" vertical="top"/>
    </xf>
    <xf numFmtId="3" fontId="7" fillId="3" borderId="0" xfId="0" applyNumberFormat="1" applyFont="1" applyFill="1" applyAlignment="1">
      <alignment horizontal="right" vertical="center" wrapText="1"/>
    </xf>
    <xf numFmtId="3" fontId="7" fillId="3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 vertical="top" wrapText="1"/>
    </xf>
    <xf numFmtId="0" fontId="6" fillId="3" borderId="0" xfId="0" applyFont="1" applyFill="1" applyAlignment="1"/>
    <xf numFmtId="0" fontId="7" fillId="0" borderId="0" xfId="0" applyFont="1" applyFill="1" applyAlignment="1"/>
    <xf numFmtId="168" fontId="7" fillId="0" borderId="0" xfId="1" applyNumberFormat="1" applyFont="1" applyAlignment="1">
      <alignment horizontal="right"/>
    </xf>
    <xf numFmtId="3" fontId="7" fillId="3" borderId="1" xfId="0" applyNumberFormat="1" applyFont="1" applyFill="1" applyBorder="1" applyAlignment="1">
      <alignment horizontal="right"/>
    </xf>
    <xf numFmtId="0" fontId="7" fillId="3" borderId="0" xfId="0" applyFont="1" applyFill="1" applyAlignment="1">
      <alignment wrapText="1"/>
    </xf>
    <xf numFmtId="0" fontId="7" fillId="3" borderId="0" xfId="0" applyFont="1" applyFill="1" applyAlignment="1"/>
    <xf numFmtId="1" fontId="7" fillId="3" borderId="0" xfId="0" applyNumberFormat="1" applyFont="1" applyFill="1" applyAlignment="1"/>
    <xf numFmtId="0" fontId="8" fillId="3" borderId="0" xfId="3" applyFont="1" applyFill="1" applyAlignment="1"/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vertical="top"/>
    </xf>
    <xf numFmtId="0" fontId="8" fillId="3" borderId="0" xfId="5" applyFont="1" applyFill="1" applyAlignment="1"/>
    <xf numFmtId="0" fontId="8" fillId="0" borderId="0" xfId="5" applyFont="1" applyAlignment="1"/>
    <xf numFmtId="0" fontId="8" fillId="3" borderId="0" xfId="5" applyFont="1" applyFill="1" applyAlignment="1">
      <alignment horizontal="right"/>
    </xf>
    <xf numFmtId="0" fontId="4" fillId="3" borderId="0" xfId="0" applyFont="1" applyFill="1" applyAlignment="1"/>
    <xf numFmtId="0" fontId="9" fillId="3" borderId="0" xfId="0" applyFont="1" applyFill="1" applyAlignment="1"/>
    <xf numFmtId="0" fontId="3" fillId="3" borderId="0" xfId="0" applyFont="1" applyFill="1" applyAlignment="1">
      <alignment horizontal="center"/>
    </xf>
    <xf numFmtId="9" fontId="7" fillId="3" borderId="0" xfId="2" applyFont="1" applyFill="1" applyAlignment="1"/>
    <xf numFmtId="0" fontId="7" fillId="4" borderId="0" xfId="0" applyFont="1" applyFill="1" applyAlignment="1"/>
    <xf numFmtId="0" fontId="10" fillId="3" borderId="0" xfId="0" applyFont="1" applyFill="1" applyAlignment="1"/>
    <xf numFmtId="3" fontId="3" fillId="3" borderId="0" xfId="0" applyNumberFormat="1" applyFont="1" applyFill="1" applyBorder="1" applyAlignment="1">
      <alignment horizontal="right" vertical="center" wrapText="1"/>
    </xf>
    <xf numFmtId="3" fontId="3" fillId="3" borderId="5" xfId="0" applyNumberFormat="1" applyFont="1" applyFill="1" applyBorder="1" applyAlignment="1">
      <alignment horizontal="right" vertical="center" wrapText="1"/>
    </xf>
    <xf numFmtId="3" fontId="3" fillId="3" borderId="6" xfId="0" applyNumberFormat="1" applyFont="1" applyFill="1" applyBorder="1" applyAlignment="1">
      <alignment horizontal="right" vertical="center" wrapText="1"/>
    </xf>
    <xf numFmtId="3" fontId="7" fillId="3" borderId="0" xfId="0" applyNumberFormat="1" applyFont="1" applyFill="1" applyBorder="1" applyAlignment="1">
      <alignment horizontal="right" vertical="center" wrapText="1"/>
    </xf>
    <xf numFmtId="3" fontId="7" fillId="3" borderId="5" xfId="0" applyNumberFormat="1" applyFont="1" applyFill="1" applyBorder="1" applyAlignment="1">
      <alignment horizontal="right" vertical="center" wrapText="1"/>
    </xf>
    <xf numFmtId="3" fontId="7" fillId="3" borderId="6" xfId="0" applyNumberFormat="1" applyFont="1" applyFill="1" applyBorder="1" applyAlignment="1">
      <alignment horizontal="right" vertical="center" wrapText="1"/>
    </xf>
    <xf numFmtId="3" fontId="3" fillId="3" borderId="0" xfId="0" applyNumberFormat="1" applyFont="1" applyFill="1" applyBorder="1" applyAlignment="1">
      <alignment horizontal="right"/>
    </xf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7" fillId="3" borderId="0" xfId="0" applyNumberFormat="1" applyFont="1" applyFill="1" applyBorder="1" applyAlignment="1">
      <alignment horizontal="right"/>
    </xf>
    <xf numFmtId="3" fontId="7" fillId="3" borderId="5" xfId="0" applyNumberFormat="1" applyFont="1" applyFill="1" applyBorder="1" applyAlignment="1">
      <alignment horizontal="right"/>
    </xf>
    <xf numFmtId="3" fontId="7" fillId="3" borderId="6" xfId="0" applyNumberFormat="1" applyFont="1" applyFill="1" applyBorder="1" applyAlignment="1">
      <alignment horizontal="right"/>
    </xf>
    <xf numFmtId="3" fontId="7" fillId="3" borderId="0" xfId="0" applyNumberFormat="1" applyFont="1" applyFill="1" applyBorder="1" applyAlignment="1">
      <alignment horizontal="right" vertical="top" wrapText="1"/>
    </xf>
    <xf numFmtId="3" fontId="7" fillId="3" borderId="5" xfId="0" applyNumberFormat="1" applyFont="1" applyFill="1" applyBorder="1" applyAlignment="1">
      <alignment horizontal="right" vertical="top" wrapText="1"/>
    </xf>
    <xf numFmtId="3" fontId="7" fillId="3" borderId="6" xfId="0" applyNumberFormat="1" applyFont="1" applyFill="1" applyBorder="1" applyAlignment="1">
      <alignment horizontal="right" vertical="top" wrapText="1"/>
    </xf>
    <xf numFmtId="169" fontId="7" fillId="3" borderId="0" xfId="0" applyNumberFormat="1" applyFont="1" applyFill="1" applyAlignment="1"/>
    <xf numFmtId="168" fontId="7" fillId="0" borderId="0" xfId="1" applyNumberFormat="1" applyFont="1" applyBorder="1" applyAlignment="1">
      <alignment horizontal="right"/>
    </xf>
    <xf numFmtId="0" fontId="7" fillId="0" borderId="5" xfId="0" applyFont="1" applyFill="1" applyBorder="1" applyAlignment="1"/>
    <xf numFmtId="0" fontId="7" fillId="0" borderId="6" xfId="0" applyFont="1" applyFill="1" applyBorder="1" applyAlignment="1"/>
    <xf numFmtId="3" fontId="7" fillId="3" borderId="7" xfId="0" applyNumberFormat="1" applyFont="1" applyFill="1" applyBorder="1" applyAlignment="1">
      <alignment horizontal="right"/>
    </xf>
    <xf numFmtId="3" fontId="7" fillId="3" borderId="8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 vertical="center" wrapText="1"/>
    </xf>
    <xf numFmtId="3" fontId="7" fillId="3" borderId="0" xfId="0" applyNumberFormat="1" applyFont="1" applyFill="1" applyAlignment="1"/>
    <xf numFmtId="9" fontId="6" fillId="3" borderId="0" xfId="2" applyFont="1" applyFill="1" applyBorder="1" applyAlignment="1">
      <alignment horizontal="right" vertical="top"/>
    </xf>
    <xf numFmtId="1" fontId="7" fillId="3" borderId="0" xfId="2" applyNumberFormat="1" applyFont="1" applyFill="1" applyAlignment="1"/>
    <xf numFmtId="3" fontId="9" fillId="3" borderId="0" xfId="0" applyNumberFormat="1" applyFont="1" applyFill="1" applyAlignment="1"/>
    <xf numFmtId="0" fontId="1" fillId="6" borderId="0" xfId="0" applyFont="1" applyFill="1" applyAlignment="1">
      <alignment vertical="center"/>
    </xf>
    <xf numFmtId="0" fontId="3" fillId="6" borderId="0" xfId="0" applyFont="1" applyFill="1" applyAlignment="1"/>
    <xf numFmtId="0" fontId="3" fillId="6" borderId="0" xfId="0" applyFont="1" applyFill="1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/>
    <xf numFmtId="0" fontId="5" fillId="7" borderId="0" xfId="0" applyFont="1" applyFill="1" applyAlignment="1"/>
    <xf numFmtId="0" fontId="5" fillId="7" borderId="0" xfId="4" applyFont="1" applyFill="1" applyAlignment="1">
      <alignment horizontal="left" vertical="top"/>
    </xf>
    <xf numFmtId="0" fontId="6" fillId="7" borderId="0" xfId="4" applyFont="1" applyFill="1" applyAlignment="1">
      <alignment horizontal="left" vertical="top"/>
    </xf>
    <xf numFmtId="0" fontId="6" fillId="7" borderId="0" xfId="0" applyFont="1" applyFill="1" applyAlignment="1"/>
    <xf numFmtId="0" fontId="7" fillId="7" borderId="0" xfId="0" applyFont="1" applyFill="1" applyAlignment="1"/>
    <xf numFmtId="0" fontId="6" fillId="7" borderId="0" xfId="0" applyFont="1" applyFill="1" applyAlignment="1">
      <alignment wrapText="1"/>
    </xf>
    <xf numFmtId="0" fontId="6" fillId="7" borderId="1" xfId="0" applyFont="1" applyFill="1" applyBorder="1" applyAlignment="1">
      <alignment wrapText="1"/>
    </xf>
    <xf numFmtId="0" fontId="7" fillId="6" borderId="0" xfId="0" applyFont="1" applyFill="1" applyAlignment="1"/>
    <xf numFmtId="0" fontId="8" fillId="6" borderId="0" xfId="3" applyFont="1" applyFill="1" applyAlignment="1"/>
    <xf numFmtId="0" fontId="7" fillId="6" borderId="0" xfId="0" applyFont="1" applyFill="1" applyAlignment="1">
      <alignment vertical="top"/>
    </xf>
    <xf numFmtId="0" fontId="6" fillId="6" borderId="0" xfId="0" applyFont="1" applyFill="1" applyAlignment="1"/>
    <xf numFmtId="0" fontId="8" fillId="6" borderId="0" xfId="5" applyFont="1" applyFill="1" applyAlignment="1"/>
    <xf numFmtId="0" fontId="9" fillId="6" borderId="0" xfId="0" applyFont="1" applyFill="1" applyAlignment="1"/>
  </cellXfs>
  <cellStyles count="6">
    <cellStyle name="Hyperlink 2" xfId="5"/>
    <cellStyle name="Normal 3" xfId="4"/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fire-statistics-data-tables-fire0901-24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_sheet"/>
      <sheetName val="config"/>
      <sheetName val="Contents"/>
      <sheetName val="Old data"/>
      <sheetName val="Data"/>
      <sheetName val="FIRE0901_working"/>
      <sheetName val="FIRE0901"/>
      <sheetName val="FRS geographical categories"/>
    </sheetNames>
    <sheetDataSet>
      <sheetData sheetId="0"/>
      <sheetData sheetId="1">
        <row r="3">
          <cell r="B3" t="str">
            <v>27 August 2024</v>
          </cell>
        </row>
      </sheetData>
      <sheetData sheetId="2"/>
      <sheetData sheetId="3"/>
      <sheetData sheetId="4"/>
      <sheetData sheetId="5">
        <row r="8">
          <cell r="B8">
            <v>153804</v>
          </cell>
          <cell r="C8">
            <v>146771</v>
          </cell>
          <cell r="D8">
            <v>133520</v>
          </cell>
          <cell r="E8">
            <v>135089</v>
          </cell>
          <cell r="F8">
            <v>131418</v>
          </cell>
          <cell r="G8">
            <v>125340</v>
          </cell>
          <cell r="H8">
            <v>153005</v>
          </cell>
          <cell r="I8">
            <v>174705</v>
          </cell>
          <cell r="J8">
            <v>172737</v>
          </cell>
          <cell r="K8">
            <v>162389</v>
          </cell>
          <cell r="L8">
            <v>172209</v>
          </cell>
          <cell r="M8">
            <v>151029</v>
          </cell>
          <cell r="N8">
            <v>194652</v>
          </cell>
          <cell r="O8">
            <v>199284</v>
          </cell>
          <cell r="P8">
            <v>207448</v>
          </cell>
          <cell r="Q8">
            <v>51391</v>
          </cell>
          <cell r="R8">
            <v>201315</v>
          </cell>
          <cell r="S8">
            <v>209262</v>
          </cell>
        </row>
        <row r="9">
          <cell r="B9">
            <v>21792</v>
          </cell>
          <cell r="C9">
            <v>21549</v>
          </cell>
          <cell r="D9">
            <v>20588</v>
          </cell>
          <cell r="E9">
            <v>20410</v>
          </cell>
          <cell r="F9">
            <v>20460</v>
          </cell>
          <cell r="G9">
            <v>21146</v>
          </cell>
          <cell r="H9">
            <v>25996</v>
          </cell>
          <cell r="I9">
            <v>32368</v>
          </cell>
          <cell r="J9">
            <v>39251</v>
          </cell>
          <cell r="K9">
            <v>41635</v>
          </cell>
          <cell r="L9">
            <v>46681</v>
          </cell>
          <cell r="M9">
            <v>46349</v>
          </cell>
          <cell r="N9">
            <v>59637</v>
          </cell>
          <cell r="O9">
            <v>63683</v>
          </cell>
          <cell r="P9">
            <v>67897</v>
          </cell>
          <cell r="Q9">
            <v>17903</v>
          </cell>
          <cell r="R9">
            <v>63943</v>
          </cell>
          <cell r="S9">
            <v>70015</v>
          </cell>
        </row>
        <row r="10">
          <cell r="B10">
            <v>5188</v>
          </cell>
          <cell r="C10">
            <v>4653</v>
          </cell>
          <cell r="D10">
            <v>4108</v>
          </cell>
          <cell r="E10">
            <v>4060</v>
          </cell>
          <cell r="F10">
            <v>4218</v>
          </cell>
          <cell r="G10">
            <v>4520</v>
          </cell>
          <cell r="H10">
            <v>7123</v>
          </cell>
          <cell r="I10">
            <v>10223</v>
          </cell>
          <cell r="J10">
            <v>13516</v>
          </cell>
          <cell r="K10">
            <v>14816</v>
          </cell>
          <cell r="L10">
            <v>18277</v>
          </cell>
          <cell r="M10">
            <v>20012</v>
          </cell>
          <cell r="N10">
            <v>25529</v>
          </cell>
          <cell r="O10">
            <v>27463</v>
          </cell>
          <cell r="P10">
            <v>28181</v>
          </cell>
          <cell r="Q10">
            <v>7146</v>
          </cell>
          <cell r="R10">
            <v>27245</v>
          </cell>
          <cell r="S10">
            <v>28907</v>
          </cell>
        </row>
        <row r="11">
          <cell r="B11">
            <v>15607</v>
          </cell>
          <cell r="C11">
            <v>15724</v>
          </cell>
          <cell r="D11">
            <v>15311</v>
          </cell>
          <cell r="E11">
            <v>15279</v>
          </cell>
          <cell r="F11">
            <v>15130</v>
          </cell>
          <cell r="G11">
            <v>15525</v>
          </cell>
          <cell r="H11">
            <v>17572</v>
          </cell>
          <cell r="I11">
            <v>20652</v>
          </cell>
          <cell r="J11">
            <v>24110</v>
          </cell>
          <cell r="K11">
            <v>24904</v>
          </cell>
          <cell r="L11">
            <v>26363</v>
          </cell>
          <cell r="M11">
            <v>24241</v>
          </cell>
          <cell r="N11">
            <v>31526</v>
          </cell>
          <cell r="O11">
            <v>33392</v>
          </cell>
          <cell r="P11">
            <v>36603</v>
          </cell>
          <cell r="Q11">
            <v>9959</v>
          </cell>
          <cell r="R11">
            <v>33831</v>
          </cell>
          <cell r="S11">
            <v>37998</v>
          </cell>
        </row>
        <row r="12">
          <cell r="B12">
            <v>997</v>
          </cell>
          <cell r="C12">
            <v>1172</v>
          </cell>
          <cell r="D12">
            <v>1169</v>
          </cell>
          <cell r="E12">
            <v>1071</v>
          </cell>
          <cell r="F12">
            <v>1112</v>
          </cell>
          <cell r="G12">
            <v>1101</v>
          </cell>
          <cell r="H12">
            <v>1301</v>
          </cell>
          <cell r="I12">
            <v>1493</v>
          </cell>
          <cell r="J12">
            <v>1625</v>
          </cell>
          <cell r="K12">
            <v>1915</v>
          </cell>
          <cell r="L12">
            <v>2041</v>
          </cell>
          <cell r="M12">
            <v>2096</v>
          </cell>
          <cell r="N12">
            <v>2582</v>
          </cell>
          <cell r="O12">
            <v>2828</v>
          </cell>
          <cell r="P12">
            <v>3113</v>
          </cell>
          <cell r="Q12">
            <v>798</v>
          </cell>
          <cell r="R12">
            <v>2867</v>
          </cell>
          <cell r="S12">
            <v>3110</v>
          </cell>
        </row>
        <row r="13">
          <cell r="B13">
            <v>10241</v>
          </cell>
          <cell r="C13">
            <v>11276</v>
          </cell>
          <cell r="D13">
            <v>12080</v>
          </cell>
          <cell r="E13">
            <v>14689</v>
          </cell>
          <cell r="F13">
            <v>13655</v>
          </cell>
          <cell r="G13">
            <v>15813</v>
          </cell>
          <cell r="H13">
            <v>31347</v>
          </cell>
          <cell r="I13">
            <v>45757</v>
          </cell>
          <cell r="J13">
            <v>32852</v>
          </cell>
          <cell r="K13">
            <v>19913</v>
          </cell>
          <cell r="L13">
            <v>18349</v>
          </cell>
          <cell r="M13">
            <v>13807</v>
          </cell>
          <cell r="N13">
            <v>18246</v>
          </cell>
          <cell r="O13">
            <v>16905</v>
          </cell>
          <cell r="P13">
            <v>15203</v>
          </cell>
          <cell r="Q13">
            <v>3661</v>
          </cell>
          <cell r="R13">
            <v>16295</v>
          </cell>
          <cell r="S13">
            <v>15068</v>
          </cell>
        </row>
        <row r="14">
          <cell r="B14">
            <v>10241</v>
          </cell>
          <cell r="C14">
            <v>11276</v>
          </cell>
          <cell r="D14">
            <v>11504</v>
          </cell>
          <cell r="E14">
            <v>3100</v>
          </cell>
          <cell r="F14">
            <v>1740</v>
          </cell>
          <cell r="G14">
            <v>1645</v>
          </cell>
          <cell r="H14">
            <v>5506</v>
          </cell>
          <cell r="I14">
            <v>7839</v>
          </cell>
          <cell r="J14">
            <v>6676</v>
          </cell>
          <cell r="K14">
            <v>4904</v>
          </cell>
          <cell r="L14">
            <v>4494</v>
          </cell>
          <cell r="M14">
            <v>3995</v>
          </cell>
          <cell r="N14">
            <v>5669</v>
          </cell>
          <cell r="O14">
            <v>6798</v>
          </cell>
          <cell r="P14">
            <v>6503</v>
          </cell>
          <cell r="Q14">
            <v>1623</v>
          </cell>
          <cell r="R14">
            <v>6852</v>
          </cell>
          <cell r="S14">
            <v>6452</v>
          </cell>
        </row>
        <row r="15">
          <cell r="B15">
            <v>0</v>
          </cell>
          <cell r="C15">
            <v>0</v>
          </cell>
          <cell r="D15">
            <v>576</v>
          </cell>
          <cell r="E15">
            <v>11589</v>
          </cell>
          <cell r="F15">
            <v>11915</v>
          </cell>
          <cell r="G15">
            <v>14168</v>
          </cell>
          <cell r="H15">
            <v>25841</v>
          </cell>
          <cell r="I15">
            <v>37918</v>
          </cell>
          <cell r="J15">
            <v>26176</v>
          </cell>
          <cell r="K15">
            <v>15009</v>
          </cell>
          <cell r="L15">
            <v>13855</v>
          </cell>
          <cell r="M15">
            <v>9812</v>
          </cell>
          <cell r="N15">
            <v>12577</v>
          </cell>
          <cell r="O15">
            <v>10107</v>
          </cell>
          <cell r="P15">
            <v>8700</v>
          </cell>
          <cell r="Q15">
            <v>2038</v>
          </cell>
          <cell r="R15">
            <v>9443</v>
          </cell>
          <cell r="S15">
            <v>8616</v>
          </cell>
        </row>
        <row r="16">
          <cell r="B16">
            <v>33621</v>
          </cell>
          <cell r="C16">
            <v>30105</v>
          </cell>
          <cell r="D16">
            <v>28343</v>
          </cell>
          <cell r="E16">
            <v>27930</v>
          </cell>
          <cell r="F16">
            <v>28121</v>
          </cell>
          <cell r="G16">
            <v>29091</v>
          </cell>
          <cell r="H16">
            <v>30901</v>
          </cell>
          <cell r="I16">
            <v>29931</v>
          </cell>
          <cell r="J16">
            <v>30064</v>
          </cell>
          <cell r="K16">
            <v>31119</v>
          </cell>
          <cell r="L16">
            <v>31107</v>
          </cell>
          <cell r="M16">
            <v>22543</v>
          </cell>
          <cell r="N16">
            <v>30647</v>
          </cell>
          <cell r="O16">
            <v>31193</v>
          </cell>
          <cell r="P16">
            <v>31860</v>
          </cell>
          <cell r="Q16">
            <v>7847</v>
          </cell>
          <cell r="R16">
            <v>31482</v>
          </cell>
          <cell r="S16">
            <v>31885</v>
          </cell>
        </row>
        <row r="17">
          <cell r="B17">
            <v>33621</v>
          </cell>
          <cell r="C17">
            <v>30105</v>
          </cell>
          <cell r="D17">
            <v>28343</v>
          </cell>
          <cell r="E17">
            <v>27930</v>
          </cell>
          <cell r="F17">
            <v>28121</v>
          </cell>
          <cell r="G17">
            <v>29091</v>
          </cell>
          <cell r="H17">
            <v>30901</v>
          </cell>
          <cell r="I17">
            <v>29931</v>
          </cell>
          <cell r="J17">
            <v>30064</v>
          </cell>
          <cell r="K17">
            <v>31119</v>
          </cell>
          <cell r="L17">
            <v>31107</v>
          </cell>
          <cell r="M17">
            <v>22543</v>
          </cell>
          <cell r="N17">
            <v>30647</v>
          </cell>
          <cell r="O17">
            <v>31193</v>
          </cell>
          <cell r="P17">
            <v>31860</v>
          </cell>
          <cell r="Q17">
            <v>7847</v>
          </cell>
          <cell r="R17">
            <v>31482</v>
          </cell>
          <cell r="S17">
            <v>31885</v>
          </cell>
        </row>
        <row r="18">
          <cell r="B18">
            <v>15069</v>
          </cell>
          <cell r="C18">
            <v>16784</v>
          </cell>
          <cell r="D18">
            <v>11886</v>
          </cell>
          <cell r="E18">
            <v>17908</v>
          </cell>
          <cell r="F18">
            <v>14486</v>
          </cell>
          <cell r="G18">
            <v>12391</v>
          </cell>
          <cell r="H18">
            <v>13714</v>
          </cell>
          <cell r="I18">
            <v>14120</v>
          </cell>
          <cell r="J18">
            <v>15674</v>
          </cell>
          <cell r="K18">
            <v>13370</v>
          </cell>
          <cell r="L18">
            <v>15543</v>
          </cell>
          <cell r="M18">
            <v>14922</v>
          </cell>
          <cell r="N18">
            <v>15959</v>
          </cell>
          <cell r="O18">
            <v>17837</v>
          </cell>
          <cell r="P18">
            <v>17797</v>
          </cell>
          <cell r="Q18">
            <v>3428</v>
          </cell>
          <cell r="R18">
            <v>18577</v>
          </cell>
          <cell r="S18">
            <v>17485</v>
          </cell>
        </row>
        <row r="19">
          <cell r="B19">
            <v>15069</v>
          </cell>
          <cell r="C19">
            <v>16784</v>
          </cell>
          <cell r="D19">
            <v>11886</v>
          </cell>
          <cell r="E19">
            <v>17908</v>
          </cell>
          <cell r="F19">
            <v>14486</v>
          </cell>
          <cell r="G19">
            <v>12391</v>
          </cell>
          <cell r="H19">
            <v>13714</v>
          </cell>
          <cell r="I19">
            <v>14120</v>
          </cell>
          <cell r="J19">
            <v>15674</v>
          </cell>
          <cell r="K19">
            <v>13370</v>
          </cell>
          <cell r="L19">
            <v>15543</v>
          </cell>
          <cell r="M19">
            <v>14922</v>
          </cell>
          <cell r="N19">
            <v>15959</v>
          </cell>
          <cell r="O19">
            <v>17837</v>
          </cell>
          <cell r="P19">
            <v>17797</v>
          </cell>
          <cell r="Q19">
            <v>3428</v>
          </cell>
          <cell r="R19">
            <v>18577</v>
          </cell>
          <cell r="S19">
            <v>17485</v>
          </cell>
        </row>
        <row r="20">
          <cell r="B20">
            <v>73081</v>
          </cell>
          <cell r="C20">
            <v>67057</v>
          </cell>
          <cell r="D20">
            <v>60623</v>
          </cell>
          <cell r="E20">
            <v>54152</v>
          </cell>
          <cell r="F20">
            <v>54696</v>
          </cell>
          <cell r="G20">
            <v>46899</v>
          </cell>
          <cell r="H20">
            <v>51047</v>
          </cell>
          <cell r="I20">
            <v>52529</v>
          </cell>
          <cell r="J20">
            <v>54896</v>
          </cell>
          <cell r="K20">
            <v>56352</v>
          </cell>
          <cell r="L20">
            <v>60529</v>
          </cell>
          <cell r="M20">
            <v>53408</v>
          </cell>
          <cell r="N20">
            <v>70163</v>
          </cell>
          <cell r="O20">
            <v>69666</v>
          </cell>
          <cell r="P20">
            <v>74691</v>
          </cell>
          <cell r="Q20">
            <v>18552</v>
          </cell>
          <cell r="R20">
            <v>71018</v>
          </cell>
          <cell r="S20">
            <v>74809</v>
          </cell>
        </row>
        <row r="21">
          <cell r="B21">
            <v>20059</v>
          </cell>
          <cell r="C21">
            <v>16592</v>
          </cell>
          <cell r="D21">
            <v>14176</v>
          </cell>
          <cell r="E21">
            <v>12648</v>
          </cell>
          <cell r="F21">
            <v>11194</v>
          </cell>
          <cell r="G21">
            <v>10231</v>
          </cell>
          <cell r="H21">
            <v>10416</v>
          </cell>
          <cell r="I21">
            <v>10980</v>
          </cell>
          <cell r="J21">
            <v>11259</v>
          </cell>
          <cell r="K21">
            <v>11514</v>
          </cell>
          <cell r="L21">
            <v>11710</v>
          </cell>
          <cell r="M21">
            <v>7931</v>
          </cell>
          <cell r="N21">
            <v>11087</v>
          </cell>
          <cell r="O21">
            <v>12560</v>
          </cell>
          <cell r="P21">
            <v>12546</v>
          </cell>
          <cell r="Q21">
            <v>3025</v>
          </cell>
          <cell r="R21">
            <v>12787</v>
          </cell>
          <cell r="S21">
            <v>12367</v>
          </cell>
        </row>
        <row r="22">
          <cell r="B22">
            <v>5753</v>
          </cell>
          <cell r="C22">
            <v>5109</v>
          </cell>
          <cell r="D22">
            <v>5034</v>
          </cell>
          <cell r="E22">
            <v>3844</v>
          </cell>
          <cell r="F22">
            <v>3719</v>
          </cell>
          <cell r="G22">
            <v>3973</v>
          </cell>
          <cell r="H22">
            <v>3998</v>
          </cell>
          <cell r="I22">
            <v>4057</v>
          </cell>
          <cell r="J22">
            <v>4151</v>
          </cell>
          <cell r="K22">
            <v>4188</v>
          </cell>
          <cell r="L22">
            <v>4432</v>
          </cell>
          <cell r="M22">
            <v>4004</v>
          </cell>
          <cell r="N22">
            <v>5220</v>
          </cell>
          <cell r="O22">
            <v>5135</v>
          </cell>
          <cell r="P22">
            <v>5002</v>
          </cell>
          <cell r="Q22">
            <v>1383</v>
          </cell>
          <cell r="R22">
            <v>5184</v>
          </cell>
          <cell r="S22">
            <v>4861</v>
          </cell>
        </row>
        <row r="23">
          <cell r="B23">
            <v>5288</v>
          </cell>
          <cell r="C23">
            <v>5418</v>
          </cell>
          <cell r="D23">
            <v>5353</v>
          </cell>
          <cell r="E23">
            <v>4887</v>
          </cell>
          <cell r="F23">
            <v>4891</v>
          </cell>
          <cell r="G23">
            <v>4398</v>
          </cell>
          <cell r="H23">
            <v>4416</v>
          </cell>
          <cell r="I23">
            <v>4723</v>
          </cell>
          <cell r="J23">
            <v>4634</v>
          </cell>
          <cell r="K23">
            <v>4954</v>
          </cell>
          <cell r="L23">
            <v>4724</v>
          </cell>
          <cell r="M23">
            <v>5160</v>
          </cell>
          <cell r="N23">
            <v>5865</v>
          </cell>
          <cell r="O23">
            <v>5991</v>
          </cell>
          <cell r="P23">
            <v>5858</v>
          </cell>
          <cell r="Q23">
            <v>1838</v>
          </cell>
          <cell r="R23">
            <v>6057</v>
          </cell>
          <cell r="S23">
            <v>5744</v>
          </cell>
        </row>
        <row r="24">
          <cell r="B24">
            <v>3713</v>
          </cell>
          <cell r="C24">
            <v>3868</v>
          </cell>
          <cell r="D24">
            <v>3815</v>
          </cell>
          <cell r="E24">
            <v>4271</v>
          </cell>
          <cell r="F24">
            <v>4539</v>
          </cell>
          <cell r="G24">
            <v>4294</v>
          </cell>
          <cell r="H24">
            <v>4455</v>
          </cell>
          <cell r="I24">
            <v>4523</v>
          </cell>
          <cell r="J24">
            <v>4866</v>
          </cell>
          <cell r="K24">
            <v>4900</v>
          </cell>
          <cell r="L24">
            <v>5313</v>
          </cell>
          <cell r="M24">
            <v>5626</v>
          </cell>
          <cell r="N24">
            <v>6904</v>
          </cell>
          <cell r="O24">
            <v>6681</v>
          </cell>
          <cell r="P24">
            <v>6665</v>
          </cell>
          <cell r="Q24">
            <v>1805</v>
          </cell>
          <cell r="R24">
            <v>6664</v>
          </cell>
          <cell r="S24">
            <v>6650</v>
          </cell>
        </row>
        <row r="25">
          <cell r="B25">
            <v>1820</v>
          </cell>
          <cell r="C25">
            <v>1755</v>
          </cell>
          <cell r="D25">
            <v>1604</v>
          </cell>
          <cell r="E25">
            <v>2000</v>
          </cell>
          <cell r="F25">
            <v>1857</v>
          </cell>
          <cell r="G25">
            <v>1844</v>
          </cell>
          <cell r="H25">
            <v>2072</v>
          </cell>
          <cell r="I25">
            <v>2291</v>
          </cell>
          <cell r="J25">
            <v>2744</v>
          </cell>
          <cell r="K25">
            <v>2868</v>
          </cell>
          <cell r="L25">
            <v>2961</v>
          </cell>
          <cell r="M25">
            <v>3011</v>
          </cell>
          <cell r="N25">
            <v>3329</v>
          </cell>
          <cell r="O25">
            <v>3909</v>
          </cell>
          <cell r="P25">
            <v>4153</v>
          </cell>
          <cell r="Q25">
            <v>977</v>
          </cell>
          <cell r="R25">
            <v>3983</v>
          </cell>
          <cell r="S25">
            <v>4232</v>
          </cell>
        </row>
        <row r="26">
          <cell r="B26">
            <v>6303</v>
          </cell>
          <cell r="C26">
            <v>5690</v>
          </cell>
          <cell r="D26">
            <v>4968</v>
          </cell>
          <cell r="E26">
            <v>4547</v>
          </cell>
          <cell r="F26">
            <v>4171</v>
          </cell>
          <cell r="G26">
            <v>3944</v>
          </cell>
          <cell r="H26">
            <v>3719</v>
          </cell>
          <cell r="I26">
            <v>3595</v>
          </cell>
          <cell r="J26">
            <v>3374</v>
          </cell>
          <cell r="K26">
            <v>3447</v>
          </cell>
          <cell r="L26">
            <v>3223</v>
          </cell>
          <cell r="M26">
            <v>2681</v>
          </cell>
          <cell r="N26">
            <v>3110</v>
          </cell>
          <cell r="O26">
            <v>3233</v>
          </cell>
          <cell r="P26">
            <v>3274</v>
          </cell>
          <cell r="Q26">
            <v>815</v>
          </cell>
          <cell r="R26">
            <v>3325</v>
          </cell>
          <cell r="S26">
            <v>3239</v>
          </cell>
        </row>
        <row r="27">
          <cell r="B27">
            <v>3482</v>
          </cell>
          <cell r="C27">
            <v>3317</v>
          </cell>
          <cell r="D27">
            <v>3252</v>
          </cell>
          <cell r="E27">
            <v>3285</v>
          </cell>
          <cell r="F27">
            <v>6446</v>
          </cell>
          <cell r="G27">
            <v>2929</v>
          </cell>
          <cell r="H27">
            <v>4219</v>
          </cell>
          <cell r="I27">
            <v>3531</v>
          </cell>
          <cell r="J27">
            <v>3565</v>
          </cell>
          <cell r="K27">
            <v>3674</v>
          </cell>
          <cell r="L27">
            <v>4766</v>
          </cell>
          <cell r="M27">
            <v>3739</v>
          </cell>
          <cell r="N27">
            <v>7064</v>
          </cell>
          <cell r="O27">
            <v>3422</v>
          </cell>
          <cell r="P27">
            <v>4658</v>
          </cell>
          <cell r="Q27">
            <v>905</v>
          </cell>
          <cell r="R27">
            <v>3489</v>
          </cell>
          <cell r="S27">
            <v>4703</v>
          </cell>
        </row>
        <row r="28">
          <cell r="B28">
            <v>1475</v>
          </cell>
          <cell r="C28">
            <v>1253</v>
          </cell>
          <cell r="D28">
            <v>1181</v>
          </cell>
          <cell r="E28">
            <v>1310</v>
          </cell>
          <cell r="F28">
            <v>1225</v>
          </cell>
          <cell r="G28">
            <v>1157</v>
          </cell>
          <cell r="H28">
            <v>1239</v>
          </cell>
          <cell r="I28">
            <v>1295</v>
          </cell>
          <cell r="J28">
            <v>1207</v>
          </cell>
          <cell r="K28">
            <v>1173</v>
          </cell>
          <cell r="L28">
            <v>1269</v>
          </cell>
          <cell r="M28">
            <v>881</v>
          </cell>
          <cell r="N28">
            <v>1165</v>
          </cell>
          <cell r="O28">
            <v>1135</v>
          </cell>
          <cell r="P28">
            <v>1268</v>
          </cell>
          <cell r="Q28">
            <v>320</v>
          </cell>
          <cell r="R28">
            <v>1152</v>
          </cell>
          <cell r="S28">
            <v>1281</v>
          </cell>
        </row>
        <row r="29">
          <cell r="B29">
            <v>857</v>
          </cell>
          <cell r="C29">
            <v>691</v>
          </cell>
          <cell r="D29">
            <v>674</v>
          </cell>
          <cell r="E29">
            <v>1699</v>
          </cell>
          <cell r="F29">
            <v>1397</v>
          </cell>
          <cell r="G29">
            <v>825</v>
          </cell>
          <cell r="H29">
            <v>1293</v>
          </cell>
          <cell r="I29">
            <v>981</v>
          </cell>
          <cell r="J29">
            <v>1022</v>
          </cell>
          <cell r="K29">
            <v>1021</v>
          </cell>
          <cell r="L29">
            <v>2000</v>
          </cell>
          <cell r="M29">
            <v>1471</v>
          </cell>
          <cell r="N29">
            <v>1428</v>
          </cell>
          <cell r="O29">
            <v>1394</v>
          </cell>
          <cell r="P29">
            <v>2411</v>
          </cell>
          <cell r="Q29">
            <v>351</v>
          </cell>
          <cell r="R29">
            <v>1513</v>
          </cell>
          <cell r="S29">
            <v>2370</v>
          </cell>
        </row>
        <row r="30">
          <cell r="B30">
            <v>681</v>
          </cell>
          <cell r="C30">
            <v>773</v>
          </cell>
          <cell r="D30">
            <v>748</v>
          </cell>
          <cell r="E30">
            <v>635</v>
          </cell>
          <cell r="F30">
            <v>561</v>
          </cell>
          <cell r="G30">
            <v>481</v>
          </cell>
          <cell r="H30">
            <v>460</v>
          </cell>
          <cell r="I30">
            <v>543</v>
          </cell>
          <cell r="J30">
            <v>501</v>
          </cell>
          <cell r="K30">
            <v>551</v>
          </cell>
          <cell r="L30">
            <v>599</v>
          </cell>
          <cell r="M30">
            <v>670</v>
          </cell>
          <cell r="N30">
            <v>752</v>
          </cell>
          <cell r="O30">
            <v>922</v>
          </cell>
          <cell r="P30">
            <v>932</v>
          </cell>
          <cell r="Q30">
            <v>207</v>
          </cell>
          <cell r="R30">
            <v>977</v>
          </cell>
          <cell r="S30">
            <v>925</v>
          </cell>
        </row>
        <row r="31">
          <cell r="B31">
            <v>123</v>
          </cell>
          <cell r="C31">
            <v>120</v>
          </cell>
          <cell r="D31">
            <v>75</v>
          </cell>
          <cell r="E31">
            <v>65</v>
          </cell>
          <cell r="F31">
            <v>34</v>
          </cell>
          <cell r="G31">
            <v>39</v>
          </cell>
          <cell r="H31">
            <v>27</v>
          </cell>
          <cell r="I31">
            <v>40</v>
          </cell>
          <cell r="J31">
            <v>42</v>
          </cell>
          <cell r="K31">
            <v>40</v>
          </cell>
          <cell r="L31">
            <v>30</v>
          </cell>
          <cell r="M31">
            <v>28</v>
          </cell>
          <cell r="N31">
            <v>43</v>
          </cell>
          <cell r="O31">
            <v>51</v>
          </cell>
          <cell r="P31">
            <v>26</v>
          </cell>
          <cell r="Q31">
            <v>2</v>
          </cell>
          <cell r="R31">
            <v>58</v>
          </cell>
          <cell r="S31">
            <v>15</v>
          </cell>
        </row>
        <row r="32">
          <cell r="B32">
            <v>1886</v>
          </cell>
          <cell r="C32">
            <v>1864</v>
          </cell>
          <cell r="D32">
            <v>1993</v>
          </cell>
          <cell r="E32">
            <v>1886</v>
          </cell>
          <cell r="F32">
            <v>2425</v>
          </cell>
          <cell r="G32">
            <v>1703</v>
          </cell>
          <cell r="H32">
            <v>1943</v>
          </cell>
          <cell r="I32">
            <v>2017</v>
          </cell>
          <cell r="J32">
            <v>2124</v>
          </cell>
          <cell r="K32">
            <v>2286</v>
          </cell>
          <cell r="L32">
            <v>2513</v>
          </cell>
          <cell r="M32">
            <v>2230</v>
          </cell>
          <cell r="N32">
            <v>3038</v>
          </cell>
          <cell r="O32">
            <v>2948</v>
          </cell>
          <cell r="P32">
            <v>3470</v>
          </cell>
          <cell r="Q32">
            <v>775</v>
          </cell>
          <cell r="R32">
            <v>3126</v>
          </cell>
          <cell r="S32">
            <v>3514</v>
          </cell>
        </row>
        <row r="33">
          <cell r="B33">
            <v>697</v>
          </cell>
          <cell r="C33">
            <v>697</v>
          </cell>
          <cell r="D33">
            <v>686</v>
          </cell>
          <cell r="E33">
            <v>616</v>
          </cell>
          <cell r="F33">
            <v>621</v>
          </cell>
          <cell r="G33">
            <v>432</v>
          </cell>
          <cell r="H33">
            <v>361</v>
          </cell>
          <cell r="I33">
            <v>326</v>
          </cell>
          <cell r="J33">
            <v>349</v>
          </cell>
          <cell r="K33">
            <v>307</v>
          </cell>
          <cell r="L33">
            <v>350</v>
          </cell>
          <cell r="M33">
            <v>243</v>
          </cell>
          <cell r="N33">
            <v>301</v>
          </cell>
          <cell r="O33">
            <v>347</v>
          </cell>
          <cell r="P33">
            <v>332</v>
          </cell>
          <cell r="Q33">
            <v>78</v>
          </cell>
          <cell r="R33">
            <v>347</v>
          </cell>
          <cell r="S33">
            <v>329</v>
          </cell>
        </row>
        <row r="34">
          <cell r="B34">
            <v>7736</v>
          </cell>
          <cell r="C34">
            <v>7809</v>
          </cell>
          <cell r="D34">
            <v>7117</v>
          </cell>
          <cell r="E34">
            <v>6119</v>
          </cell>
          <cell r="F34">
            <v>5963</v>
          </cell>
          <cell r="G34">
            <v>5403</v>
          </cell>
          <cell r="H34">
            <v>6341</v>
          </cell>
          <cell r="I34">
            <v>7578</v>
          </cell>
          <cell r="J34">
            <v>8284</v>
          </cell>
          <cell r="K34">
            <v>8157</v>
          </cell>
          <cell r="L34">
            <v>9172</v>
          </cell>
          <cell r="M34">
            <v>9056</v>
          </cell>
          <cell r="N34">
            <v>12737</v>
          </cell>
          <cell r="O34">
            <v>12834</v>
          </cell>
          <cell r="P34">
            <v>14311</v>
          </cell>
          <cell r="Q34">
            <v>3698</v>
          </cell>
          <cell r="R34">
            <v>12931</v>
          </cell>
          <cell r="S34">
            <v>14739</v>
          </cell>
        </row>
        <row r="35">
          <cell r="B35">
            <v>710</v>
          </cell>
          <cell r="C35">
            <v>704</v>
          </cell>
          <cell r="D35">
            <v>531</v>
          </cell>
          <cell r="E35">
            <v>225</v>
          </cell>
          <cell r="F35">
            <v>169</v>
          </cell>
          <cell r="G35">
            <v>161</v>
          </cell>
          <cell r="H35">
            <v>191</v>
          </cell>
          <cell r="I35">
            <v>179</v>
          </cell>
          <cell r="J35">
            <v>187</v>
          </cell>
          <cell r="K35">
            <v>213</v>
          </cell>
          <cell r="L35">
            <v>229</v>
          </cell>
          <cell r="M35">
            <v>189</v>
          </cell>
          <cell r="N35">
            <v>235</v>
          </cell>
          <cell r="O35">
            <v>280</v>
          </cell>
          <cell r="P35">
            <v>325</v>
          </cell>
          <cell r="Q35">
            <v>79</v>
          </cell>
          <cell r="R35">
            <v>285</v>
          </cell>
          <cell r="S35">
            <v>328</v>
          </cell>
        </row>
        <row r="36">
          <cell r="B36">
            <v>12498</v>
          </cell>
          <cell r="C36">
            <v>11397</v>
          </cell>
          <cell r="D36">
            <v>9416</v>
          </cell>
          <cell r="E36">
            <v>6115</v>
          </cell>
          <cell r="F36">
            <v>5484</v>
          </cell>
          <cell r="G36">
            <v>5085</v>
          </cell>
          <cell r="H36">
            <v>5897</v>
          </cell>
          <cell r="I36">
            <v>5870</v>
          </cell>
          <cell r="J36">
            <v>6587</v>
          </cell>
          <cell r="K36">
            <v>7059</v>
          </cell>
          <cell r="L36">
            <v>7238</v>
          </cell>
          <cell r="M36">
            <v>6488</v>
          </cell>
          <cell r="N36">
            <v>7885</v>
          </cell>
          <cell r="O36">
            <v>8824</v>
          </cell>
          <cell r="P36">
            <v>9460</v>
          </cell>
          <cell r="Q36">
            <v>2294</v>
          </cell>
          <cell r="R36">
            <v>9140</v>
          </cell>
          <cell r="S36">
            <v>9512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overnment/collections/fire-statistics" TargetMode="External"/><Relationship Id="rId7" Type="http://schemas.openxmlformats.org/officeDocument/2006/relationships/hyperlink" Target="https://code.statisticsauthority.gov.uk/" TargetMode="External"/><Relationship Id="rId2" Type="http://schemas.openxmlformats.org/officeDocument/2006/relationships/hyperlink" Target="https://www.gov.uk/government/statistics/announcements?utf8=%E2%9C%93&amp;keywords=fire&amp;topics%5B%5D=&amp;organisations%5B%5D=home-office&amp;from_date=&amp;to_date=&amp;commit=Refresh+results" TargetMode="External"/><Relationship Id="rId1" Type="http://schemas.openxmlformats.org/officeDocument/2006/relationships/hyperlink" Target="https://www.gov.uk/government/collections/fire-statistics-monitor" TargetMode="External"/><Relationship Id="rId6" Type="http://schemas.openxmlformats.org/officeDocument/2006/relationships/hyperlink" Target="https://www.gov.uk/government/statistics/announcements?utf8=%E2%9C%93&amp;keywords=fire&amp;topics%5B%5D=&amp;organisations%5B%5D=home-office&amp;from_date=&amp;to_date=&amp;commit=Refresh+results" TargetMode="External"/><Relationship Id="rId5" Type="http://schemas.openxmlformats.org/officeDocument/2006/relationships/hyperlink" Target="https://www.gov.uk/government/collections/fire-statistics-monitor" TargetMode="External"/><Relationship Id="rId4" Type="http://schemas.openxmlformats.org/officeDocument/2006/relationships/hyperlink" Target="mailto:firestatistics@homeoffice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2"/>
  <sheetViews>
    <sheetView tabSelected="1" zoomScale="70" zoomScaleNormal="70" workbookViewId="0">
      <selection activeCell="U57" sqref="U57:U72"/>
    </sheetView>
  </sheetViews>
  <sheetFormatPr defaultColWidth="9.26953125" defaultRowHeight="14.5"/>
  <cols>
    <col min="6" max="6" width="10.26953125"/>
  </cols>
  <sheetData>
    <row r="1" spans="1:25" ht="20">
      <c r="A1" s="5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/>
      <c r="U1" s="31"/>
      <c r="V1" s="31"/>
      <c r="W1" s="31"/>
      <c r="X1" s="31"/>
      <c r="Y1" s="27"/>
    </row>
    <row r="2" spans="1:25" ht="17.5">
      <c r="A2" s="59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6"/>
      <c r="T2" s="26"/>
      <c r="U2" s="26"/>
      <c r="V2" s="26"/>
      <c r="W2" s="26"/>
      <c r="X2" s="18"/>
      <c r="Y2" s="18"/>
    </row>
    <row r="3" spans="1:25" ht="15.5">
      <c r="A3" s="60" t="s">
        <v>2</v>
      </c>
      <c r="B3" s="4"/>
      <c r="C3" s="4"/>
      <c r="D3" s="5"/>
      <c r="E3" s="4"/>
      <c r="F3" s="3"/>
      <c r="G3" s="18"/>
      <c r="H3" s="18"/>
      <c r="I3" s="3"/>
      <c r="J3" s="3"/>
      <c r="K3" s="3"/>
      <c r="L3" s="3"/>
      <c r="M3" s="3"/>
      <c r="N3" s="3"/>
      <c r="O3" s="3"/>
      <c r="P3" s="3"/>
      <c r="Q3" s="3"/>
      <c r="R3" s="18"/>
      <c r="S3" s="18"/>
      <c r="T3" s="18"/>
      <c r="U3" s="18"/>
      <c r="V3" s="18"/>
      <c r="W3" s="26"/>
      <c r="X3" s="18"/>
      <c r="Y3" s="18"/>
    </row>
    <row r="4" spans="1:25" ht="15.5">
      <c r="A4" s="2"/>
      <c r="B4" s="6"/>
      <c r="C4" s="6"/>
      <c r="D4" s="6"/>
      <c r="E4" s="6"/>
      <c r="F4" s="6"/>
      <c r="G4" s="66" t="s">
        <v>3</v>
      </c>
      <c r="H4" s="6"/>
      <c r="I4" s="6"/>
      <c r="J4" s="6"/>
      <c r="K4" s="6"/>
      <c r="L4" s="28"/>
      <c r="M4" s="28"/>
      <c r="N4" s="28"/>
      <c r="O4" s="28"/>
      <c r="P4" s="28"/>
      <c r="Q4" s="28"/>
      <c r="R4" s="18"/>
      <c r="S4" s="18"/>
      <c r="T4" s="18"/>
      <c r="U4" s="18"/>
      <c r="V4" s="18"/>
      <c r="W4" s="18"/>
      <c r="X4" s="18"/>
      <c r="Y4" s="18"/>
    </row>
    <row r="5" spans="1:25" ht="62">
      <c r="A5" s="61" t="s">
        <v>4</v>
      </c>
      <c r="B5" s="62" t="s">
        <v>5</v>
      </c>
      <c r="C5" s="62" t="s">
        <v>6</v>
      </c>
      <c r="D5" s="62" t="s">
        <v>7</v>
      </c>
      <c r="E5" s="62" t="s">
        <v>8</v>
      </c>
      <c r="F5" s="62" t="s">
        <v>9</v>
      </c>
      <c r="G5" s="62" t="s">
        <v>10</v>
      </c>
      <c r="H5" s="62" t="s">
        <v>11</v>
      </c>
      <c r="I5" s="63" t="s">
        <v>12</v>
      </c>
      <c r="J5" s="63" t="s">
        <v>13</v>
      </c>
      <c r="K5" s="63" t="s">
        <v>14</v>
      </c>
      <c r="L5" s="63" t="s">
        <v>15</v>
      </c>
      <c r="M5" s="63" t="s">
        <v>16</v>
      </c>
      <c r="N5" s="63" t="s">
        <v>17</v>
      </c>
      <c r="O5" s="63" t="s">
        <v>18</v>
      </c>
      <c r="P5" s="63" t="s">
        <v>19</v>
      </c>
      <c r="Q5" s="63" t="s">
        <v>20</v>
      </c>
      <c r="R5" s="64" t="s">
        <v>21</v>
      </c>
      <c r="S5" s="65" t="s">
        <v>22</v>
      </c>
      <c r="T5" s="18"/>
      <c r="U5" s="18"/>
      <c r="V5" s="18"/>
      <c r="W5" s="53"/>
      <c r="X5" s="18"/>
      <c r="Y5" s="18"/>
    </row>
    <row r="6" spans="1:25" ht="15.5">
      <c r="A6" s="67" t="s">
        <v>23</v>
      </c>
      <c r="B6" s="7">
        <f>IF([1]FIRE0901_working!B8="..","..",ROUND([1]FIRE0901_working!B8,0))</f>
        <v>153804</v>
      </c>
      <c r="C6" s="7">
        <f>IF([1]FIRE0901_working!C8="..","..",ROUND([1]FIRE0901_working!C8,0))</f>
        <v>146771</v>
      </c>
      <c r="D6" s="7">
        <f>IF([1]FIRE0901_working!D8="..","..",ROUND([1]FIRE0901_working!D8,0))</f>
        <v>133520</v>
      </c>
      <c r="E6" s="7">
        <f>IF([1]FIRE0901_working!E8="..","..",ROUND([1]FIRE0901_working!E8,0))</f>
        <v>135089</v>
      </c>
      <c r="F6" s="7">
        <f>IF([1]FIRE0901_working!F8="..","..",ROUND([1]FIRE0901_working!F8,0))</f>
        <v>131418</v>
      </c>
      <c r="G6" s="7">
        <f>IF([1]FIRE0901_working!G8="..","..",ROUND([1]FIRE0901_working!G8,0))</f>
        <v>125340</v>
      </c>
      <c r="H6" s="7">
        <f>IF([1]FIRE0901_working!H8="..","..",ROUND([1]FIRE0901_working!H8,0))</f>
        <v>153005</v>
      </c>
      <c r="I6" s="7">
        <f>IF([1]FIRE0901_working!I8="..","..",ROUND([1]FIRE0901_working!I8,0))</f>
        <v>174705</v>
      </c>
      <c r="J6" s="7">
        <f>IF([1]FIRE0901_working!J8="..","..",ROUND([1]FIRE0901_working!J8,0))</f>
        <v>172737</v>
      </c>
      <c r="K6" s="7">
        <f>IF([1]FIRE0901_working!K8="..","..",ROUND([1]FIRE0901_working!K8,0))</f>
        <v>162389</v>
      </c>
      <c r="L6" s="7">
        <f>IF([1]FIRE0901_working!L8="..","..",ROUND([1]FIRE0901_working!L8,0))</f>
        <v>172209</v>
      </c>
      <c r="M6" s="7">
        <f>IF([1]FIRE0901_working!M8="..","..",ROUND([1]FIRE0901_working!M8,0))</f>
        <v>151029</v>
      </c>
      <c r="N6" s="7">
        <f>IF([1]FIRE0901_working!N8="..","..",ROUND([1]FIRE0901_working!N8,0))</f>
        <v>194652</v>
      </c>
      <c r="O6" s="7">
        <f>IF([1]FIRE0901_working!O8="..","..",ROUND([1]FIRE0901_working!O8,0))</f>
        <v>199284</v>
      </c>
      <c r="P6" s="7">
        <f>IF([1]FIRE0901_working!P8="..","..",ROUND([1]FIRE0901_working!P8,0))</f>
        <v>207448</v>
      </c>
      <c r="Q6" s="32">
        <f>IF([1]FIRE0901_working!Q8="..","..",ROUND([1]FIRE0901_working!Q8,0))</f>
        <v>51391</v>
      </c>
      <c r="R6" s="33">
        <f>IF([1]FIRE0901_working!R8="..","..",ROUND([1]FIRE0901_working!R8,0))</f>
        <v>201315</v>
      </c>
      <c r="S6" s="34">
        <f>IF([1]FIRE0901_working!S8="..","..",ROUND([1]FIRE0901_working!S8,0))</f>
        <v>209262</v>
      </c>
      <c r="T6" s="18"/>
      <c r="U6" s="18"/>
      <c r="V6" s="54"/>
      <c r="W6" s="29"/>
      <c r="X6" s="54"/>
      <c r="Y6" s="54"/>
    </row>
    <row r="7" spans="1:25" ht="15.5">
      <c r="A7" s="68" t="s">
        <v>24</v>
      </c>
      <c r="B7" s="7">
        <f>IF([1]FIRE0901_working!B9="..","..",ROUND([1]FIRE0901_working!B9,0))</f>
        <v>21792</v>
      </c>
      <c r="C7" s="7">
        <f>IF([1]FIRE0901_working!C9="..","..",ROUND([1]FIRE0901_working!C9,0))</f>
        <v>21549</v>
      </c>
      <c r="D7" s="7">
        <f>IF([1]FIRE0901_working!D9="..","..",ROUND([1]FIRE0901_working!D9,0))</f>
        <v>20588</v>
      </c>
      <c r="E7" s="7">
        <f>IF([1]FIRE0901_working!E9="..","..",ROUND([1]FIRE0901_working!E9,0))</f>
        <v>20410</v>
      </c>
      <c r="F7" s="7">
        <f>IF([1]FIRE0901_working!F9="..","..",ROUND([1]FIRE0901_working!F9,0))</f>
        <v>20460</v>
      </c>
      <c r="G7" s="7">
        <f>IF([1]FIRE0901_working!G9="..","..",ROUND([1]FIRE0901_working!G9,0))</f>
        <v>21146</v>
      </c>
      <c r="H7" s="7">
        <f>IF([1]FIRE0901_working!H9="..","..",ROUND([1]FIRE0901_working!H9,0))</f>
        <v>25996</v>
      </c>
      <c r="I7" s="7">
        <f>IF([1]FIRE0901_working!I9="..","..",ROUND([1]FIRE0901_working!I9,0))</f>
        <v>32368</v>
      </c>
      <c r="J7" s="7">
        <f>IF([1]FIRE0901_working!J9="..","..",ROUND([1]FIRE0901_working!J9,0))</f>
        <v>39251</v>
      </c>
      <c r="K7" s="7">
        <f>IF([1]FIRE0901_working!K9="..","..",ROUND([1]FIRE0901_working!K9,0))</f>
        <v>41635</v>
      </c>
      <c r="L7" s="7">
        <f>IF([1]FIRE0901_working!L9="..","..",ROUND([1]FIRE0901_working!L9,0))</f>
        <v>46681</v>
      </c>
      <c r="M7" s="7">
        <f>IF([1]FIRE0901_working!M9="..","..",ROUND([1]FIRE0901_working!M9,0))</f>
        <v>46349</v>
      </c>
      <c r="N7" s="7">
        <f>IF([1]FIRE0901_working!N9="..","..",ROUND([1]FIRE0901_working!N9,0))</f>
        <v>59637</v>
      </c>
      <c r="O7" s="7">
        <f>IF([1]FIRE0901_working!O9="..","..",ROUND([1]FIRE0901_working!O9,0))</f>
        <v>63683</v>
      </c>
      <c r="P7" s="7">
        <f>IF([1]FIRE0901_working!P9="..","..",ROUND([1]FIRE0901_working!P9,0))</f>
        <v>67897</v>
      </c>
      <c r="Q7" s="32">
        <f>IF([1]FIRE0901_working!Q9="..","..",ROUND([1]FIRE0901_working!Q9,0))</f>
        <v>17903</v>
      </c>
      <c r="R7" s="33">
        <f>IF([1]FIRE0901_working!R9="..","..",ROUND([1]FIRE0901_working!R9,0))</f>
        <v>63943</v>
      </c>
      <c r="S7" s="34">
        <f>IF([1]FIRE0901_working!S9="..","..",ROUND([1]FIRE0901_working!S9,0))</f>
        <v>70015</v>
      </c>
      <c r="T7" s="18"/>
      <c r="U7" s="18"/>
      <c r="V7" s="54"/>
      <c r="W7" s="29"/>
      <c r="X7" s="55"/>
      <c r="Y7" s="54"/>
    </row>
    <row r="8" spans="1:25" ht="15.5">
      <c r="A8" s="69" t="s">
        <v>25</v>
      </c>
      <c r="B8" s="9">
        <f>IF([1]FIRE0901_working!B10="..","..",ROUND([1]FIRE0901_working!B10,0))</f>
        <v>5188</v>
      </c>
      <c r="C8" s="9">
        <f>IF([1]FIRE0901_working!C10="..","..",ROUND([1]FIRE0901_working!C10,0))</f>
        <v>4653</v>
      </c>
      <c r="D8" s="9">
        <f>IF([1]FIRE0901_working!D10="..","..",ROUND([1]FIRE0901_working!D10,0))</f>
        <v>4108</v>
      </c>
      <c r="E8" s="9">
        <f>IF([1]FIRE0901_working!E10="..","..",ROUND([1]FIRE0901_working!E10,0))</f>
        <v>4060</v>
      </c>
      <c r="F8" s="9">
        <f>IF([1]FIRE0901_working!F10="..","..",ROUND([1]FIRE0901_working!F10,0))</f>
        <v>4218</v>
      </c>
      <c r="G8" s="9">
        <f>IF([1]FIRE0901_working!G10="..","..",ROUND([1]FIRE0901_working!G10,0))</f>
        <v>4520</v>
      </c>
      <c r="H8" s="9">
        <f>IF([1]FIRE0901_working!H10="..","..",ROUND([1]FIRE0901_working!H10,0))</f>
        <v>7123</v>
      </c>
      <c r="I8" s="9">
        <f>IF([1]FIRE0901_working!I10="..","..",ROUND([1]FIRE0901_working!I10,0))</f>
        <v>10223</v>
      </c>
      <c r="J8" s="9">
        <f>IF([1]FIRE0901_working!J10="..","..",ROUND([1]FIRE0901_working!J10,0))</f>
        <v>13516</v>
      </c>
      <c r="K8" s="9">
        <f>IF([1]FIRE0901_working!K10="..","..",ROUND([1]FIRE0901_working!K10,0))</f>
        <v>14816</v>
      </c>
      <c r="L8" s="9">
        <f>IF([1]FIRE0901_working!L10="..","..",ROUND([1]FIRE0901_working!L10,0))</f>
        <v>18277</v>
      </c>
      <c r="M8" s="9">
        <f>IF([1]FIRE0901_working!M10="..","..",ROUND([1]FIRE0901_working!M10,0))</f>
        <v>20012</v>
      </c>
      <c r="N8" s="9">
        <f>IF([1]FIRE0901_working!N10="..","..",ROUND([1]FIRE0901_working!N10,0))</f>
        <v>25529</v>
      </c>
      <c r="O8" s="9">
        <f>IF([1]FIRE0901_working!O10="..","..",ROUND([1]FIRE0901_working!O10,0))</f>
        <v>27463</v>
      </c>
      <c r="P8" s="9">
        <f>IF([1]FIRE0901_working!P10="..","..",ROUND([1]FIRE0901_working!P10,0))</f>
        <v>28181</v>
      </c>
      <c r="Q8" s="35">
        <f>IF([1]FIRE0901_working!Q10="..","..",ROUND([1]FIRE0901_working!Q10,0))</f>
        <v>7146</v>
      </c>
      <c r="R8" s="36">
        <f>IF([1]FIRE0901_working!R10="..","..",ROUND([1]FIRE0901_working!R10,0))</f>
        <v>27245</v>
      </c>
      <c r="S8" s="37">
        <f>IF([1]FIRE0901_working!S10="..","..",ROUND([1]FIRE0901_working!S10,0))</f>
        <v>28907</v>
      </c>
      <c r="T8" s="18"/>
      <c r="U8" s="18"/>
      <c r="V8" s="18"/>
      <c r="W8" s="29"/>
      <c r="X8" s="55"/>
      <c r="Y8" s="18"/>
    </row>
    <row r="9" spans="1:25" ht="15.5">
      <c r="A9" s="69" t="s">
        <v>26</v>
      </c>
      <c r="B9" s="9">
        <f>IF([1]FIRE0901_working!B11="..","..",ROUND([1]FIRE0901_working!B11,0))</f>
        <v>15607</v>
      </c>
      <c r="C9" s="9">
        <f>IF([1]FIRE0901_working!C11="..","..",ROUND([1]FIRE0901_working!C11,0))</f>
        <v>15724</v>
      </c>
      <c r="D9" s="9">
        <f>IF([1]FIRE0901_working!D11="..","..",ROUND([1]FIRE0901_working!D11,0))</f>
        <v>15311</v>
      </c>
      <c r="E9" s="9">
        <f>IF([1]FIRE0901_working!E11="..","..",ROUND([1]FIRE0901_working!E11,0))</f>
        <v>15279</v>
      </c>
      <c r="F9" s="9">
        <f>IF([1]FIRE0901_working!F11="..","..",ROUND([1]FIRE0901_working!F11,0))</f>
        <v>15130</v>
      </c>
      <c r="G9" s="9">
        <f>IF([1]FIRE0901_working!G11="..","..",ROUND([1]FIRE0901_working!G11,0))</f>
        <v>15525</v>
      </c>
      <c r="H9" s="9">
        <f>IF([1]FIRE0901_working!H11="..","..",ROUND([1]FIRE0901_working!H11,0))</f>
        <v>17572</v>
      </c>
      <c r="I9" s="9">
        <f>IF([1]FIRE0901_working!I11="..","..",ROUND([1]FIRE0901_working!I11,0))</f>
        <v>20652</v>
      </c>
      <c r="J9" s="9">
        <f>IF([1]FIRE0901_working!J11="..","..",ROUND([1]FIRE0901_working!J11,0))</f>
        <v>24110</v>
      </c>
      <c r="K9" s="9">
        <f>IF([1]FIRE0901_working!K11="..","..",ROUND([1]FIRE0901_working!K11,0))</f>
        <v>24904</v>
      </c>
      <c r="L9" s="9">
        <f>IF([1]FIRE0901_working!L11="..","..",ROUND([1]FIRE0901_working!L11,0))</f>
        <v>26363</v>
      </c>
      <c r="M9" s="9">
        <f>IF([1]FIRE0901_working!M11="..","..",ROUND([1]FIRE0901_working!M11,0))</f>
        <v>24241</v>
      </c>
      <c r="N9" s="9">
        <f>IF([1]FIRE0901_working!N11="..","..",ROUND([1]FIRE0901_working!N11,0))</f>
        <v>31526</v>
      </c>
      <c r="O9" s="9">
        <f>IF([1]FIRE0901_working!O11="..","..",ROUND([1]FIRE0901_working!O11,0))</f>
        <v>33392</v>
      </c>
      <c r="P9" s="9">
        <f>IF([1]FIRE0901_working!P11="..","..",ROUND([1]FIRE0901_working!P11,0))</f>
        <v>36603</v>
      </c>
      <c r="Q9" s="35">
        <f>IF([1]FIRE0901_working!Q11="..","..",ROUND([1]FIRE0901_working!Q11,0))</f>
        <v>9959</v>
      </c>
      <c r="R9" s="36">
        <f>IF([1]FIRE0901_working!R11="..","..",ROUND([1]FIRE0901_working!R11,0))</f>
        <v>33831</v>
      </c>
      <c r="S9" s="37">
        <f>IF([1]FIRE0901_working!S11="..","..",ROUND([1]FIRE0901_working!S11,0))</f>
        <v>37998</v>
      </c>
      <c r="T9" s="18"/>
      <c r="U9" s="18"/>
      <c r="V9" s="54"/>
      <c r="W9" s="56"/>
      <c r="X9" s="55"/>
      <c r="Y9" s="18"/>
    </row>
    <row r="10" spans="1:25" ht="15.5">
      <c r="A10" s="69" t="s">
        <v>27</v>
      </c>
      <c r="B10" s="9">
        <f>IF([1]FIRE0901_working!B12="..","..",ROUND([1]FIRE0901_working!B12,0))</f>
        <v>997</v>
      </c>
      <c r="C10" s="9">
        <f>IF([1]FIRE0901_working!C12="..","..",ROUND([1]FIRE0901_working!C12,0))</f>
        <v>1172</v>
      </c>
      <c r="D10" s="9">
        <f>IF([1]FIRE0901_working!D12="..","..",ROUND([1]FIRE0901_working!D12,0))</f>
        <v>1169</v>
      </c>
      <c r="E10" s="9">
        <f>IF([1]FIRE0901_working!E12="..","..",ROUND([1]FIRE0901_working!E12,0))</f>
        <v>1071</v>
      </c>
      <c r="F10" s="9">
        <f>IF([1]FIRE0901_working!F12="..","..",ROUND([1]FIRE0901_working!F12,0))</f>
        <v>1112</v>
      </c>
      <c r="G10" s="9">
        <f>IF([1]FIRE0901_working!G12="..","..",ROUND([1]FIRE0901_working!G12,0))</f>
        <v>1101</v>
      </c>
      <c r="H10" s="9">
        <f>IF([1]FIRE0901_working!H12="..","..",ROUND([1]FIRE0901_working!H12,0))</f>
        <v>1301</v>
      </c>
      <c r="I10" s="9">
        <f>IF([1]FIRE0901_working!I12="..","..",ROUND([1]FIRE0901_working!I12,0))</f>
        <v>1493</v>
      </c>
      <c r="J10" s="9">
        <f>IF([1]FIRE0901_working!J12="..","..",ROUND([1]FIRE0901_working!J12,0))</f>
        <v>1625</v>
      </c>
      <c r="K10" s="9">
        <f>IF([1]FIRE0901_working!K12="..","..",ROUND([1]FIRE0901_working!K12,0))</f>
        <v>1915</v>
      </c>
      <c r="L10" s="9">
        <f>IF([1]FIRE0901_working!L12="..","..",ROUND([1]FIRE0901_working!L12,0))</f>
        <v>2041</v>
      </c>
      <c r="M10" s="9">
        <f>IF([1]FIRE0901_working!M12="..","..",ROUND([1]FIRE0901_working!M12,0))</f>
        <v>2096</v>
      </c>
      <c r="N10" s="9">
        <f>IF([1]FIRE0901_working!N12="..","..",ROUND([1]FIRE0901_working!N12,0))</f>
        <v>2582</v>
      </c>
      <c r="O10" s="9">
        <f>IF([1]FIRE0901_working!O12="..","..",ROUND([1]FIRE0901_working!O12,0))</f>
        <v>2828</v>
      </c>
      <c r="P10" s="9">
        <f>IF([1]FIRE0901_working!P12="..","..",ROUND([1]FIRE0901_working!P12,0))</f>
        <v>3113</v>
      </c>
      <c r="Q10" s="35">
        <f>IF([1]FIRE0901_working!Q12="..","..",ROUND([1]FIRE0901_working!Q12,0))</f>
        <v>798</v>
      </c>
      <c r="R10" s="36">
        <f>IF([1]FIRE0901_working!R12="..","..",ROUND([1]FIRE0901_working!R12,0))</f>
        <v>2867</v>
      </c>
      <c r="S10" s="37">
        <f>IF([1]FIRE0901_working!S12="..","..",ROUND([1]FIRE0901_working!S12,0))</f>
        <v>3110</v>
      </c>
      <c r="T10" s="18"/>
      <c r="U10" s="18"/>
      <c r="V10" s="18"/>
      <c r="W10" s="29"/>
      <c r="X10" s="8"/>
      <c r="Y10" s="17"/>
    </row>
    <row r="11" spans="1:25" ht="15.5">
      <c r="A11" s="68" t="s">
        <v>28</v>
      </c>
      <c r="B11" s="7">
        <f>IF([1]FIRE0901_working!B13="..","..",ROUND([1]FIRE0901_working!B13,0))</f>
        <v>10241</v>
      </c>
      <c r="C11" s="7">
        <f>IF([1]FIRE0901_working!C13="..","..",ROUND([1]FIRE0901_working!C13,0))</f>
        <v>11276</v>
      </c>
      <c r="D11" s="7">
        <f>IF([1]FIRE0901_working!D13="..","..",ROUND([1]FIRE0901_working!D13,0))</f>
        <v>12080</v>
      </c>
      <c r="E11" s="7">
        <f>IF([1]FIRE0901_working!E13="..","..",ROUND([1]FIRE0901_working!E13,0))</f>
        <v>14689</v>
      </c>
      <c r="F11" s="7">
        <f>IF([1]FIRE0901_working!F13="..","..",ROUND([1]FIRE0901_working!F13,0))</f>
        <v>13655</v>
      </c>
      <c r="G11" s="7">
        <f>IF([1]FIRE0901_working!G13="..","..",ROUND([1]FIRE0901_working!G13,0))</f>
        <v>15813</v>
      </c>
      <c r="H11" s="7">
        <f>IF([1]FIRE0901_working!H13="..","..",ROUND([1]FIRE0901_working!H13,0))</f>
        <v>31347</v>
      </c>
      <c r="I11" s="7">
        <f>IF([1]FIRE0901_working!I13="..","..",ROUND([1]FIRE0901_working!I13,0))</f>
        <v>45757</v>
      </c>
      <c r="J11" s="7">
        <f>IF([1]FIRE0901_working!J13="..","..",ROUND([1]FIRE0901_working!J13,0))</f>
        <v>32852</v>
      </c>
      <c r="K11" s="7">
        <f>IF([1]FIRE0901_working!K13="..","..",ROUND([1]FIRE0901_working!K13,0))</f>
        <v>19913</v>
      </c>
      <c r="L11" s="7">
        <f>IF([1]FIRE0901_working!L13="..","..",ROUND([1]FIRE0901_working!L13,0))</f>
        <v>18349</v>
      </c>
      <c r="M11" s="7">
        <f>IF([1]FIRE0901_working!M13="..","..",ROUND([1]FIRE0901_working!M13,0))</f>
        <v>13807</v>
      </c>
      <c r="N11" s="7">
        <f>IF([1]FIRE0901_working!N13="..","..",ROUND([1]FIRE0901_working!N13,0))</f>
        <v>18246</v>
      </c>
      <c r="O11" s="7">
        <f>IF([1]FIRE0901_working!O13="..","..",ROUND([1]FIRE0901_working!O13,0))</f>
        <v>16905</v>
      </c>
      <c r="P11" s="7">
        <f>IF([1]FIRE0901_working!P13="..","..",ROUND([1]FIRE0901_working!P13,0))</f>
        <v>15203</v>
      </c>
      <c r="Q11" s="32">
        <f>IF([1]FIRE0901_working!Q13="..","..",ROUND([1]FIRE0901_working!Q13,0))</f>
        <v>3661</v>
      </c>
      <c r="R11" s="33">
        <f>IF([1]FIRE0901_working!R13="..","..",ROUND([1]FIRE0901_working!R13,0))</f>
        <v>16295</v>
      </c>
      <c r="S11" s="34">
        <f>IF([1]FIRE0901_working!S13="..","..",ROUND([1]FIRE0901_working!S13,0))</f>
        <v>15068</v>
      </c>
      <c r="T11" s="18"/>
      <c r="U11" s="18"/>
      <c r="V11" s="18"/>
      <c r="W11" s="29"/>
      <c r="X11" s="55"/>
      <c r="Y11" s="18"/>
    </row>
    <row r="12" spans="1:25" ht="15.5">
      <c r="A12" s="69" t="s">
        <v>29</v>
      </c>
      <c r="B12" s="10">
        <f>IF([1]FIRE0901_working!B14="..","..",ROUND([1]FIRE0901_working!B14,0))</f>
        <v>10241</v>
      </c>
      <c r="C12" s="10">
        <f>IF([1]FIRE0901_working!C14="..","..",ROUND([1]FIRE0901_working!C14,0))</f>
        <v>11276</v>
      </c>
      <c r="D12" s="9">
        <f>IF([1]FIRE0901_working!D14="..","..",ROUND([1]FIRE0901_working!D14,0))</f>
        <v>11504</v>
      </c>
      <c r="E12" s="9">
        <f>IF([1]FIRE0901_working!E14="..","..",ROUND([1]FIRE0901_working!E14,0))</f>
        <v>3100</v>
      </c>
      <c r="F12" s="9">
        <f>IF([1]FIRE0901_working!F14="..","..",ROUND([1]FIRE0901_working!F14,0))</f>
        <v>1740</v>
      </c>
      <c r="G12" s="9">
        <f>IF([1]FIRE0901_working!G14="..","..",ROUND([1]FIRE0901_working!G14,0))</f>
        <v>1645</v>
      </c>
      <c r="H12" s="9">
        <f>IF([1]FIRE0901_working!H14="..","..",ROUND([1]FIRE0901_working!H14,0))</f>
        <v>5506</v>
      </c>
      <c r="I12" s="9">
        <f>IF([1]FIRE0901_working!I14="..","..",ROUND([1]FIRE0901_working!I14,0))</f>
        <v>7839</v>
      </c>
      <c r="J12" s="9">
        <f>IF([1]FIRE0901_working!J14="..","..",ROUND([1]FIRE0901_working!J14,0))</f>
        <v>6676</v>
      </c>
      <c r="K12" s="9">
        <f>IF([1]FIRE0901_working!K14="..","..",ROUND([1]FIRE0901_working!K14,0))</f>
        <v>4904</v>
      </c>
      <c r="L12" s="9">
        <f>IF([1]FIRE0901_working!L14="..","..",ROUND([1]FIRE0901_working!L14,0))</f>
        <v>4494</v>
      </c>
      <c r="M12" s="9">
        <f>IF([1]FIRE0901_working!M14="..","..",ROUND([1]FIRE0901_working!M14,0))</f>
        <v>3995</v>
      </c>
      <c r="N12" s="9">
        <f>IF([1]FIRE0901_working!N14="..","..",ROUND([1]FIRE0901_working!N14,0))</f>
        <v>5669</v>
      </c>
      <c r="O12" s="9">
        <f>IF([1]FIRE0901_working!O14="..","..",ROUND([1]FIRE0901_working!O14,0))</f>
        <v>6798</v>
      </c>
      <c r="P12" s="9">
        <f>IF([1]FIRE0901_working!P14="..","..",ROUND([1]FIRE0901_working!P14,0))</f>
        <v>6503</v>
      </c>
      <c r="Q12" s="35">
        <f>IF([1]FIRE0901_working!Q14="..","..",ROUND([1]FIRE0901_working!Q14,0))</f>
        <v>1623</v>
      </c>
      <c r="R12" s="36">
        <f>IF([1]FIRE0901_working!R14="..","..",ROUND([1]FIRE0901_working!R14,0))</f>
        <v>6852</v>
      </c>
      <c r="S12" s="37">
        <f>IF([1]FIRE0901_working!S14="..","..",ROUND([1]FIRE0901_working!S14,0))</f>
        <v>6452</v>
      </c>
      <c r="T12" s="18"/>
      <c r="U12" s="18"/>
      <c r="V12" s="18"/>
      <c r="W12" s="29"/>
      <c r="X12" s="55"/>
      <c r="Y12" s="18"/>
    </row>
    <row r="13" spans="1:25" ht="15.5">
      <c r="A13" s="69" t="s">
        <v>30</v>
      </c>
      <c r="B13" s="10">
        <f>IF([1]FIRE0901_working!B15="..","..",ROUND([1]FIRE0901_working!B15,0))</f>
        <v>0</v>
      </c>
      <c r="C13" s="10">
        <f>IF([1]FIRE0901_working!C15="..","..",ROUND([1]FIRE0901_working!C15,0))</f>
        <v>0</v>
      </c>
      <c r="D13" s="9">
        <f>IF([1]FIRE0901_working!D15="..","..",ROUND([1]FIRE0901_working!D15,0))</f>
        <v>576</v>
      </c>
      <c r="E13" s="9">
        <f>IF([1]FIRE0901_working!E15="..","..",ROUND([1]FIRE0901_working!E15,0))</f>
        <v>11589</v>
      </c>
      <c r="F13" s="9">
        <f>IF([1]FIRE0901_working!F15="..","..",ROUND([1]FIRE0901_working!F15,0))</f>
        <v>11915</v>
      </c>
      <c r="G13" s="9">
        <f>IF([1]FIRE0901_working!G15="..","..",ROUND([1]FIRE0901_working!G15,0))</f>
        <v>14168</v>
      </c>
      <c r="H13" s="9">
        <f>IF([1]FIRE0901_working!H15="..","..",ROUND([1]FIRE0901_working!H15,0))</f>
        <v>25841</v>
      </c>
      <c r="I13" s="9">
        <f>IF([1]FIRE0901_working!I15="..","..",ROUND([1]FIRE0901_working!I15,0))</f>
        <v>37918</v>
      </c>
      <c r="J13" s="9">
        <f>IF([1]FIRE0901_working!J15="..","..",ROUND([1]FIRE0901_working!J15,0))</f>
        <v>26176</v>
      </c>
      <c r="K13" s="9">
        <f>IF([1]FIRE0901_working!K15="..","..",ROUND([1]FIRE0901_working!K15,0))</f>
        <v>15009</v>
      </c>
      <c r="L13" s="9">
        <f>IF([1]FIRE0901_working!L15="..","..",ROUND([1]FIRE0901_working!L15,0))</f>
        <v>13855</v>
      </c>
      <c r="M13" s="9">
        <f>IF([1]FIRE0901_working!M15="..","..",ROUND([1]FIRE0901_working!M15,0))</f>
        <v>9812</v>
      </c>
      <c r="N13" s="9">
        <f>IF([1]FIRE0901_working!N15="..","..",ROUND([1]FIRE0901_working!N15,0))</f>
        <v>12577</v>
      </c>
      <c r="O13" s="9">
        <f>IF([1]FIRE0901_working!O15="..","..",ROUND([1]FIRE0901_working!O15,0))</f>
        <v>10107</v>
      </c>
      <c r="P13" s="9">
        <f>IF([1]FIRE0901_working!P15="..","..",ROUND([1]FIRE0901_working!P15,0))</f>
        <v>8700</v>
      </c>
      <c r="Q13" s="35">
        <f>IF([1]FIRE0901_working!Q15="..","..",ROUND([1]FIRE0901_working!Q15,0))</f>
        <v>2038</v>
      </c>
      <c r="R13" s="36">
        <f>IF([1]FIRE0901_working!R15="..","..",ROUND([1]FIRE0901_working!R15,0))</f>
        <v>9443</v>
      </c>
      <c r="S13" s="37">
        <f>IF([1]FIRE0901_working!S15="..","..",ROUND([1]FIRE0901_working!S15,0))</f>
        <v>8616</v>
      </c>
      <c r="T13" s="18"/>
      <c r="U13" s="18"/>
      <c r="V13" s="18"/>
      <c r="W13" s="29"/>
      <c r="X13" s="55"/>
      <c r="Y13" s="18"/>
    </row>
    <row r="14" spans="1:25" ht="15.5">
      <c r="A14" s="68" t="s">
        <v>31</v>
      </c>
      <c r="B14" s="11">
        <f>IF([1]FIRE0901_working!B16="..","..",ROUND([1]FIRE0901_working!B16,0))</f>
        <v>33621</v>
      </c>
      <c r="C14" s="11">
        <f>IF([1]FIRE0901_working!C16="..","..",ROUND([1]FIRE0901_working!C16,0))</f>
        <v>30105</v>
      </c>
      <c r="D14" s="7">
        <f>IF([1]FIRE0901_working!D16="..","..",ROUND([1]FIRE0901_working!D16,0))</f>
        <v>28343</v>
      </c>
      <c r="E14" s="7">
        <f>IF([1]FIRE0901_working!E16="..","..",ROUND([1]FIRE0901_working!E16,0))</f>
        <v>27930</v>
      </c>
      <c r="F14" s="7">
        <f>IF([1]FIRE0901_working!F16="..","..",ROUND([1]FIRE0901_working!F16,0))</f>
        <v>28121</v>
      </c>
      <c r="G14" s="7">
        <f>IF([1]FIRE0901_working!G16="..","..",ROUND([1]FIRE0901_working!G16,0))</f>
        <v>29091</v>
      </c>
      <c r="H14" s="7">
        <f>IF([1]FIRE0901_working!H16="..","..",ROUND([1]FIRE0901_working!H16,0))</f>
        <v>30901</v>
      </c>
      <c r="I14" s="7">
        <f>IF([1]FIRE0901_working!I16="..","..",ROUND([1]FIRE0901_working!I16,0))</f>
        <v>29931</v>
      </c>
      <c r="J14" s="7">
        <f>IF([1]FIRE0901_working!J16="..","..",ROUND([1]FIRE0901_working!J16,0))</f>
        <v>30064</v>
      </c>
      <c r="K14" s="7">
        <f>IF([1]FIRE0901_working!K16="..","..",ROUND([1]FIRE0901_working!K16,0))</f>
        <v>31119</v>
      </c>
      <c r="L14" s="7">
        <f>IF([1]FIRE0901_working!L16="..","..",ROUND([1]FIRE0901_working!L16,0))</f>
        <v>31107</v>
      </c>
      <c r="M14" s="7">
        <f>IF([1]FIRE0901_working!M16="..","..",ROUND([1]FIRE0901_working!M16,0))</f>
        <v>22543</v>
      </c>
      <c r="N14" s="7">
        <f>IF([1]FIRE0901_working!N16="..","..",ROUND([1]FIRE0901_working!N16,0))</f>
        <v>30647</v>
      </c>
      <c r="O14" s="7">
        <f>IF([1]FIRE0901_working!O16="..","..",ROUND([1]FIRE0901_working!O16,0))</f>
        <v>31193</v>
      </c>
      <c r="P14" s="7">
        <f>IF([1]FIRE0901_working!P16="..","..",ROUND([1]FIRE0901_working!P16,0))</f>
        <v>31860</v>
      </c>
      <c r="Q14" s="32">
        <f>IF([1]FIRE0901_working!Q16="..","..",ROUND([1]FIRE0901_working!Q16,0))</f>
        <v>7847</v>
      </c>
      <c r="R14" s="33">
        <f>IF([1]FIRE0901_working!R16="..","..",ROUND([1]FIRE0901_working!R16,0))</f>
        <v>31482</v>
      </c>
      <c r="S14" s="34">
        <f>IF([1]FIRE0901_working!S16="..","..",ROUND([1]FIRE0901_working!S16,0))</f>
        <v>31885</v>
      </c>
      <c r="T14" s="18"/>
      <c r="U14" s="18"/>
      <c r="V14" s="18"/>
      <c r="W14" s="29"/>
      <c r="X14" s="55"/>
      <c r="Y14" s="18"/>
    </row>
    <row r="15" spans="1:25" ht="15.5">
      <c r="A15" s="69" t="s">
        <v>32</v>
      </c>
      <c r="B15" s="10">
        <f>IF([1]FIRE0901_working!B17="..","..",ROUND([1]FIRE0901_working!B17,0))</f>
        <v>33621</v>
      </c>
      <c r="C15" s="10">
        <f>IF([1]FIRE0901_working!C17="..","..",ROUND([1]FIRE0901_working!C17,0))</f>
        <v>30105</v>
      </c>
      <c r="D15" s="9">
        <f>IF([1]FIRE0901_working!D17="..","..",ROUND([1]FIRE0901_working!D17,0))</f>
        <v>28343</v>
      </c>
      <c r="E15" s="9">
        <f>IF([1]FIRE0901_working!E17="..","..",ROUND([1]FIRE0901_working!E17,0))</f>
        <v>27930</v>
      </c>
      <c r="F15" s="9">
        <f>IF([1]FIRE0901_working!F17="..","..",ROUND([1]FIRE0901_working!F17,0))</f>
        <v>28121</v>
      </c>
      <c r="G15" s="9">
        <f>IF([1]FIRE0901_working!G17="..","..",ROUND([1]FIRE0901_working!G17,0))</f>
        <v>29091</v>
      </c>
      <c r="H15" s="9">
        <f>IF([1]FIRE0901_working!H17="..","..",ROUND([1]FIRE0901_working!H17,0))</f>
        <v>30901</v>
      </c>
      <c r="I15" s="9">
        <f>IF([1]FIRE0901_working!I17="..","..",ROUND([1]FIRE0901_working!I17,0))</f>
        <v>29931</v>
      </c>
      <c r="J15" s="9">
        <f>IF([1]FIRE0901_working!J17="..","..",ROUND([1]FIRE0901_working!J17,0))</f>
        <v>30064</v>
      </c>
      <c r="K15" s="9">
        <f>IF([1]FIRE0901_working!K17="..","..",ROUND([1]FIRE0901_working!K17,0))</f>
        <v>31119</v>
      </c>
      <c r="L15" s="9">
        <f>IF([1]FIRE0901_working!L17="..","..",ROUND([1]FIRE0901_working!L17,0))</f>
        <v>31107</v>
      </c>
      <c r="M15" s="9">
        <f>IF([1]FIRE0901_working!M17="..","..",ROUND([1]FIRE0901_working!M17,0))</f>
        <v>22543</v>
      </c>
      <c r="N15" s="9">
        <f>IF([1]FIRE0901_working!N17="..","..",ROUND([1]FIRE0901_working!N17,0))</f>
        <v>30647</v>
      </c>
      <c r="O15" s="9">
        <f>IF([1]FIRE0901_working!O17="..","..",ROUND([1]FIRE0901_working!O17,0))</f>
        <v>31193</v>
      </c>
      <c r="P15" s="9">
        <f>IF([1]FIRE0901_working!P17="..","..",ROUND([1]FIRE0901_working!P17,0))</f>
        <v>31860</v>
      </c>
      <c r="Q15" s="35">
        <f>IF([1]FIRE0901_working!Q17="..","..",ROUND([1]FIRE0901_working!Q17,0))</f>
        <v>7847</v>
      </c>
      <c r="R15" s="36">
        <f>IF([1]FIRE0901_working!R17="..","..",ROUND([1]FIRE0901_working!R17,0))</f>
        <v>31482</v>
      </c>
      <c r="S15" s="37">
        <f>IF([1]FIRE0901_working!S17="..","..",ROUND([1]FIRE0901_working!S17,0))</f>
        <v>31885</v>
      </c>
      <c r="T15" s="18"/>
      <c r="U15" s="18"/>
      <c r="V15" s="18"/>
      <c r="W15" s="29"/>
      <c r="X15" s="55"/>
      <c r="Y15" s="18"/>
    </row>
    <row r="16" spans="1:25" ht="15.5">
      <c r="A16" s="68" t="s">
        <v>33</v>
      </c>
      <c r="B16" s="11">
        <f>IF([1]FIRE0901_working!B18="..","..",ROUND([1]FIRE0901_working!B18,0))</f>
        <v>15069</v>
      </c>
      <c r="C16" s="11">
        <f>IF([1]FIRE0901_working!C18="..","..",ROUND([1]FIRE0901_working!C18,0))</f>
        <v>16784</v>
      </c>
      <c r="D16" s="11">
        <f>IF([1]FIRE0901_working!D18="..","..",ROUND([1]FIRE0901_working!D18,0))</f>
        <v>11886</v>
      </c>
      <c r="E16" s="11">
        <f>IF([1]FIRE0901_working!E18="..","..",ROUND([1]FIRE0901_working!E18,0))</f>
        <v>17908</v>
      </c>
      <c r="F16" s="11">
        <f>IF([1]FIRE0901_working!F18="..","..",ROUND([1]FIRE0901_working!F18,0))</f>
        <v>14486</v>
      </c>
      <c r="G16" s="11">
        <f>IF([1]FIRE0901_working!G18="..","..",ROUND([1]FIRE0901_working!G18,0))</f>
        <v>12391</v>
      </c>
      <c r="H16" s="11">
        <f>IF([1]FIRE0901_working!H18="..","..",ROUND([1]FIRE0901_working!H18,0))</f>
        <v>13714</v>
      </c>
      <c r="I16" s="11">
        <f>IF([1]FIRE0901_working!I18="..","..",ROUND([1]FIRE0901_working!I18,0))</f>
        <v>14120</v>
      </c>
      <c r="J16" s="11">
        <f>IF([1]FIRE0901_working!J18="..","..",ROUND([1]FIRE0901_working!J18,0))</f>
        <v>15674</v>
      </c>
      <c r="K16" s="11">
        <f>IF([1]FIRE0901_working!K18="..","..",ROUND([1]FIRE0901_working!K18,0))</f>
        <v>13370</v>
      </c>
      <c r="L16" s="11">
        <f>IF([1]FIRE0901_working!L18="..","..",ROUND([1]FIRE0901_working!L18,0))</f>
        <v>15543</v>
      </c>
      <c r="M16" s="11">
        <f>IF([1]FIRE0901_working!M18="..","..",ROUND([1]FIRE0901_working!M18,0))</f>
        <v>14922</v>
      </c>
      <c r="N16" s="11">
        <f>IF([1]FIRE0901_working!N18="..","..",ROUND([1]FIRE0901_working!N18,0))</f>
        <v>15959</v>
      </c>
      <c r="O16" s="11">
        <f>IF([1]FIRE0901_working!O18="..","..",ROUND([1]FIRE0901_working!O18,0))</f>
        <v>17837</v>
      </c>
      <c r="P16" s="11">
        <f>IF([1]FIRE0901_working!P18="..","..",ROUND([1]FIRE0901_working!P18,0))</f>
        <v>17797</v>
      </c>
      <c r="Q16" s="38">
        <f>IF([1]FIRE0901_working!Q18="..","..",ROUND([1]FIRE0901_working!Q18,0))</f>
        <v>3428</v>
      </c>
      <c r="R16" s="39">
        <f>IF([1]FIRE0901_working!R18="..","..",ROUND([1]FIRE0901_working!R18,0))</f>
        <v>18577</v>
      </c>
      <c r="S16" s="40">
        <f>IF([1]FIRE0901_working!S18="..","..",ROUND([1]FIRE0901_working!S18,0))</f>
        <v>17485</v>
      </c>
      <c r="T16" s="18"/>
      <c r="U16" s="18"/>
      <c r="V16" s="18"/>
      <c r="W16" s="29"/>
      <c r="X16" s="55"/>
      <c r="Y16" s="18"/>
    </row>
    <row r="17" spans="1:25" ht="15.5">
      <c r="A17" s="69" t="s">
        <v>34</v>
      </c>
      <c r="B17" s="10">
        <f>IF([1]FIRE0901_working!B19="..","..",ROUND([1]FIRE0901_working!B19,0))</f>
        <v>15069</v>
      </c>
      <c r="C17" s="10">
        <f>IF([1]FIRE0901_working!C19="..","..",ROUND([1]FIRE0901_working!C19,0))</f>
        <v>16784</v>
      </c>
      <c r="D17" s="10">
        <f>IF([1]FIRE0901_working!D19="..","..",ROUND([1]FIRE0901_working!D19,0))</f>
        <v>11886</v>
      </c>
      <c r="E17" s="10">
        <f>IF([1]FIRE0901_working!E19="..","..",ROUND([1]FIRE0901_working!E19,0))</f>
        <v>17908</v>
      </c>
      <c r="F17" s="10">
        <f>IF([1]FIRE0901_working!F19="..","..",ROUND([1]FIRE0901_working!F19,0))</f>
        <v>14486</v>
      </c>
      <c r="G17" s="10">
        <f>IF([1]FIRE0901_working!G19="..","..",ROUND([1]FIRE0901_working!G19,0))</f>
        <v>12391</v>
      </c>
      <c r="H17" s="10">
        <f>IF([1]FIRE0901_working!H19="..","..",ROUND([1]FIRE0901_working!H19,0))</f>
        <v>13714</v>
      </c>
      <c r="I17" s="10">
        <f>IF([1]FIRE0901_working!I19="..","..",ROUND([1]FIRE0901_working!I19,0))</f>
        <v>14120</v>
      </c>
      <c r="J17" s="10">
        <f>IF([1]FIRE0901_working!J19="..","..",ROUND([1]FIRE0901_working!J19,0))</f>
        <v>15674</v>
      </c>
      <c r="K17" s="10">
        <f>IF([1]FIRE0901_working!K19="..","..",ROUND([1]FIRE0901_working!K19,0))</f>
        <v>13370</v>
      </c>
      <c r="L17" s="10">
        <f>IF([1]FIRE0901_working!L19="..","..",ROUND([1]FIRE0901_working!L19,0))</f>
        <v>15543</v>
      </c>
      <c r="M17" s="10">
        <f>IF([1]FIRE0901_working!M19="..","..",ROUND([1]FIRE0901_working!M19,0))</f>
        <v>14922</v>
      </c>
      <c r="N17" s="10">
        <f>IF([1]FIRE0901_working!N19="..","..",ROUND([1]FIRE0901_working!N19,0))</f>
        <v>15959</v>
      </c>
      <c r="O17" s="10">
        <f>IF([1]FIRE0901_working!O19="..","..",ROUND([1]FIRE0901_working!O19,0))</f>
        <v>17837</v>
      </c>
      <c r="P17" s="10">
        <f>IF([1]FIRE0901_working!P19="..","..",ROUND([1]FIRE0901_working!P19,0))</f>
        <v>17797</v>
      </c>
      <c r="Q17" s="41">
        <f>IF([1]FIRE0901_working!Q19="..","..",ROUND([1]FIRE0901_working!Q19,0))</f>
        <v>3428</v>
      </c>
      <c r="R17" s="42">
        <f>IF([1]FIRE0901_working!R19="..","..",ROUND([1]FIRE0901_working!R19,0))</f>
        <v>18577</v>
      </c>
      <c r="S17" s="43">
        <f>IF([1]FIRE0901_working!S19="..","..",ROUND([1]FIRE0901_working!S19,0))</f>
        <v>17485</v>
      </c>
      <c r="T17" s="18"/>
      <c r="U17" s="18"/>
      <c r="V17" s="18"/>
      <c r="W17" s="29"/>
      <c r="X17" s="55"/>
      <c r="Y17" s="18"/>
    </row>
    <row r="18" spans="1:25" ht="15.5">
      <c r="A18" s="68" t="s">
        <v>35</v>
      </c>
      <c r="B18" s="11">
        <f>IF([1]FIRE0901_working!B20="..","..",ROUND([1]FIRE0901_working!B20,0))</f>
        <v>73081</v>
      </c>
      <c r="C18" s="11">
        <f>IF([1]FIRE0901_working!C20="..","..",ROUND([1]FIRE0901_working!C20,0))</f>
        <v>67057</v>
      </c>
      <c r="D18" s="11">
        <f>IF([1]FIRE0901_working!D20="..","..",ROUND([1]FIRE0901_working!D20,0))</f>
        <v>60623</v>
      </c>
      <c r="E18" s="11">
        <f>IF([1]FIRE0901_working!E20="..","..",ROUND([1]FIRE0901_working!E20,0))</f>
        <v>54152</v>
      </c>
      <c r="F18" s="11">
        <f>IF([1]FIRE0901_working!F20="..","..",ROUND([1]FIRE0901_working!F20,0))</f>
        <v>54696</v>
      </c>
      <c r="G18" s="11">
        <f>IF([1]FIRE0901_working!G20="..","..",ROUND([1]FIRE0901_working!G20,0))</f>
        <v>46899</v>
      </c>
      <c r="H18" s="11">
        <f>IF([1]FIRE0901_working!H20="..","..",ROUND([1]FIRE0901_working!H20,0))</f>
        <v>51047</v>
      </c>
      <c r="I18" s="11">
        <f>IF([1]FIRE0901_working!I20="..","..",ROUND([1]FIRE0901_working!I20,0))</f>
        <v>52529</v>
      </c>
      <c r="J18" s="11">
        <f>IF([1]FIRE0901_working!J20="..","..",ROUND([1]FIRE0901_working!J20,0))</f>
        <v>54896</v>
      </c>
      <c r="K18" s="11">
        <f>IF([1]FIRE0901_working!K20="..","..",ROUND([1]FIRE0901_working!K20,0))</f>
        <v>56352</v>
      </c>
      <c r="L18" s="11">
        <f>IF([1]FIRE0901_working!L20="..","..",ROUND([1]FIRE0901_working!L20,0))</f>
        <v>60529</v>
      </c>
      <c r="M18" s="11">
        <f>IF([1]FIRE0901_working!M20="..","..",ROUND([1]FIRE0901_working!M20,0))</f>
        <v>53408</v>
      </c>
      <c r="N18" s="11">
        <f>IF([1]FIRE0901_working!N20="..","..",ROUND([1]FIRE0901_working!N20,0))</f>
        <v>70163</v>
      </c>
      <c r="O18" s="11">
        <f>IF([1]FIRE0901_working!O20="..","..",ROUND([1]FIRE0901_working!O20,0))</f>
        <v>69666</v>
      </c>
      <c r="P18" s="11">
        <f>IF([1]FIRE0901_working!P20="..","..",ROUND([1]FIRE0901_working!P20,0))</f>
        <v>74691</v>
      </c>
      <c r="Q18" s="38">
        <f>IF([1]FIRE0901_working!Q20="..","..",ROUND([1]FIRE0901_working!Q20,0))</f>
        <v>18552</v>
      </c>
      <c r="R18" s="39">
        <f>IF([1]FIRE0901_working!R20="..","..",ROUND([1]FIRE0901_working!R20,0))</f>
        <v>71018</v>
      </c>
      <c r="S18" s="40">
        <f>IF([1]FIRE0901_working!S20="..","..",ROUND([1]FIRE0901_working!S20,0))</f>
        <v>74809</v>
      </c>
      <c r="T18" s="18"/>
      <c r="U18" s="18"/>
      <c r="V18" s="18"/>
      <c r="W18" s="29"/>
      <c r="X18" s="55"/>
      <c r="Y18" s="18"/>
    </row>
    <row r="19" spans="1:25" ht="15.5">
      <c r="A19" s="69" t="s">
        <v>36</v>
      </c>
      <c r="B19" s="10">
        <f>IF([1]FIRE0901_working!B21="..","..",ROUND([1]FIRE0901_working!B21,0))</f>
        <v>20059</v>
      </c>
      <c r="C19" s="10">
        <f>IF([1]FIRE0901_working!C21="..","..",ROUND([1]FIRE0901_working!C21,0))</f>
        <v>16592</v>
      </c>
      <c r="D19" s="10">
        <f>IF([1]FIRE0901_working!D21="..","..",ROUND([1]FIRE0901_working!D21,0))</f>
        <v>14176</v>
      </c>
      <c r="E19" s="10">
        <f>IF([1]FIRE0901_working!E21="..","..",ROUND([1]FIRE0901_working!E21,0))</f>
        <v>12648</v>
      </c>
      <c r="F19" s="10">
        <f>IF([1]FIRE0901_working!F21="..","..",ROUND([1]FIRE0901_working!F21,0))</f>
        <v>11194</v>
      </c>
      <c r="G19" s="10">
        <f>IF([1]FIRE0901_working!G21="..","..",ROUND([1]FIRE0901_working!G21,0))</f>
        <v>10231</v>
      </c>
      <c r="H19" s="10">
        <f>IF([1]FIRE0901_working!H21="..","..",ROUND([1]FIRE0901_working!H21,0))</f>
        <v>10416</v>
      </c>
      <c r="I19" s="10">
        <f>IF([1]FIRE0901_working!I21="..","..",ROUND([1]FIRE0901_working!I21,0))</f>
        <v>10980</v>
      </c>
      <c r="J19" s="10">
        <f>IF([1]FIRE0901_working!J21="..","..",ROUND([1]FIRE0901_working!J21,0))</f>
        <v>11259</v>
      </c>
      <c r="K19" s="10">
        <f>IF([1]FIRE0901_working!K21="..","..",ROUND([1]FIRE0901_working!K21,0))</f>
        <v>11514</v>
      </c>
      <c r="L19" s="10">
        <f>IF([1]FIRE0901_working!L21="..","..",ROUND([1]FIRE0901_working!L21,0))</f>
        <v>11710</v>
      </c>
      <c r="M19" s="10">
        <f>IF([1]FIRE0901_working!M21="..","..",ROUND([1]FIRE0901_working!M21,0))</f>
        <v>7931</v>
      </c>
      <c r="N19" s="10">
        <f>IF([1]FIRE0901_working!N21="..","..",ROUND([1]FIRE0901_working!N21,0))</f>
        <v>11087</v>
      </c>
      <c r="O19" s="10">
        <f>IF([1]FIRE0901_working!O21="..","..",ROUND([1]FIRE0901_working!O21,0))</f>
        <v>12560</v>
      </c>
      <c r="P19" s="10">
        <f>IF([1]FIRE0901_working!P21="..","..",ROUND([1]FIRE0901_working!P21,0))</f>
        <v>12546</v>
      </c>
      <c r="Q19" s="41">
        <f>IF([1]FIRE0901_working!Q21="..","..",ROUND([1]FIRE0901_working!Q21,0))</f>
        <v>3025</v>
      </c>
      <c r="R19" s="42">
        <f>IF([1]FIRE0901_working!R21="..","..",ROUND([1]FIRE0901_working!R21,0))</f>
        <v>12787</v>
      </c>
      <c r="S19" s="43">
        <f>IF([1]FIRE0901_working!S21="..","..",ROUND([1]FIRE0901_working!S21,0))</f>
        <v>12367</v>
      </c>
      <c r="T19" s="18"/>
      <c r="U19" s="18"/>
      <c r="V19" s="18"/>
      <c r="W19" s="29"/>
      <c r="X19" s="55"/>
      <c r="Y19" s="18"/>
    </row>
    <row r="20" spans="1:25" ht="15.5">
      <c r="A20" s="69" t="s">
        <v>37</v>
      </c>
      <c r="B20" s="10">
        <f>IF([1]FIRE0901_working!B22="..","..",ROUND([1]FIRE0901_working!B22,0))</f>
        <v>5753</v>
      </c>
      <c r="C20" s="10">
        <f>IF([1]FIRE0901_working!C22="..","..",ROUND([1]FIRE0901_working!C22,0))</f>
        <v>5109</v>
      </c>
      <c r="D20" s="10">
        <f>IF([1]FIRE0901_working!D22="..","..",ROUND([1]FIRE0901_working!D22,0))</f>
        <v>5034</v>
      </c>
      <c r="E20" s="10">
        <f>IF([1]FIRE0901_working!E22="..","..",ROUND([1]FIRE0901_working!E22,0))</f>
        <v>3844</v>
      </c>
      <c r="F20" s="10">
        <f>IF([1]FIRE0901_working!F22="..","..",ROUND([1]FIRE0901_working!F22,0))</f>
        <v>3719</v>
      </c>
      <c r="G20" s="10">
        <f>IF([1]FIRE0901_working!G22="..","..",ROUND([1]FIRE0901_working!G22,0))</f>
        <v>3973</v>
      </c>
      <c r="H20" s="10">
        <f>IF([1]FIRE0901_working!H22="..","..",ROUND([1]FIRE0901_working!H22,0))</f>
        <v>3998</v>
      </c>
      <c r="I20" s="10">
        <f>IF([1]FIRE0901_working!I22="..","..",ROUND([1]FIRE0901_working!I22,0))</f>
        <v>4057</v>
      </c>
      <c r="J20" s="10">
        <f>IF([1]FIRE0901_working!J22="..","..",ROUND([1]FIRE0901_working!J22,0))</f>
        <v>4151</v>
      </c>
      <c r="K20" s="10">
        <f>IF([1]FIRE0901_working!K22="..","..",ROUND([1]FIRE0901_working!K22,0))</f>
        <v>4188</v>
      </c>
      <c r="L20" s="10">
        <f>IF([1]FIRE0901_working!L22="..","..",ROUND([1]FIRE0901_working!L22,0))</f>
        <v>4432</v>
      </c>
      <c r="M20" s="10">
        <f>IF([1]FIRE0901_working!M22="..","..",ROUND([1]FIRE0901_working!M22,0))</f>
        <v>4004</v>
      </c>
      <c r="N20" s="10">
        <f>IF([1]FIRE0901_working!N22="..","..",ROUND([1]FIRE0901_working!N22,0))</f>
        <v>5220</v>
      </c>
      <c r="O20" s="10">
        <f>IF([1]FIRE0901_working!O22="..","..",ROUND([1]FIRE0901_working!O22,0))</f>
        <v>5135</v>
      </c>
      <c r="P20" s="10">
        <f>IF([1]FIRE0901_working!P22="..","..",ROUND([1]FIRE0901_working!P22,0))</f>
        <v>5002</v>
      </c>
      <c r="Q20" s="41">
        <f>IF([1]FIRE0901_working!Q22="..","..",ROUND([1]FIRE0901_working!Q22,0))</f>
        <v>1383</v>
      </c>
      <c r="R20" s="42">
        <f>IF([1]FIRE0901_working!R22="..","..",ROUND([1]FIRE0901_working!R22,0))</f>
        <v>5184</v>
      </c>
      <c r="S20" s="43">
        <f>IF([1]FIRE0901_working!S22="..","..",ROUND([1]FIRE0901_working!S22,0))</f>
        <v>4861</v>
      </c>
      <c r="T20" s="18"/>
      <c r="U20" s="18"/>
      <c r="V20" s="18"/>
      <c r="W20" s="29"/>
      <c r="X20" s="55"/>
      <c r="Y20" s="18"/>
    </row>
    <row r="21" spans="1:25" ht="15.5">
      <c r="A21" s="69" t="s">
        <v>38</v>
      </c>
      <c r="B21" s="10">
        <f>IF([1]FIRE0901_working!B23="..","..",ROUND([1]FIRE0901_working!B23,0))</f>
        <v>5288</v>
      </c>
      <c r="C21" s="10">
        <f>IF([1]FIRE0901_working!C23="..","..",ROUND([1]FIRE0901_working!C23,0))</f>
        <v>5418</v>
      </c>
      <c r="D21" s="10">
        <f>IF([1]FIRE0901_working!D23="..","..",ROUND([1]FIRE0901_working!D23,0))</f>
        <v>5353</v>
      </c>
      <c r="E21" s="10">
        <f>IF([1]FIRE0901_working!E23="..","..",ROUND([1]FIRE0901_working!E23,0))</f>
        <v>4887</v>
      </c>
      <c r="F21" s="10">
        <f>IF([1]FIRE0901_working!F23="..","..",ROUND([1]FIRE0901_working!F23,0))</f>
        <v>4891</v>
      </c>
      <c r="G21" s="10">
        <f>IF([1]FIRE0901_working!G23="..","..",ROUND([1]FIRE0901_working!G23,0))</f>
        <v>4398</v>
      </c>
      <c r="H21" s="10">
        <f>IF([1]FIRE0901_working!H23="..","..",ROUND([1]FIRE0901_working!H23,0))</f>
        <v>4416</v>
      </c>
      <c r="I21" s="10">
        <f>IF([1]FIRE0901_working!I23="..","..",ROUND([1]FIRE0901_working!I23,0))</f>
        <v>4723</v>
      </c>
      <c r="J21" s="10">
        <f>IF([1]FIRE0901_working!J23="..","..",ROUND([1]FIRE0901_working!J23,0))</f>
        <v>4634</v>
      </c>
      <c r="K21" s="10">
        <f>IF([1]FIRE0901_working!K23="..","..",ROUND([1]FIRE0901_working!K23,0))</f>
        <v>4954</v>
      </c>
      <c r="L21" s="10">
        <f>IF([1]FIRE0901_working!L23="..","..",ROUND([1]FIRE0901_working!L23,0))</f>
        <v>4724</v>
      </c>
      <c r="M21" s="10">
        <f>IF([1]FIRE0901_working!M23="..","..",ROUND([1]FIRE0901_working!M23,0))</f>
        <v>5160</v>
      </c>
      <c r="N21" s="10">
        <f>IF([1]FIRE0901_working!N23="..","..",ROUND([1]FIRE0901_working!N23,0))</f>
        <v>5865</v>
      </c>
      <c r="O21" s="10">
        <f>IF([1]FIRE0901_working!O23="..","..",ROUND([1]FIRE0901_working!O23,0))</f>
        <v>5991</v>
      </c>
      <c r="P21" s="10">
        <f>IF([1]FIRE0901_working!P23="..","..",ROUND([1]FIRE0901_working!P23,0))</f>
        <v>5858</v>
      </c>
      <c r="Q21" s="41">
        <f>IF([1]FIRE0901_working!Q23="..","..",ROUND([1]FIRE0901_working!Q23,0))</f>
        <v>1838</v>
      </c>
      <c r="R21" s="42">
        <f>IF([1]FIRE0901_working!R23="..","..",ROUND([1]FIRE0901_working!R23,0))</f>
        <v>6057</v>
      </c>
      <c r="S21" s="43">
        <f>IF([1]FIRE0901_working!S23="..","..",ROUND([1]FIRE0901_working!S23,0))</f>
        <v>5744</v>
      </c>
      <c r="T21" s="18"/>
      <c r="U21" s="18"/>
      <c r="V21" s="18"/>
      <c r="W21" s="29"/>
      <c r="X21" s="55"/>
      <c r="Y21" s="18"/>
    </row>
    <row r="22" spans="1:25" ht="15.5">
      <c r="A22" s="69" t="s">
        <v>39</v>
      </c>
      <c r="B22" s="10">
        <f>IF([1]FIRE0901_working!B24="..","..",ROUND([1]FIRE0901_working!B24,0))</f>
        <v>3713</v>
      </c>
      <c r="C22" s="10">
        <f>IF([1]FIRE0901_working!C24="..","..",ROUND([1]FIRE0901_working!C24,0))</f>
        <v>3868</v>
      </c>
      <c r="D22" s="12">
        <f>IF([1]FIRE0901_working!D24="..","..",ROUND([1]FIRE0901_working!D24,0))</f>
        <v>3815</v>
      </c>
      <c r="E22" s="12">
        <f>IF([1]FIRE0901_working!E24="..","..",ROUND([1]FIRE0901_working!E24,0))</f>
        <v>4271</v>
      </c>
      <c r="F22" s="12">
        <f>IF([1]FIRE0901_working!F24="..","..",ROUND([1]FIRE0901_working!F24,0))</f>
        <v>4539</v>
      </c>
      <c r="G22" s="12">
        <f>IF([1]FIRE0901_working!G24="..","..",ROUND([1]FIRE0901_working!G24,0))</f>
        <v>4294</v>
      </c>
      <c r="H22" s="12">
        <f>IF([1]FIRE0901_working!H24="..","..",ROUND([1]FIRE0901_working!H24,0))</f>
        <v>4455</v>
      </c>
      <c r="I22" s="12">
        <f>IF([1]FIRE0901_working!I24="..","..",ROUND([1]FIRE0901_working!I24,0))</f>
        <v>4523</v>
      </c>
      <c r="J22" s="12">
        <f>IF([1]FIRE0901_working!J24="..","..",ROUND([1]FIRE0901_working!J24,0))</f>
        <v>4866</v>
      </c>
      <c r="K22" s="12">
        <f>IF([1]FIRE0901_working!K24="..","..",ROUND([1]FIRE0901_working!K24,0))</f>
        <v>4900</v>
      </c>
      <c r="L22" s="12">
        <f>IF([1]FIRE0901_working!L24="..","..",ROUND([1]FIRE0901_working!L24,0))</f>
        <v>5313</v>
      </c>
      <c r="M22" s="12">
        <f>IF([1]FIRE0901_working!M24="..","..",ROUND([1]FIRE0901_working!M24,0))</f>
        <v>5626</v>
      </c>
      <c r="N22" s="12">
        <f>IF([1]FIRE0901_working!N24="..","..",ROUND([1]FIRE0901_working!N24,0))</f>
        <v>6904</v>
      </c>
      <c r="O22" s="12">
        <f>IF([1]FIRE0901_working!O24="..","..",ROUND([1]FIRE0901_working!O24,0))</f>
        <v>6681</v>
      </c>
      <c r="P22" s="12">
        <f>IF([1]FIRE0901_working!P24="..","..",ROUND([1]FIRE0901_working!P24,0))</f>
        <v>6665</v>
      </c>
      <c r="Q22" s="44">
        <f>IF([1]FIRE0901_working!Q24="..","..",ROUND([1]FIRE0901_working!Q24,0))</f>
        <v>1805</v>
      </c>
      <c r="R22" s="45">
        <f>IF([1]FIRE0901_working!R24="..","..",ROUND([1]FIRE0901_working!R24,0))</f>
        <v>6664</v>
      </c>
      <c r="S22" s="46">
        <f>IF([1]FIRE0901_working!S24="..","..",ROUND([1]FIRE0901_working!S24,0))</f>
        <v>6650</v>
      </c>
      <c r="T22" s="18"/>
      <c r="U22" s="18"/>
      <c r="V22" s="18"/>
      <c r="W22" s="29"/>
      <c r="X22" s="55"/>
      <c r="Y22" s="18"/>
    </row>
    <row r="23" spans="1:25" ht="15.5">
      <c r="A23" s="69" t="s">
        <v>40</v>
      </c>
      <c r="B23" s="10">
        <f>IF([1]FIRE0901_working!B25="..","..",ROUND([1]FIRE0901_working!B25,0))</f>
        <v>1820</v>
      </c>
      <c r="C23" s="10">
        <f>IF([1]FIRE0901_working!C25="..","..",ROUND([1]FIRE0901_working!C25,0))</f>
        <v>1755</v>
      </c>
      <c r="D23" s="10">
        <f>IF([1]FIRE0901_working!D25="..","..",ROUND([1]FIRE0901_working!D25,0))</f>
        <v>1604</v>
      </c>
      <c r="E23" s="10">
        <f>IF([1]FIRE0901_working!E25="..","..",ROUND([1]FIRE0901_working!E25,0))</f>
        <v>2000</v>
      </c>
      <c r="F23" s="10">
        <f>IF([1]FIRE0901_working!F25="..","..",ROUND([1]FIRE0901_working!F25,0))</f>
        <v>1857</v>
      </c>
      <c r="G23" s="10">
        <f>IF([1]FIRE0901_working!G25="..","..",ROUND([1]FIRE0901_working!G25,0))</f>
        <v>1844</v>
      </c>
      <c r="H23" s="10">
        <f>IF([1]FIRE0901_working!H25="..","..",ROUND([1]FIRE0901_working!H25,0))</f>
        <v>2072</v>
      </c>
      <c r="I23" s="10">
        <f>IF([1]FIRE0901_working!I25="..","..",ROUND([1]FIRE0901_working!I25,0))</f>
        <v>2291</v>
      </c>
      <c r="J23" s="10">
        <f>IF([1]FIRE0901_working!J25="..","..",ROUND([1]FIRE0901_working!J25,0))</f>
        <v>2744</v>
      </c>
      <c r="K23" s="10">
        <f>IF([1]FIRE0901_working!K25="..","..",ROUND([1]FIRE0901_working!K25,0))</f>
        <v>2868</v>
      </c>
      <c r="L23" s="10">
        <f>IF([1]FIRE0901_working!L25="..","..",ROUND([1]FIRE0901_working!L25,0))</f>
        <v>2961</v>
      </c>
      <c r="M23" s="10">
        <f>IF([1]FIRE0901_working!M25="..","..",ROUND([1]FIRE0901_working!M25,0))</f>
        <v>3011</v>
      </c>
      <c r="N23" s="10">
        <f>IF([1]FIRE0901_working!N25="..","..",ROUND([1]FIRE0901_working!N25,0))</f>
        <v>3329</v>
      </c>
      <c r="O23" s="10">
        <f>IF([1]FIRE0901_working!O25="..","..",ROUND([1]FIRE0901_working!O25,0))</f>
        <v>3909</v>
      </c>
      <c r="P23" s="10">
        <f>IF([1]FIRE0901_working!P25="..","..",ROUND([1]FIRE0901_working!P25,0))</f>
        <v>4153</v>
      </c>
      <c r="Q23" s="41">
        <f>IF([1]FIRE0901_working!Q25="..","..",ROUND([1]FIRE0901_working!Q25,0))</f>
        <v>977</v>
      </c>
      <c r="R23" s="42">
        <f>IF([1]FIRE0901_working!R25="..","..",ROUND([1]FIRE0901_working!R25,0))</f>
        <v>3983</v>
      </c>
      <c r="S23" s="43">
        <f>IF([1]FIRE0901_working!S25="..","..",ROUND([1]FIRE0901_working!S25,0))</f>
        <v>4232</v>
      </c>
      <c r="T23" s="18"/>
      <c r="U23" s="18"/>
      <c r="V23" s="18"/>
      <c r="W23" s="29"/>
      <c r="X23" s="55"/>
      <c r="Y23" s="18"/>
    </row>
    <row r="24" spans="1:25" ht="15.5">
      <c r="A24" s="69" t="s">
        <v>41</v>
      </c>
      <c r="B24" s="10">
        <f>IF([1]FIRE0901_working!B26="..","..",ROUND([1]FIRE0901_working!B26,0))</f>
        <v>6303</v>
      </c>
      <c r="C24" s="10">
        <f>IF([1]FIRE0901_working!C26="..","..",ROUND([1]FIRE0901_working!C26,0))</f>
        <v>5690</v>
      </c>
      <c r="D24" s="10">
        <f>IF([1]FIRE0901_working!D26="..","..",ROUND([1]FIRE0901_working!D26,0))</f>
        <v>4968</v>
      </c>
      <c r="E24" s="10">
        <f>IF([1]FIRE0901_working!E26="..","..",ROUND([1]FIRE0901_working!E26,0))</f>
        <v>4547</v>
      </c>
      <c r="F24" s="10">
        <f>IF([1]FIRE0901_working!F26="..","..",ROUND([1]FIRE0901_working!F26,0))</f>
        <v>4171</v>
      </c>
      <c r="G24" s="10">
        <f>IF([1]FIRE0901_working!G26="..","..",ROUND([1]FIRE0901_working!G26,0))</f>
        <v>3944</v>
      </c>
      <c r="H24" s="10">
        <f>IF([1]FIRE0901_working!H26="..","..",ROUND([1]FIRE0901_working!H26,0))</f>
        <v>3719</v>
      </c>
      <c r="I24" s="10">
        <f>IF([1]FIRE0901_working!I26="..","..",ROUND([1]FIRE0901_working!I26,0))</f>
        <v>3595</v>
      </c>
      <c r="J24" s="10">
        <f>IF([1]FIRE0901_working!J26="..","..",ROUND([1]FIRE0901_working!J26,0))</f>
        <v>3374</v>
      </c>
      <c r="K24" s="10">
        <f>IF([1]FIRE0901_working!K26="..","..",ROUND([1]FIRE0901_working!K26,0))</f>
        <v>3447</v>
      </c>
      <c r="L24" s="10">
        <f>IF([1]FIRE0901_working!L26="..","..",ROUND([1]FIRE0901_working!L26,0))</f>
        <v>3223</v>
      </c>
      <c r="M24" s="10">
        <f>IF([1]FIRE0901_working!M26="..","..",ROUND([1]FIRE0901_working!M26,0))</f>
        <v>2681</v>
      </c>
      <c r="N24" s="10">
        <f>IF([1]FIRE0901_working!N26="..","..",ROUND([1]FIRE0901_working!N26,0))</f>
        <v>3110</v>
      </c>
      <c r="O24" s="10">
        <f>IF([1]FIRE0901_working!O26="..","..",ROUND([1]FIRE0901_working!O26,0))</f>
        <v>3233</v>
      </c>
      <c r="P24" s="10">
        <f>IF([1]FIRE0901_working!P26="..","..",ROUND([1]FIRE0901_working!P26,0))</f>
        <v>3274</v>
      </c>
      <c r="Q24" s="41">
        <f>IF([1]FIRE0901_working!Q26="..","..",ROUND([1]FIRE0901_working!Q26,0))</f>
        <v>815</v>
      </c>
      <c r="R24" s="42">
        <f>IF([1]FIRE0901_working!R26="..","..",ROUND([1]FIRE0901_working!R26,0))</f>
        <v>3325</v>
      </c>
      <c r="S24" s="43">
        <f>IF([1]FIRE0901_working!S26="..","..",ROUND([1]FIRE0901_working!S26,0))</f>
        <v>3239</v>
      </c>
      <c r="T24" s="18"/>
      <c r="U24" s="18"/>
      <c r="V24" s="18"/>
      <c r="W24" s="29"/>
      <c r="X24" s="55"/>
      <c r="Y24" s="18"/>
    </row>
    <row r="25" spans="1:25" ht="15.5">
      <c r="A25" s="69" t="s">
        <v>42</v>
      </c>
      <c r="B25" s="10">
        <f>IF([1]FIRE0901_working!B27="..","..",ROUND([1]FIRE0901_working!B27,0))</f>
        <v>3482</v>
      </c>
      <c r="C25" s="10">
        <f>IF([1]FIRE0901_working!C27="..","..",ROUND([1]FIRE0901_working!C27,0))</f>
        <v>3317</v>
      </c>
      <c r="D25" s="10">
        <f>IF([1]FIRE0901_working!D27="..","..",ROUND([1]FIRE0901_working!D27,0))</f>
        <v>3252</v>
      </c>
      <c r="E25" s="10">
        <f>IF([1]FIRE0901_working!E27="..","..",ROUND([1]FIRE0901_working!E27,0))</f>
        <v>3285</v>
      </c>
      <c r="F25" s="10">
        <f>IF([1]FIRE0901_working!F27="..","..",ROUND([1]FIRE0901_working!F27,0))</f>
        <v>6446</v>
      </c>
      <c r="G25" s="10">
        <f>IF([1]FIRE0901_working!G27="..","..",ROUND([1]FIRE0901_working!G27,0))</f>
        <v>2929</v>
      </c>
      <c r="H25" s="10">
        <f>IF([1]FIRE0901_working!H27="..","..",ROUND([1]FIRE0901_working!H27,0))</f>
        <v>4219</v>
      </c>
      <c r="I25" s="10">
        <f>IF([1]FIRE0901_working!I27="..","..",ROUND([1]FIRE0901_working!I27,0))</f>
        <v>3531</v>
      </c>
      <c r="J25" s="10">
        <f>IF([1]FIRE0901_working!J27="..","..",ROUND([1]FIRE0901_working!J27,0))</f>
        <v>3565</v>
      </c>
      <c r="K25" s="10">
        <f>IF([1]FIRE0901_working!K27="..","..",ROUND([1]FIRE0901_working!K27,0))</f>
        <v>3674</v>
      </c>
      <c r="L25" s="10">
        <f>IF([1]FIRE0901_working!L27="..","..",ROUND([1]FIRE0901_working!L27,0))</f>
        <v>4766</v>
      </c>
      <c r="M25" s="10">
        <f>IF([1]FIRE0901_working!M27="..","..",ROUND([1]FIRE0901_working!M27,0))</f>
        <v>3739</v>
      </c>
      <c r="N25" s="10">
        <f>IF([1]FIRE0901_working!N27="..","..",ROUND([1]FIRE0901_working!N27,0))</f>
        <v>7064</v>
      </c>
      <c r="O25" s="10">
        <f>IF([1]FIRE0901_working!O27="..","..",ROUND([1]FIRE0901_working!O27,0))</f>
        <v>3422</v>
      </c>
      <c r="P25" s="10">
        <f>IF([1]FIRE0901_working!P27="..","..",ROUND([1]FIRE0901_working!P27,0))</f>
        <v>4658</v>
      </c>
      <c r="Q25" s="41">
        <f>IF([1]FIRE0901_working!Q27="..","..",ROUND([1]FIRE0901_working!Q27,0))</f>
        <v>905</v>
      </c>
      <c r="R25" s="42">
        <f>IF([1]FIRE0901_working!R27="..","..",ROUND([1]FIRE0901_working!R27,0))</f>
        <v>3489</v>
      </c>
      <c r="S25" s="43">
        <f>IF([1]FIRE0901_working!S27="..","..",ROUND([1]FIRE0901_working!S27,0))</f>
        <v>4703</v>
      </c>
      <c r="T25" s="18"/>
      <c r="U25" s="18"/>
      <c r="V25" s="18"/>
      <c r="W25" s="29"/>
      <c r="X25" s="55"/>
      <c r="Y25" s="18"/>
    </row>
    <row r="26" spans="1:25" ht="15.5">
      <c r="A26" s="69" t="s">
        <v>43</v>
      </c>
      <c r="B26" s="10">
        <f>IF([1]FIRE0901_working!B28="..","..",ROUND([1]FIRE0901_working!B28,0))</f>
        <v>1475</v>
      </c>
      <c r="C26" s="10">
        <f>IF([1]FIRE0901_working!C28="..","..",ROUND([1]FIRE0901_working!C28,0))</f>
        <v>1253</v>
      </c>
      <c r="D26" s="10">
        <f>IF([1]FIRE0901_working!D28="..","..",ROUND([1]FIRE0901_working!D28,0))</f>
        <v>1181</v>
      </c>
      <c r="E26" s="10">
        <f>IF([1]FIRE0901_working!E28="..","..",ROUND([1]FIRE0901_working!E28,0))</f>
        <v>1310</v>
      </c>
      <c r="F26" s="10">
        <f>IF([1]FIRE0901_working!F28="..","..",ROUND([1]FIRE0901_working!F28,0))</f>
        <v>1225</v>
      </c>
      <c r="G26" s="10">
        <f>IF([1]FIRE0901_working!G28="..","..",ROUND([1]FIRE0901_working!G28,0))</f>
        <v>1157</v>
      </c>
      <c r="H26" s="10">
        <f>IF([1]FIRE0901_working!H28="..","..",ROUND([1]FIRE0901_working!H28,0))</f>
        <v>1239</v>
      </c>
      <c r="I26" s="10">
        <f>IF([1]FIRE0901_working!I28="..","..",ROUND([1]FIRE0901_working!I28,0))</f>
        <v>1295</v>
      </c>
      <c r="J26" s="10">
        <f>IF([1]FIRE0901_working!J28="..","..",ROUND([1]FIRE0901_working!J28,0))</f>
        <v>1207</v>
      </c>
      <c r="K26" s="10">
        <f>IF([1]FIRE0901_working!K28="..","..",ROUND([1]FIRE0901_working!K28,0))</f>
        <v>1173</v>
      </c>
      <c r="L26" s="10">
        <f>IF([1]FIRE0901_working!L28="..","..",ROUND([1]FIRE0901_working!L28,0))</f>
        <v>1269</v>
      </c>
      <c r="M26" s="10">
        <f>IF([1]FIRE0901_working!M28="..","..",ROUND([1]FIRE0901_working!M28,0))</f>
        <v>881</v>
      </c>
      <c r="N26" s="10">
        <f>IF([1]FIRE0901_working!N28="..","..",ROUND([1]FIRE0901_working!N28,0))</f>
        <v>1165</v>
      </c>
      <c r="O26" s="10">
        <f>IF([1]FIRE0901_working!O28="..","..",ROUND([1]FIRE0901_working!O28,0))</f>
        <v>1135</v>
      </c>
      <c r="P26" s="10">
        <f>IF([1]FIRE0901_working!P28="..","..",ROUND([1]FIRE0901_working!P28,0))</f>
        <v>1268</v>
      </c>
      <c r="Q26" s="41">
        <f>IF([1]FIRE0901_working!Q28="..","..",ROUND([1]FIRE0901_working!Q28,0))</f>
        <v>320</v>
      </c>
      <c r="R26" s="42">
        <f>IF([1]FIRE0901_working!R28="..","..",ROUND([1]FIRE0901_working!R28,0))</f>
        <v>1152</v>
      </c>
      <c r="S26" s="43">
        <f>IF([1]FIRE0901_working!S28="..","..",ROUND([1]FIRE0901_working!S28,0))</f>
        <v>1281</v>
      </c>
      <c r="T26" s="18"/>
      <c r="U26" s="18"/>
      <c r="V26" s="18"/>
      <c r="W26" s="29"/>
      <c r="X26" s="55"/>
      <c r="Y26" s="18"/>
    </row>
    <row r="27" spans="1:25" ht="15.5">
      <c r="A27" s="69" t="s">
        <v>44</v>
      </c>
      <c r="B27" s="10">
        <f>IF([1]FIRE0901_working!B29="..","..",ROUND([1]FIRE0901_working!B29,0))</f>
        <v>857</v>
      </c>
      <c r="C27" s="10">
        <f>IF([1]FIRE0901_working!C29="..","..",ROUND([1]FIRE0901_working!C29,0))</f>
        <v>691</v>
      </c>
      <c r="D27" s="10">
        <f>IF([1]FIRE0901_working!D29="..","..",ROUND([1]FIRE0901_working!D29,0))</f>
        <v>674</v>
      </c>
      <c r="E27" s="10">
        <f>IF([1]FIRE0901_working!E29="..","..",ROUND([1]FIRE0901_working!E29,0))</f>
        <v>1699</v>
      </c>
      <c r="F27" s="10">
        <f>IF([1]FIRE0901_working!F29="..","..",ROUND([1]FIRE0901_working!F29,0))</f>
        <v>1397</v>
      </c>
      <c r="G27" s="10">
        <f>IF([1]FIRE0901_working!G29="..","..",ROUND([1]FIRE0901_working!G29,0))</f>
        <v>825</v>
      </c>
      <c r="H27" s="10">
        <f>IF([1]FIRE0901_working!H29="..","..",ROUND([1]FIRE0901_working!H29,0))</f>
        <v>1293</v>
      </c>
      <c r="I27" s="10">
        <f>IF([1]FIRE0901_working!I29="..","..",ROUND([1]FIRE0901_working!I29,0))</f>
        <v>981</v>
      </c>
      <c r="J27" s="10">
        <f>IF([1]FIRE0901_working!J29="..","..",ROUND([1]FIRE0901_working!J29,0))</f>
        <v>1022</v>
      </c>
      <c r="K27" s="10">
        <f>IF([1]FIRE0901_working!K29="..","..",ROUND([1]FIRE0901_working!K29,0))</f>
        <v>1021</v>
      </c>
      <c r="L27" s="10">
        <f>IF([1]FIRE0901_working!L29="..","..",ROUND([1]FIRE0901_working!L29,0))</f>
        <v>2000</v>
      </c>
      <c r="M27" s="10">
        <f>IF([1]FIRE0901_working!M29="..","..",ROUND([1]FIRE0901_working!M29,0))</f>
        <v>1471</v>
      </c>
      <c r="N27" s="10">
        <f>IF([1]FIRE0901_working!N29="..","..",ROUND([1]FIRE0901_working!N29,0))</f>
        <v>1428</v>
      </c>
      <c r="O27" s="10">
        <f>IF([1]FIRE0901_working!O29="..","..",ROUND([1]FIRE0901_working!O29,0))</f>
        <v>1394</v>
      </c>
      <c r="P27" s="10">
        <f>IF([1]FIRE0901_working!P29="..","..",ROUND([1]FIRE0901_working!P29,0))</f>
        <v>2411</v>
      </c>
      <c r="Q27" s="41">
        <f>IF([1]FIRE0901_working!Q29="..","..",ROUND([1]FIRE0901_working!Q29,0))</f>
        <v>351</v>
      </c>
      <c r="R27" s="42">
        <f>IF([1]FIRE0901_working!R29="..","..",ROUND([1]FIRE0901_working!R29,0))</f>
        <v>1513</v>
      </c>
      <c r="S27" s="43">
        <f>IF([1]FIRE0901_working!S29="..","..",ROUND([1]FIRE0901_working!S29,0))</f>
        <v>2370</v>
      </c>
      <c r="T27" s="18"/>
      <c r="U27" s="18"/>
      <c r="V27" s="18"/>
      <c r="W27" s="29"/>
      <c r="X27" s="55"/>
      <c r="Y27" s="18"/>
    </row>
    <row r="28" spans="1:25" ht="15.5">
      <c r="A28" s="69" t="s">
        <v>45</v>
      </c>
      <c r="B28" s="10">
        <f>IF([1]FIRE0901_working!B30="..","..",ROUND([1]FIRE0901_working!B30,0))</f>
        <v>681</v>
      </c>
      <c r="C28" s="10">
        <f>IF([1]FIRE0901_working!C30="..","..",ROUND([1]FIRE0901_working!C30,0))</f>
        <v>773</v>
      </c>
      <c r="D28" s="10">
        <f>IF([1]FIRE0901_working!D30="..","..",ROUND([1]FIRE0901_working!D30,0))</f>
        <v>748</v>
      </c>
      <c r="E28" s="10">
        <f>IF([1]FIRE0901_working!E30="..","..",ROUND([1]FIRE0901_working!E30,0))</f>
        <v>635</v>
      </c>
      <c r="F28" s="10">
        <f>IF([1]FIRE0901_working!F30="..","..",ROUND([1]FIRE0901_working!F30,0))</f>
        <v>561</v>
      </c>
      <c r="G28" s="10">
        <f>IF([1]FIRE0901_working!G30="..","..",ROUND([1]FIRE0901_working!G30,0))</f>
        <v>481</v>
      </c>
      <c r="H28" s="10">
        <f>IF([1]FIRE0901_working!H30="..","..",ROUND([1]FIRE0901_working!H30,0))</f>
        <v>460</v>
      </c>
      <c r="I28" s="10">
        <f>IF([1]FIRE0901_working!I30="..","..",ROUND([1]FIRE0901_working!I30,0))</f>
        <v>543</v>
      </c>
      <c r="J28" s="10">
        <f>IF([1]FIRE0901_working!J30="..","..",ROUND([1]FIRE0901_working!J30,0))</f>
        <v>501</v>
      </c>
      <c r="K28" s="10">
        <f>IF([1]FIRE0901_working!K30="..","..",ROUND([1]FIRE0901_working!K30,0))</f>
        <v>551</v>
      </c>
      <c r="L28" s="10">
        <f>IF([1]FIRE0901_working!L30="..","..",ROUND([1]FIRE0901_working!L30,0))</f>
        <v>599</v>
      </c>
      <c r="M28" s="10">
        <f>IF([1]FIRE0901_working!M30="..","..",ROUND([1]FIRE0901_working!M30,0))</f>
        <v>670</v>
      </c>
      <c r="N28" s="10">
        <f>IF([1]FIRE0901_working!N30="..","..",ROUND([1]FIRE0901_working!N30,0))</f>
        <v>752</v>
      </c>
      <c r="O28" s="10">
        <f>IF([1]FIRE0901_working!O30="..","..",ROUND([1]FIRE0901_working!O30,0))</f>
        <v>922</v>
      </c>
      <c r="P28" s="10">
        <f>IF([1]FIRE0901_working!P30="..","..",ROUND([1]FIRE0901_working!P30,0))</f>
        <v>932</v>
      </c>
      <c r="Q28" s="41">
        <f>IF([1]FIRE0901_working!Q30="..","..",ROUND([1]FIRE0901_working!Q30,0))</f>
        <v>207</v>
      </c>
      <c r="R28" s="42">
        <f>IF([1]FIRE0901_working!R30="..","..",ROUND([1]FIRE0901_working!R30,0))</f>
        <v>977</v>
      </c>
      <c r="S28" s="43">
        <f>IF([1]FIRE0901_working!S30="..","..",ROUND([1]FIRE0901_working!S30,0))</f>
        <v>925</v>
      </c>
      <c r="T28" s="18"/>
      <c r="U28" s="18"/>
      <c r="V28" s="18"/>
      <c r="W28" s="29"/>
      <c r="X28" s="55"/>
      <c r="Y28" s="18"/>
    </row>
    <row r="29" spans="1:25" ht="15.5">
      <c r="A29" s="69" t="s">
        <v>46</v>
      </c>
      <c r="B29" s="10">
        <f>IF([1]FIRE0901_working!B31="..","..",ROUND([1]FIRE0901_working!B31,0))</f>
        <v>123</v>
      </c>
      <c r="C29" s="10">
        <f>IF([1]FIRE0901_working!C31="..","..",ROUND([1]FIRE0901_working!C31,0))</f>
        <v>120</v>
      </c>
      <c r="D29" s="10">
        <f>IF([1]FIRE0901_working!D31="..","..",ROUND([1]FIRE0901_working!D31,0))</f>
        <v>75</v>
      </c>
      <c r="E29" s="10">
        <f>IF([1]FIRE0901_working!E31="..","..",ROUND([1]FIRE0901_working!E31,0))</f>
        <v>65</v>
      </c>
      <c r="F29" s="10">
        <f>IF([1]FIRE0901_working!F31="..","..",ROUND([1]FIRE0901_working!F31,0))</f>
        <v>34</v>
      </c>
      <c r="G29" s="10">
        <f>IF([1]FIRE0901_working!G31="..","..",ROUND([1]FIRE0901_working!G31,0))</f>
        <v>39</v>
      </c>
      <c r="H29" s="10">
        <f>IF([1]FIRE0901_working!H31="..","..",ROUND([1]FIRE0901_working!H31,0))</f>
        <v>27</v>
      </c>
      <c r="I29" s="10">
        <f>IF([1]FIRE0901_working!I31="..","..",ROUND([1]FIRE0901_working!I31,0))</f>
        <v>40</v>
      </c>
      <c r="J29" s="10">
        <f>IF([1]FIRE0901_working!J31="..","..",ROUND([1]FIRE0901_working!J31,0))</f>
        <v>42</v>
      </c>
      <c r="K29" s="10">
        <f>IF([1]FIRE0901_working!K31="..","..",ROUND([1]FIRE0901_working!K31,0))</f>
        <v>40</v>
      </c>
      <c r="L29" s="10">
        <f>IF([1]FIRE0901_working!L31="..","..",ROUND([1]FIRE0901_working!L31,0))</f>
        <v>30</v>
      </c>
      <c r="M29" s="10">
        <f>IF([1]FIRE0901_working!M31="..","..",ROUND([1]FIRE0901_working!M31,0))</f>
        <v>28</v>
      </c>
      <c r="N29" s="10">
        <f>IF([1]FIRE0901_working!N31="..","..",ROUND([1]FIRE0901_working!N31,0))</f>
        <v>43</v>
      </c>
      <c r="O29" s="10">
        <f>IF([1]FIRE0901_working!O31="..","..",ROUND([1]FIRE0901_working!O31,0))</f>
        <v>51</v>
      </c>
      <c r="P29" s="10">
        <f>IF([1]FIRE0901_working!P31="..","..",ROUND([1]FIRE0901_working!P31,0))</f>
        <v>26</v>
      </c>
      <c r="Q29" s="41">
        <f>IF([1]FIRE0901_working!Q31="..","..",ROUND([1]FIRE0901_working!Q31,0))</f>
        <v>2</v>
      </c>
      <c r="R29" s="42">
        <f>IF([1]FIRE0901_working!R31="..","..",ROUND([1]FIRE0901_working!R31,0))</f>
        <v>58</v>
      </c>
      <c r="S29" s="43">
        <f>IF([1]FIRE0901_working!S31="..","..",ROUND([1]FIRE0901_working!S31,0))</f>
        <v>15</v>
      </c>
      <c r="T29" s="18"/>
      <c r="U29" s="18"/>
      <c r="V29" s="18"/>
      <c r="W29" s="29"/>
      <c r="X29" s="55"/>
      <c r="Y29" s="18"/>
    </row>
    <row r="30" spans="1:25" ht="15.5">
      <c r="A30" s="70" t="s">
        <v>47</v>
      </c>
      <c r="B30" s="10">
        <f>IF([1]FIRE0901_working!B32="..","..",ROUND([1]FIRE0901_working!B32,0))</f>
        <v>1886</v>
      </c>
      <c r="C30" s="10">
        <f>IF([1]FIRE0901_working!C32="..","..",ROUND([1]FIRE0901_working!C32,0))</f>
        <v>1864</v>
      </c>
      <c r="D30" s="10">
        <f>IF([1]FIRE0901_working!D32="..","..",ROUND([1]FIRE0901_working!D32,0))</f>
        <v>1993</v>
      </c>
      <c r="E30" s="10">
        <f>IF([1]FIRE0901_working!E32="..","..",ROUND([1]FIRE0901_working!E32,0))</f>
        <v>1886</v>
      </c>
      <c r="F30" s="10">
        <f>IF([1]FIRE0901_working!F32="..","..",ROUND([1]FIRE0901_working!F32,0))</f>
        <v>2425</v>
      </c>
      <c r="G30" s="10">
        <f>IF([1]FIRE0901_working!G32="..","..",ROUND([1]FIRE0901_working!G32,0))</f>
        <v>1703</v>
      </c>
      <c r="H30" s="10">
        <f>IF([1]FIRE0901_working!H32="..","..",ROUND([1]FIRE0901_working!H32,0))</f>
        <v>1943</v>
      </c>
      <c r="I30" s="10">
        <f>IF([1]FIRE0901_working!I32="..","..",ROUND([1]FIRE0901_working!I32,0))</f>
        <v>2017</v>
      </c>
      <c r="J30" s="10">
        <f>IF([1]FIRE0901_working!J32="..","..",ROUND([1]FIRE0901_working!J32,0))</f>
        <v>2124</v>
      </c>
      <c r="K30" s="10">
        <f>IF([1]FIRE0901_working!K32="..","..",ROUND([1]FIRE0901_working!K32,0))</f>
        <v>2286</v>
      </c>
      <c r="L30" s="10">
        <f>IF([1]FIRE0901_working!L32="..","..",ROUND([1]FIRE0901_working!L32,0))</f>
        <v>2513</v>
      </c>
      <c r="M30" s="10">
        <f>IF([1]FIRE0901_working!M32="..","..",ROUND([1]FIRE0901_working!M32,0))</f>
        <v>2230</v>
      </c>
      <c r="N30" s="10">
        <f>IF([1]FIRE0901_working!N32="..","..",ROUND([1]FIRE0901_working!N32,0))</f>
        <v>3038</v>
      </c>
      <c r="O30" s="10">
        <f>IF([1]FIRE0901_working!O32="..","..",ROUND([1]FIRE0901_working!O32,0))</f>
        <v>2948</v>
      </c>
      <c r="P30" s="10">
        <f>IF([1]FIRE0901_working!P32="..","..",ROUND([1]FIRE0901_working!P32,0))</f>
        <v>3470</v>
      </c>
      <c r="Q30" s="41">
        <f>IF([1]FIRE0901_working!Q32="..","..",ROUND([1]FIRE0901_working!Q32,0))</f>
        <v>775</v>
      </c>
      <c r="R30" s="42">
        <f>IF([1]FIRE0901_working!R32="..","..",ROUND([1]FIRE0901_working!R32,0))</f>
        <v>3126</v>
      </c>
      <c r="S30" s="43">
        <f>IF([1]FIRE0901_working!S32="..","..",ROUND([1]FIRE0901_working!S32,0))</f>
        <v>3514</v>
      </c>
      <c r="T30" s="47"/>
      <c r="U30" s="47"/>
      <c r="V30" s="18"/>
      <c r="W30" s="54"/>
      <c r="X30" s="54"/>
      <c r="Y30" s="54"/>
    </row>
    <row r="31" spans="1:25" ht="15.5">
      <c r="A31" s="70" t="s">
        <v>48</v>
      </c>
      <c r="B31" s="10">
        <f>IF([1]FIRE0901_working!B33="..","..",ROUND([1]FIRE0901_working!B33,0))</f>
        <v>697</v>
      </c>
      <c r="C31" s="10">
        <f>IF([1]FIRE0901_working!C33="..","..",ROUND([1]FIRE0901_working!C33,0))</f>
        <v>697</v>
      </c>
      <c r="D31" s="10">
        <f>IF([1]FIRE0901_working!D33="..","..",ROUND([1]FIRE0901_working!D33,0))</f>
        <v>686</v>
      </c>
      <c r="E31" s="10">
        <f>IF([1]FIRE0901_working!E33="..","..",ROUND([1]FIRE0901_working!E33,0))</f>
        <v>616</v>
      </c>
      <c r="F31" s="10">
        <f>IF([1]FIRE0901_working!F33="..","..",ROUND([1]FIRE0901_working!F33,0))</f>
        <v>621</v>
      </c>
      <c r="G31" s="10">
        <f>IF([1]FIRE0901_working!G33="..","..",ROUND([1]FIRE0901_working!G33,0))</f>
        <v>432</v>
      </c>
      <c r="H31" s="10">
        <f>IF([1]FIRE0901_working!H33="..","..",ROUND([1]FIRE0901_working!H33,0))</f>
        <v>361</v>
      </c>
      <c r="I31" s="10">
        <f>IF([1]FIRE0901_working!I33="..","..",ROUND([1]FIRE0901_working!I33,0))</f>
        <v>326</v>
      </c>
      <c r="J31" s="10">
        <f>IF([1]FIRE0901_working!J33="..","..",ROUND([1]FIRE0901_working!J33,0))</f>
        <v>349</v>
      </c>
      <c r="K31" s="10">
        <f>IF([1]FIRE0901_working!K33="..","..",ROUND([1]FIRE0901_working!K33,0))</f>
        <v>307</v>
      </c>
      <c r="L31" s="10">
        <f>IF([1]FIRE0901_working!L33="..","..",ROUND([1]FIRE0901_working!L33,0))</f>
        <v>350</v>
      </c>
      <c r="M31" s="10">
        <f>IF([1]FIRE0901_working!M33="..","..",ROUND([1]FIRE0901_working!M33,0))</f>
        <v>243</v>
      </c>
      <c r="N31" s="10">
        <f>IF([1]FIRE0901_working!N33="..","..",ROUND([1]FIRE0901_working!N33,0))</f>
        <v>301</v>
      </c>
      <c r="O31" s="10">
        <f>IF([1]FIRE0901_working!O33="..","..",ROUND([1]FIRE0901_working!O33,0))</f>
        <v>347</v>
      </c>
      <c r="P31" s="10">
        <f>IF([1]FIRE0901_working!P33="..","..",ROUND([1]FIRE0901_working!P33,0))</f>
        <v>332</v>
      </c>
      <c r="Q31" s="41">
        <f>IF([1]FIRE0901_working!Q33="..","..",ROUND([1]FIRE0901_working!Q33,0))</f>
        <v>78</v>
      </c>
      <c r="R31" s="42">
        <f>IF([1]FIRE0901_working!R33="..","..",ROUND([1]FIRE0901_working!R33,0))</f>
        <v>347</v>
      </c>
      <c r="S31" s="43">
        <f>IF([1]FIRE0901_working!S33="..","..",ROUND([1]FIRE0901_working!S33,0))</f>
        <v>329</v>
      </c>
      <c r="T31" s="18"/>
      <c r="U31" s="18"/>
      <c r="V31" s="54"/>
      <c r="W31" s="54"/>
      <c r="X31" s="55"/>
      <c r="Y31" s="54"/>
    </row>
    <row r="32" spans="1:25" ht="15.5">
      <c r="A32" s="71" t="s">
        <v>49</v>
      </c>
      <c r="B32" s="15">
        <f>IF([1]FIRE0901_working!B34="..","..",ROUND([1]FIRE0901_working!B34,0))</f>
        <v>7736</v>
      </c>
      <c r="C32" s="15">
        <f>IF([1]FIRE0901_working!C34="..","..",ROUND([1]FIRE0901_working!C34,0))</f>
        <v>7809</v>
      </c>
      <c r="D32" s="15">
        <f>IF([1]FIRE0901_working!D34="..","..",ROUND([1]FIRE0901_working!D34,0))</f>
        <v>7117</v>
      </c>
      <c r="E32" s="15">
        <f>IF([1]FIRE0901_working!E34="..","..",ROUND([1]FIRE0901_working!E34,0))</f>
        <v>6119</v>
      </c>
      <c r="F32" s="15">
        <f>IF([1]FIRE0901_working!F34="..","..",ROUND([1]FIRE0901_working!F34,0))</f>
        <v>5963</v>
      </c>
      <c r="G32" s="15">
        <f>IF([1]FIRE0901_working!G34="..","..",ROUND([1]FIRE0901_working!G34,0))</f>
        <v>5403</v>
      </c>
      <c r="H32" s="15">
        <f>IF([1]FIRE0901_working!H34="..","..",ROUND([1]FIRE0901_working!H34,0))</f>
        <v>6341</v>
      </c>
      <c r="I32" s="15">
        <f>IF([1]FIRE0901_working!I34="..","..",ROUND([1]FIRE0901_working!I34,0))</f>
        <v>7578</v>
      </c>
      <c r="J32" s="15">
        <f>IF([1]FIRE0901_working!J34="..","..",ROUND([1]FIRE0901_working!J34,0))</f>
        <v>8284</v>
      </c>
      <c r="K32" s="15">
        <f>IF([1]FIRE0901_working!K34="..","..",ROUND([1]FIRE0901_working!K34,0))</f>
        <v>8157</v>
      </c>
      <c r="L32" s="15">
        <f>IF([1]FIRE0901_working!L34="..","..",ROUND([1]FIRE0901_working!L34,0))</f>
        <v>9172</v>
      </c>
      <c r="M32" s="15">
        <f>IF([1]FIRE0901_working!M34="..","..",ROUND([1]FIRE0901_working!M34,0))</f>
        <v>9056</v>
      </c>
      <c r="N32" s="15">
        <f>IF([1]FIRE0901_working!N34="..","..",ROUND([1]FIRE0901_working!N34,0))</f>
        <v>12737</v>
      </c>
      <c r="O32" s="15">
        <f>IF([1]FIRE0901_working!O34="..","..",ROUND([1]FIRE0901_working!O34,0))</f>
        <v>12834</v>
      </c>
      <c r="P32" s="15">
        <f>IF([1]FIRE0901_working!P34="..","..",ROUND([1]FIRE0901_working!P34,0))</f>
        <v>14311</v>
      </c>
      <c r="Q32" s="48">
        <f>IF([1]FIRE0901_working!Q34="..","..",ROUND([1]FIRE0901_working!Q34,0))</f>
        <v>3698</v>
      </c>
      <c r="R32" s="49">
        <f>IF([1]FIRE0901_working!R34="..","..",ROUND([1]FIRE0901_working!R34,0))</f>
        <v>12931</v>
      </c>
      <c r="S32" s="50">
        <f>IF([1]FIRE0901_working!S34="..","..",ROUND([1]FIRE0901_working!S34,0))</f>
        <v>14739</v>
      </c>
      <c r="T32" s="18"/>
      <c r="U32" s="18"/>
      <c r="V32" s="18"/>
      <c r="W32" s="54"/>
      <c r="X32" s="54"/>
      <c r="Y32" s="54"/>
    </row>
    <row r="33" spans="1:25" ht="77.5">
      <c r="A33" s="72" t="s">
        <v>50</v>
      </c>
      <c r="B33" s="10">
        <f>IF([1]FIRE0901_working!B35="..","..",ROUND([1]FIRE0901_working!B35,0))</f>
        <v>710</v>
      </c>
      <c r="C33" s="10">
        <f>IF([1]FIRE0901_working!C35="..","..",ROUND([1]FIRE0901_working!C35,0))</f>
        <v>704</v>
      </c>
      <c r="D33" s="10">
        <f>IF([1]FIRE0901_working!D35="..","..",ROUND([1]FIRE0901_working!D35,0))</f>
        <v>531</v>
      </c>
      <c r="E33" s="10">
        <f>IF([1]FIRE0901_working!E35="..","..",ROUND([1]FIRE0901_working!E35,0))</f>
        <v>225</v>
      </c>
      <c r="F33" s="10">
        <f>IF([1]FIRE0901_working!F35="..","..",ROUND([1]FIRE0901_working!F35,0))</f>
        <v>169</v>
      </c>
      <c r="G33" s="10">
        <f>IF([1]FIRE0901_working!G35="..","..",ROUND([1]FIRE0901_working!G35,0))</f>
        <v>161</v>
      </c>
      <c r="H33" s="10">
        <f>IF([1]FIRE0901_working!H35="..","..",ROUND([1]FIRE0901_working!H35,0))</f>
        <v>191</v>
      </c>
      <c r="I33" s="10">
        <f>IF([1]FIRE0901_working!I35="..","..",ROUND([1]FIRE0901_working!I35,0))</f>
        <v>179</v>
      </c>
      <c r="J33" s="10">
        <f>IF([1]FIRE0901_working!J35="..","..",ROUND([1]FIRE0901_working!J35,0))</f>
        <v>187</v>
      </c>
      <c r="K33" s="10">
        <f>IF([1]FIRE0901_working!K35="..","..",ROUND([1]FIRE0901_working!K35,0))</f>
        <v>213</v>
      </c>
      <c r="L33" s="10">
        <f>IF([1]FIRE0901_working!L35="..","..",ROUND([1]FIRE0901_working!L35,0))</f>
        <v>229</v>
      </c>
      <c r="M33" s="10">
        <f>IF([1]FIRE0901_working!M35="..","..",ROUND([1]FIRE0901_working!M35,0))</f>
        <v>189</v>
      </c>
      <c r="N33" s="10">
        <f>IF([1]FIRE0901_working!N35="..","..",ROUND([1]FIRE0901_working!N35,0))</f>
        <v>235</v>
      </c>
      <c r="O33" s="10">
        <f>IF([1]FIRE0901_working!O35="..","..",ROUND([1]FIRE0901_working!O35,0))</f>
        <v>280</v>
      </c>
      <c r="P33" s="10">
        <f>IF([1]FIRE0901_working!P35="..","..",ROUND([1]FIRE0901_working!P35,0))</f>
        <v>325</v>
      </c>
      <c r="Q33" s="41">
        <f>IF([1]FIRE0901_working!Q35="..","..",ROUND([1]FIRE0901_working!Q35,0))</f>
        <v>79</v>
      </c>
      <c r="R33" s="42">
        <f>IF([1]FIRE0901_working!R35="..","..",ROUND([1]FIRE0901_working!R35,0))</f>
        <v>285</v>
      </c>
      <c r="S33" s="43">
        <f>IF([1]FIRE0901_working!S35="..","..",ROUND([1]FIRE0901_working!S35,0))</f>
        <v>328</v>
      </c>
      <c r="T33" s="17"/>
      <c r="U33" s="17"/>
      <c r="V33" s="17"/>
      <c r="W33" s="54"/>
      <c r="X33" s="54"/>
      <c r="Y33" s="54"/>
    </row>
    <row r="34" spans="1:25" ht="77.5">
      <c r="A34" s="73" t="s">
        <v>51</v>
      </c>
      <c r="B34" s="16">
        <f>IF([1]FIRE0901_working!B36="..","..",ROUND([1]FIRE0901_working!B36,0))</f>
        <v>12498</v>
      </c>
      <c r="C34" s="16">
        <f>IF([1]FIRE0901_working!C36="..","..",ROUND([1]FIRE0901_working!C36,0))</f>
        <v>11397</v>
      </c>
      <c r="D34" s="16">
        <f>IF([1]FIRE0901_working!D36="..","..",ROUND([1]FIRE0901_working!D36,0))</f>
        <v>9416</v>
      </c>
      <c r="E34" s="16">
        <f>IF([1]FIRE0901_working!E36="..","..",ROUND([1]FIRE0901_working!E36,0))</f>
        <v>6115</v>
      </c>
      <c r="F34" s="16">
        <f>IF([1]FIRE0901_working!F36="..","..",ROUND([1]FIRE0901_working!F36,0))</f>
        <v>5484</v>
      </c>
      <c r="G34" s="16">
        <f>IF([1]FIRE0901_working!G36="..","..",ROUND([1]FIRE0901_working!G36,0))</f>
        <v>5085</v>
      </c>
      <c r="H34" s="16">
        <f>IF([1]FIRE0901_working!H36="..","..",ROUND([1]FIRE0901_working!H36,0))</f>
        <v>5897</v>
      </c>
      <c r="I34" s="16">
        <f>IF([1]FIRE0901_working!I36="..","..",ROUND([1]FIRE0901_working!I36,0))</f>
        <v>5870</v>
      </c>
      <c r="J34" s="16">
        <f>IF([1]FIRE0901_working!J36="..","..",ROUND([1]FIRE0901_working!J36,0))</f>
        <v>6587</v>
      </c>
      <c r="K34" s="16">
        <f>IF([1]FIRE0901_working!K36="..","..",ROUND([1]FIRE0901_working!K36,0))</f>
        <v>7059</v>
      </c>
      <c r="L34" s="16">
        <f>IF([1]FIRE0901_working!L36="..","..",ROUND([1]FIRE0901_working!L36,0))</f>
        <v>7238</v>
      </c>
      <c r="M34" s="16">
        <f>IF([1]FIRE0901_working!M36="..","..",ROUND([1]FIRE0901_working!M36,0))</f>
        <v>6488</v>
      </c>
      <c r="N34" s="16">
        <f>IF([1]FIRE0901_working!N36="..","..",ROUND([1]FIRE0901_working!N36,0))</f>
        <v>7885</v>
      </c>
      <c r="O34" s="16">
        <f>IF([1]FIRE0901_working!O36="..","..",ROUND([1]FIRE0901_working!O36,0))</f>
        <v>8824</v>
      </c>
      <c r="P34" s="16">
        <f>IF([1]FIRE0901_working!P36="..","..",ROUND([1]FIRE0901_working!P36,0))</f>
        <v>9460</v>
      </c>
      <c r="Q34" s="16">
        <f>IF([1]FIRE0901_working!Q36="..","..",ROUND([1]FIRE0901_working!Q36,0))</f>
        <v>2294</v>
      </c>
      <c r="R34" s="51">
        <f>IF([1]FIRE0901_working!R36="..","..",ROUND([1]FIRE0901_working!R36,0))</f>
        <v>9140</v>
      </c>
      <c r="S34" s="52">
        <f>IF([1]FIRE0901_working!S36="..","..",ROUND([1]FIRE0901_working!S36,0))</f>
        <v>9512</v>
      </c>
      <c r="T34" s="17"/>
      <c r="U34" s="17"/>
      <c r="V34" s="17"/>
      <c r="W34" s="54"/>
      <c r="X34" s="54"/>
      <c r="Y34" s="54"/>
    </row>
    <row r="35" spans="1:25" ht="15.5">
      <c r="A35" s="59" t="s">
        <v>52</v>
      </c>
      <c r="B35" s="17"/>
      <c r="C35" s="17"/>
      <c r="D35" s="17"/>
      <c r="E35" s="17"/>
      <c r="F35" s="17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17"/>
      <c r="U35" s="17"/>
      <c r="V35" s="17"/>
      <c r="W35" s="54"/>
      <c r="X35" s="54"/>
      <c r="Y35" s="54"/>
    </row>
    <row r="36" spans="1:25" ht="15.5">
      <c r="A36" s="74" t="s">
        <v>53</v>
      </c>
      <c r="B36" s="19"/>
      <c r="C36" s="19"/>
      <c r="D36" s="19"/>
      <c r="E36" s="19"/>
      <c r="F36" s="1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17"/>
      <c r="U36" s="17"/>
      <c r="V36" s="17"/>
      <c r="W36" s="54"/>
      <c r="X36" s="54"/>
      <c r="Y36" s="54"/>
    </row>
    <row r="37" spans="1:25" ht="15.5">
      <c r="A37" s="75" t="s">
        <v>54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54"/>
      <c r="X37" s="54"/>
      <c r="Y37" s="54"/>
    </row>
    <row r="38" spans="1:25" ht="15.5">
      <c r="A38" s="74" t="s">
        <v>55</v>
      </c>
      <c r="B38" s="20"/>
      <c r="C38" s="20"/>
      <c r="D38" s="20"/>
      <c r="E38" s="20"/>
      <c r="F38" s="20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54"/>
      <c r="X38" s="54"/>
      <c r="Y38" s="54"/>
    </row>
    <row r="39" spans="1:25" ht="15.5">
      <c r="A39" s="74" t="s">
        <v>56</v>
      </c>
      <c r="B39" s="18"/>
      <c r="C39" s="18"/>
      <c r="D39" s="18"/>
      <c r="E39" s="18"/>
      <c r="F39" s="18"/>
      <c r="G39" s="18"/>
      <c r="H39" s="18"/>
      <c r="I39" s="29"/>
      <c r="J39" s="29"/>
      <c r="K39" s="29"/>
      <c r="L39" s="29"/>
      <c r="M39" s="29"/>
      <c r="N39" s="29"/>
      <c r="O39" s="29"/>
      <c r="P39" s="29"/>
      <c r="Q39" s="29"/>
      <c r="R39" s="18"/>
      <c r="S39" s="18"/>
      <c r="T39" s="18"/>
      <c r="U39" s="18"/>
      <c r="V39" s="18"/>
      <c r="W39" s="54"/>
      <c r="X39" s="54"/>
      <c r="Y39" s="54"/>
    </row>
    <row r="40" spans="1:25" ht="15.5">
      <c r="A40" s="59" t="s">
        <v>57</v>
      </c>
      <c r="B40" s="21"/>
      <c r="C40" s="21"/>
      <c r="D40" s="21"/>
      <c r="E40" s="21"/>
      <c r="F40" s="21"/>
      <c r="G40" s="18"/>
      <c r="H40" s="18"/>
      <c r="I40" s="29"/>
      <c r="J40" s="29"/>
      <c r="K40" s="29"/>
      <c r="L40" s="29"/>
      <c r="M40" s="29"/>
      <c r="N40" s="29"/>
      <c r="O40" s="29"/>
      <c r="P40" s="29"/>
      <c r="Q40" s="29"/>
      <c r="R40" s="18"/>
      <c r="S40" s="18"/>
      <c r="T40" s="18"/>
      <c r="U40" s="18"/>
      <c r="V40" s="18"/>
      <c r="W40" s="54"/>
      <c r="X40" s="54"/>
      <c r="Y40" s="54"/>
    </row>
    <row r="41" spans="1:25" ht="15.5">
      <c r="A41" s="74" t="s">
        <v>58</v>
      </c>
      <c r="B41" s="21"/>
      <c r="C41" s="21"/>
      <c r="D41" s="21"/>
      <c r="E41" s="21"/>
      <c r="F41" s="2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18"/>
      <c r="U41" s="18"/>
      <c r="V41" s="18"/>
      <c r="W41" s="54"/>
      <c r="X41" s="54"/>
      <c r="Y41" s="54"/>
    </row>
    <row r="42" spans="1:25" ht="15.5">
      <c r="A42" s="59" t="s">
        <v>59</v>
      </c>
      <c r="B42" s="2"/>
      <c r="C42" s="2"/>
      <c r="D42" s="2"/>
      <c r="E42" s="2"/>
      <c r="F42" s="2"/>
      <c r="G42" s="18"/>
      <c r="H42" s="18"/>
      <c r="I42" s="29"/>
      <c r="J42" s="29"/>
      <c r="K42" s="29"/>
      <c r="L42" s="29"/>
      <c r="M42" s="29"/>
      <c r="N42" s="29"/>
      <c r="O42" s="29"/>
      <c r="P42" s="29"/>
      <c r="Q42" s="29"/>
      <c r="R42" s="18"/>
      <c r="S42" s="18"/>
      <c r="T42" s="18"/>
      <c r="U42" s="18"/>
      <c r="V42" s="18"/>
      <c r="W42" s="54"/>
      <c r="X42" s="54"/>
      <c r="Y42" s="54"/>
    </row>
    <row r="43" spans="1:25" ht="15.5">
      <c r="A43" s="74" t="s">
        <v>60</v>
      </c>
      <c r="B43" s="18"/>
      <c r="C43" s="18"/>
      <c r="D43" s="18"/>
      <c r="E43" s="18"/>
      <c r="F43" s="18"/>
      <c r="G43" s="18"/>
      <c r="H43" s="18"/>
      <c r="I43" s="29"/>
      <c r="J43" s="29"/>
      <c r="K43" s="29"/>
      <c r="L43" s="29"/>
      <c r="M43" s="29"/>
      <c r="N43" s="29"/>
      <c r="O43" s="29"/>
      <c r="P43" s="29"/>
      <c r="Q43" s="29"/>
      <c r="R43" s="18"/>
      <c r="S43" s="18"/>
      <c r="T43" s="18"/>
      <c r="U43" s="18"/>
      <c r="V43" s="18"/>
      <c r="W43" s="54"/>
      <c r="X43" s="54"/>
      <c r="Y43" s="54"/>
    </row>
    <row r="44" spans="1:25" ht="15.5">
      <c r="A44" s="74" t="str">
        <f>_xlfn.CONCAT("This was not completed in time for publication on ",[1]config!B3," but will be included in the quarterly release once available.")</f>
        <v>This was not completed in time for publication on 27 August 2024 but will be included in the quarterly release once available.</v>
      </c>
      <c r="B44" s="18"/>
      <c r="C44" s="18"/>
      <c r="D44" s="18"/>
      <c r="E44" s="18"/>
      <c r="F44" s="18"/>
      <c r="G44" s="18"/>
      <c r="H44" s="18"/>
      <c r="I44" s="30"/>
      <c r="J44" s="18"/>
      <c r="K44" s="18"/>
      <c r="L44" s="18"/>
      <c r="M44" s="18"/>
      <c r="N44" s="18"/>
      <c r="O44" s="18"/>
      <c r="P44" s="18"/>
      <c r="Q44" s="18"/>
      <c r="R44" s="30"/>
      <c r="S44" s="30"/>
      <c r="T44" s="30"/>
      <c r="U44" s="30"/>
      <c r="V44" s="30"/>
      <c r="W44" s="30"/>
      <c r="X44" s="30"/>
      <c r="Y44" s="30"/>
    </row>
    <row r="45" spans="1:25" ht="15.5">
      <c r="A45" s="59" t="s">
        <v>61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3"/>
      <c r="N45" s="13"/>
      <c r="O45" s="13"/>
      <c r="P45" s="13"/>
      <c r="Q45" s="13"/>
      <c r="R45" s="13"/>
      <c r="S45" s="13"/>
      <c r="T45" s="18"/>
      <c r="U45" s="18"/>
      <c r="V45" s="18"/>
      <c r="W45" s="54"/>
      <c r="X45" s="54"/>
      <c r="Y45" s="54"/>
    </row>
    <row r="46" spans="1:25" ht="15.5">
      <c r="A46" s="76" t="s">
        <v>62</v>
      </c>
      <c r="B46" s="22"/>
      <c r="C46" s="22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54"/>
      <c r="X46" s="54"/>
      <c r="Y46" s="54"/>
    </row>
    <row r="47" spans="1:25" ht="15.5">
      <c r="A47" s="76" t="s">
        <v>63</v>
      </c>
      <c r="B47" s="18"/>
      <c r="C47" s="18"/>
      <c r="D47" s="22"/>
      <c r="E47" s="22"/>
      <c r="F47" s="22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54"/>
      <c r="X47" s="54"/>
      <c r="Y47" s="54"/>
    </row>
    <row r="48" spans="1:25" ht="15.5">
      <c r="A48" s="76" t="s">
        <v>64</v>
      </c>
      <c r="B48" s="18"/>
      <c r="C48" s="18"/>
      <c r="D48" s="18"/>
      <c r="E48" s="18"/>
      <c r="F48" s="22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54"/>
      <c r="X48" s="54"/>
      <c r="Y48" s="54"/>
    </row>
    <row r="49" spans="1:25" ht="15.5">
      <c r="A49" s="74" t="s">
        <v>65</v>
      </c>
      <c r="B49" s="18"/>
      <c r="C49" s="18"/>
      <c r="D49" s="18"/>
      <c r="E49" s="18"/>
      <c r="F49" s="22"/>
      <c r="G49" s="20"/>
      <c r="H49" s="20"/>
      <c r="I49" s="18"/>
      <c r="J49" s="20"/>
      <c r="K49" s="18"/>
      <c r="L49" s="25"/>
      <c r="M49" s="25"/>
      <c r="N49" s="25"/>
      <c r="O49" s="25"/>
      <c r="P49" s="25"/>
      <c r="Q49" s="25"/>
      <c r="R49" s="23"/>
      <c r="S49" s="25"/>
      <c r="T49" s="18"/>
      <c r="U49" s="18"/>
      <c r="V49" s="18"/>
      <c r="W49" s="54"/>
      <c r="X49" s="54"/>
      <c r="Y49" s="54"/>
    </row>
    <row r="50" spans="1:25" ht="15.5">
      <c r="A50" s="77" t="str">
        <f>_xlfn.CONCAT("The data in this table are consistent with records that reached the IRS by ",[1]config!B3,".")</f>
        <v>The data in this table are consistent with records that reached the IRS by 27 August 2024.</v>
      </c>
      <c r="B50" s="13"/>
      <c r="C50" s="13"/>
      <c r="D50" s="13"/>
      <c r="E50" s="13"/>
      <c r="F50" s="22"/>
      <c r="G50" s="18"/>
      <c r="H50" s="18"/>
      <c r="I50" s="18"/>
      <c r="J50" s="18"/>
      <c r="K50" s="18"/>
      <c r="L50" s="25"/>
      <c r="M50" s="25"/>
      <c r="N50" s="25"/>
      <c r="O50" s="25"/>
      <c r="P50" s="25"/>
      <c r="Q50" s="25"/>
      <c r="R50" s="23"/>
      <c r="S50" s="25"/>
      <c r="T50" s="18"/>
      <c r="U50" s="18"/>
      <c r="V50" s="18"/>
      <c r="W50" s="54"/>
      <c r="X50" s="54"/>
      <c r="Y50" s="54"/>
    </row>
    <row r="51" spans="1:25" ht="15.5">
      <c r="A51" s="74" t="s">
        <v>66</v>
      </c>
      <c r="B51" s="14"/>
      <c r="C51" s="14"/>
      <c r="D51" s="14"/>
      <c r="E51" s="14"/>
      <c r="F51" s="14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54"/>
      <c r="X51" s="54"/>
      <c r="Y51" s="54"/>
    </row>
    <row r="52" spans="1:25" ht="15.5">
      <c r="A52" s="78" t="s">
        <v>67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54"/>
      <c r="X52" s="54"/>
      <c r="Y52" s="54"/>
    </row>
    <row r="53" spans="1:25" ht="15.5">
      <c r="A53" s="78" t="s">
        <v>68</v>
      </c>
      <c r="B53" s="20"/>
      <c r="C53" s="20"/>
      <c r="D53" s="23"/>
      <c r="E53" s="23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54"/>
      <c r="X53" s="54"/>
      <c r="Y53" s="54"/>
    </row>
    <row r="54" spans="1:25" ht="15.5">
      <c r="A54" s="74" t="s">
        <v>69</v>
      </c>
      <c r="B54" s="24"/>
      <c r="C54" s="23"/>
      <c r="D54" s="23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54"/>
      <c r="X54" s="54"/>
      <c r="Y54" s="54"/>
    </row>
    <row r="55" spans="1:25" ht="15.5">
      <c r="A55" s="78" t="s">
        <v>70</v>
      </c>
      <c r="B55" s="18"/>
      <c r="C55" s="18"/>
      <c r="D55" s="25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54"/>
      <c r="X55" s="54"/>
      <c r="Y55" s="54"/>
    </row>
    <row r="56" spans="1:25" ht="15.5">
      <c r="A56" s="26" t="s">
        <v>71</v>
      </c>
      <c r="B56" s="20"/>
      <c r="C56" s="23"/>
      <c r="D56" s="25"/>
      <c r="E56" s="23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54"/>
      <c r="X56" s="54"/>
      <c r="Y56" s="54"/>
    </row>
    <row r="57" spans="1: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79" t="s">
        <v>2</v>
      </c>
      <c r="V57" s="27"/>
      <c r="W57" s="57"/>
      <c r="X57" s="57"/>
      <c r="Y57" s="57"/>
    </row>
    <row r="58" spans="1: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79" t="s">
        <v>72</v>
      </c>
      <c r="V58" s="27"/>
      <c r="W58" s="57"/>
      <c r="X58" s="57"/>
      <c r="Y58" s="57"/>
    </row>
    <row r="59" spans="1: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79" t="s">
        <v>73</v>
      </c>
      <c r="V59" s="27"/>
      <c r="W59" s="57"/>
      <c r="X59" s="57"/>
      <c r="Y59" s="57"/>
    </row>
    <row r="60" spans="1: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79" t="s">
        <v>74</v>
      </c>
      <c r="V60" s="27"/>
      <c r="W60" s="27"/>
      <c r="X60" s="27"/>
      <c r="Y60" s="27"/>
    </row>
    <row r="61" spans="1: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79" t="s">
        <v>75</v>
      </c>
      <c r="V61" s="27"/>
      <c r="W61" s="27"/>
      <c r="X61" s="27"/>
      <c r="Y61" s="27"/>
    </row>
    <row r="62" spans="1: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79" t="s">
        <v>76</v>
      </c>
      <c r="V62" s="27"/>
      <c r="W62" s="27"/>
      <c r="X62" s="27"/>
      <c r="Y62" s="27"/>
    </row>
    <row r="63" spans="1: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79" t="s">
        <v>77</v>
      </c>
      <c r="V63" s="27"/>
      <c r="W63" s="27"/>
      <c r="X63" s="27"/>
      <c r="Y63" s="27"/>
    </row>
    <row r="64" spans="1: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79" t="s">
        <v>78</v>
      </c>
      <c r="V64" s="27"/>
      <c r="W64" s="27"/>
      <c r="X64" s="27"/>
      <c r="Y64" s="27"/>
    </row>
    <row r="65" spans="1: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79" t="s">
        <v>79</v>
      </c>
      <c r="V65" s="27"/>
      <c r="W65" s="27"/>
      <c r="X65" s="27"/>
      <c r="Y65" s="27"/>
    </row>
    <row r="66" spans="1: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79" t="s">
        <v>80</v>
      </c>
      <c r="V66" s="27"/>
      <c r="W66" s="27"/>
      <c r="X66" s="27"/>
      <c r="Y66" s="27"/>
    </row>
    <row r="67" spans="1: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79" t="s">
        <v>81</v>
      </c>
      <c r="V67" s="27"/>
      <c r="W67" s="27"/>
      <c r="X67" s="27"/>
      <c r="Y67" s="27"/>
    </row>
    <row r="68" spans="1: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79" t="s">
        <v>82</v>
      </c>
      <c r="V68" s="27"/>
      <c r="W68" s="27"/>
      <c r="X68" s="27"/>
      <c r="Y68" s="27"/>
    </row>
    <row r="69" spans="1: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79" t="s">
        <v>83</v>
      </c>
      <c r="V69" s="27"/>
      <c r="W69" s="27"/>
      <c r="X69" s="27"/>
      <c r="Y69" s="27"/>
    </row>
    <row r="70" spans="1: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79" t="s">
        <v>84</v>
      </c>
      <c r="V70" s="27"/>
      <c r="W70" s="27"/>
      <c r="X70" s="27"/>
      <c r="Y70" s="27"/>
    </row>
    <row r="71" spans="1: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79" t="s">
        <v>85</v>
      </c>
      <c r="V71" s="27"/>
      <c r="W71" s="27"/>
      <c r="X71" s="27"/>
      <c r="Y71" s="27"/>
    </row>
    <row r="72" spans="1: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79" t="s">
        <v>86</v>
      </c>
      <c r="V72" s="27"/>
      <c r="W72" s="27"/>
      <c r="X72" s="27"/>
      <c r="Y72" s="27"/>
    </row>
  </sheetData>
  <dataValidations count="1">
    <dataValidation type="list" allowBlank="1" showInputMessage="1" showErrorMessage="1" sqref="A3">
      <formula1>$U$57:$U$106</formula1>
    </dataValidation>
  </dataValidations>
  <hyperlinks>
    <hyperlink ref="A37" location="'FRS geographical categories'!A1" display="2 For a list of FRAs and whether they are considered &quot;Metropolitan&quot;, &quot;Non Metropolitan&quot;, &quot;Predominantly Rural&quot;, &quot;Significantly Rural&quot; or &quot;Predominantly Urban&quot; please see the FRS geographical categories sheet."/>
    <hyperlink ref="M49:S49" r:id="rId1" display="https://www.gov.uk/government/collections/fire-statistics-monitor"/>
    <hyperlink ref="M50:S50" r:id="rId2" display="https://www.gov.uk/government/statistics/announcements?utf8=%E2%9C%93&amp;keywords=fire&amp;topics%5B%5D=&amp;organisations%5B%5D=home-office&amp;from_date=&amp;to_date=&amp;commit=Refresh+results"/>
    <hyperlink ref="A52" r:id="rId3"/>
    <hyperlink ref="A55" r:id="rId4"/>
    <hyperlink ref="L49" r:id="rId5" display="https://www.gov.uk/government/collections/fire-statistics-monitor"/>
    <hyperlink ref="L50" r:id="rId6" display="https://www.gov.uk/government/statistics/announcements?utf8=%E2%9C%93&amp;keywords=fire&amp;topics%5B%5D=&amp;organisations%5B%5D=home-office&amp;from_date=&amp;to_date=&amp;commit=Refresh+results"/>
    <hyperlink ref="A53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2024-12-25T22:55:04Z</dcterms:created>
  <dcterms:modified xsi:type="dcterms:W3CDTF">2025-12-01T03:06:40Z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5D7E426843B6EB0FC81C6C67D6D7DF16_41</vt:lpwstr>
  </property>
  <property fmtid="{D5CDD505-2E9C-101B-9397-08002B2CF9AE}" pid="3" name="KSOProductBuildVer">
    <vt:lpwstr>2052-6.11.0.8885</vt:lpwstr>
  </property>
</Properties>
</file>