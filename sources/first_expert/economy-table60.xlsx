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Sheet1!$Q$4:$Q$11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</calcChain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<sst xmlns="http://schemas.openxmlformats.org/spreadsheetml/2006/main" count="126" uniqueCount="24">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</sst>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409]mmmm\ d\,\ yyyy;@"/>
    <numFmt numFmtId="165" formatCode="0.0"/>
    <numFmt numFmtId="166" formatCode="&quot;$&quot;#,##0.00"/>
    <numFmt numFmtId="167" formatCode="_(&quot;$&quot;* #,##0.00_);_(&quot;$&quot;* \(#,##0.00\);_(&quot;$&quot;* &quot;-&quot;??_);_(@_)"/>
    <numFmt numFmtId="168" formatCode="_-* #,##0.00\ [$₽-419]_-;\-* #,##0.00\ [$₽-419]_-;_-* &quot;-&quot;??\ [$₽-419]_-;_-@_-"/>
  </numFmts>
  <fonts count="13">
    <font>
      <sz val="11"/>
      <color theme="1"/>
      <name val="Calibri"/>
      <charset val="134"/>
      <scheme val="minor"/>
    </font>
    <font>
      <b/>
      <sz val="10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24"/>
      <color theme="3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8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b/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u val="double"/>
      <sz val="13"/>
      <color theme="3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1" fontId="7" fillId="0" borderId="4" xfId="1" applyNumberFormat="1" applyFont="1" applyBorder="1" applyAlignment="1">
      <alignment horizontal="center"/>
    </xf>
    <xf numFmtId="21" fontId="8" fillId="0" borderId="4" xfId="3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/>
    </xf>
    <xf numFmtId="21" fontId="8" fillId="0" borderId="6" xfId="3" applyNumberFormat="1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1" fontId="7" fillId="0" borderId="6" xfId="1" applyNumberFormat="1" applyFont="1" applyBorder="1" applyAlignment="1">
      <alignment horizontal="center" vertical="center"/>
    </xf>
    <xf numFmtId="0" fontId="1" fillId="0" borderId="8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wrapText="1"/>
    </xf>
    <xf numFmtId="0" fontId="2" fillId="0" borderId="8" xfId="3" applyNumberForma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8" fillId="0" borderId="4" xfId="3" applyFont="1" applyBorder="1" applyAlignment="1">
      <alignment horizontal="center" vertical="center" shrinkToFit="1"/>
    </xf>
    <xf numFmtId="0" fontId="0" fillId="0" borderId="4" xfId="0" applyFont="1" applyFill="1" applyBorder="1" applyAlignment="1" applyProtection="1">
      <alignment horizontal="center" vertical="center" shrinkToFit="1"/>
      <protection locked="0"/>
    </xf>
    <xf numFmtId="1" fontId="8" fillId="0" borderId="4" xfId="3" applyNumberFormat="1" applyFont="1" applyBorder="1" applyAlignment="1">
      <alignment horizontal="center" vertical="center"/>
    </xf>
    <xf numFmtId="165" fontId="8" fillId="0" borderId="4" xfId="3" applyNumberFormat="1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shrinkToFit="1"/>
    </xf>
    <xf numFmtId="0" fontId="0" fillId="0" borderId="6" xfId="0" applyFont="1" applyFill="1" applyBorder="1" applyAlignment="1" applyProtection="1">
      <alignment horizontal="center" vertical="center" shrinkToFit="1"/>
      <protection locked="0"/>
    </xf>
    <xf numFmtId="1" fontId="8" fillId="0" borderId="6" xfId="3" applyNumberFormat="1" applyFont="1" applyBorder="1" applyAlignment="1">
      <alignment horizontal="center" vertical="center"/>
    </xf>
    <xf numFmtId="165" fontId="8" fillId="0" borderId="6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shrinkToFit="1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0" fontId="1" fillId="0" borderId="8" xfId="3" applyNumberFormat="1" applyFont="1" applyBorder="1" applyAlignment="1">
      <alignment horizontal="right" vertical="center"/>
    </xf>
    <xf numFmtId="0" fontId="2" fillId="0" borderId="8" xfId="3" applyNumberFormat="1" applyBorder="1" applyAlignment="1">
      <alignment horizontal="right" vertical="center"/>
    </xf>
    <xf numFmtId="166" fontId="5" fillId="0" borderId="0" xfId="3" applyNumberFormat="1" applyFont="1" applyBorder="1" applyAlignment="1">
      <alignment vertical="center"/>
    </xf>
    <xf numFmtId="166" fontId="6" fillId="0" borderId="0" xfId="3" applyNumberFormat="1" applyFont="1" applyBorder="1" applyAlignment="1">
      <alignment horizontal="center" vertical="center"/>
    </xf>
    <xf numFmtId="166" fontId="8" fillId="0" borderId="4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right"/>
    </xf>
    <xf numFmtId="167" fontId="8" fillId="0" borderId="11" xfId="3" applyNumberFormat="1" applyFont="1" applyBorder="1" applyAlignment="1">
      <alignment horizontal="right"/>
    </xf>
    <xf numFmtId="166" fontId="8" fillId="0" borderId="6" xfId="3" applyNumberFormat="1" applyFont="1" applyBorder="1" applyAlignment="1">
      <alignment horizontal="center" vertical="center"/>
    </xf>
    <xf numFmtId="167" fontId="8" fillId="0" borderId="6" xfId="3" applyNumberFormat="1" applyFont="1" applyBorder="1" applyAlignment="1">
      <alignment horizontal="right"/>
    </xf>
    <xf numFmtId="167" fontId="8" fillId="0" borderId="12" xfId="3" applyNumberFormat="1" applyFont="1" applyBorder="1" applyAlignment="1">
      <alignment horizontal="right"/>
    </xf>
    <xf numFmtId="166" fontId="3" fillId="0" borderId="8" xfId="3" applyNumberFormat="1" applyFont="1" applyBorder="1" applyAlignment="1">
      <alignment horizontal="right" vertical="center"/>
    </xf>
    <xf numFmtId="168" fontId="2" fillId="0" borderId="8" xfId="3" applyNumberFormat="1" applyBorder="1" applyAlignment="1">
      <alignment horizontal="center" vertical="center" shrinkToFit="1"/>
    </xf>
    <xf numFmtId="168" fontId="2" fillId="0" borderId="13" xfId="3" applyNumberFormat="1" applyBorder="1" applyAlignment="1">
      <alignment horizontal="center" vertical="center" shrinkToFit="1"/>
    </xf>
    <xf numFmtId="164" fontId="1" fillId="2" borderId="0" xfId="3" applyNumberFormat="1" applyFont="1" applyFill="1" applyBorder="1" applyAlignment="1">
      <alignment horizontal="center" vertical="center"/>
    </xf>
    <xf numFmtId="164" fontId="4" fillId="2" borderId="0" xfId="3" applyNumberFormat="1" applyFont="1" applyFill="1" applyBorder="1" applyAlignment="1">
      <alignment horizontal="center" vertical="center"/>
    </xf>
    <xf numFmtId="0" fontId="3" fillId="2" borderId="0" xfId="3" applyFont="1" applyFill="1" applyBorder="1" applyAlignment="1">
      <alignment vertical="center"/>
    </xf>
    <xf numFmtId="164" fontId="5" fillId="3" borderId="1" xfId="2" applyNumberFormat="1" applyFont="1" applyFill="1" applyBorder="1" applyAlignment="1">
      <alignment horizontal="center" vertical="center" shrinkToFit="1"/>
    </xf>
    <xf numFmtId="0" fontId="1" fillId="3" borderId="2" xfId="2" applyFont="1" applyFill="1" applyBorder="1" applyAlignment="1">
      <alignment horizontal="center" vertical="center" wrapText="1" shrinkToFit="1"/>
    </xf>
    <xf numFmtId="0" fontId="6" fillId="3" borderId="2" xfId="2" applyFont="1" applyFill="1" applyBorder="1" applyAlignment="1">
      <alignment horizontal="center" vertical="center" wrapText="1" shrinkToFit="1"/>
    </xf>
    <xf numFmtId="0" fontId="9" fillId="3" borderId="2" xfId="2" applyFill="1" applyBorder="1" applyAlignment="1">
      <alignment horizontal="center" vertical="center" shrinkToFit="1"/>
    </xf>
    <xf numFmtId="0" fontId="9" fillId="3" borderId="9" xfId="2" applyFill="1" applyBorder="1" applyAlignment="1" applyProtection="1">
      <alignment horizontal="center" vertical="center" shrinkToFit="1"/>
      <protection locked="0"/>
    </xf>
    <xf numFmtId="166" fontId="1" fillId="3" borderId="2" xfId="2" applyNumberFormat="1" applyFont="1" applyFill="1" applyBorder="1" applyAlignment="1">
      <alignment horizontal="center" vertical="center" wrapText="1" shrinkToFit="1"/>
    </xf>
    <xf numFmtId="167" fontId="6" fillId="3" borderId="2" xfId="2" applyNumberFormat="1" applyFont="1" applyFill="1" applyBorder="1" applyAlignment="1">
      <alignment horizontal="center" vertical="center" wrapText="1" shrinkToFit="1"/>
    </xf>
    <xf numFmtId="164" fontId="4" fillId="2" borderId="7" xfId="3" applyNumberFormat="1" applyFont="1" applyFill="1" applyBorder="1" applyAlignment="1">
      <alignment horizontal="right" vertical="center"/>
    </xf>
    <xf numFmtId="166" fontId="3" fillId="4" borderId="8" xfId="3" applyNumberFormat="1" applyFont="1" applyFill="1" applyBorder="1" applyAlignment="1">
      <alignment horizontal="right" vertical="center"/>
    </xf>
    <xf numFmtId="0" fontId="5" fillId="0" borderId="0" xfId="3" applyFont="1" applyBorder="1" applyAlignment="1">
      <alignment vertical="center"/>
    </xf>
    <xf numFmtId="167" fontId="2" fillId="2" borderId="0" xfId="3" applyNumberFormat="1" applyFont="1" applyFill="1" applyBorder="1" applyAlignment="1">
      <alignment horizontal="center" vertical="top"/>
    </xf>
    <xf numFmtId="0" fontId="10" fillId="2" borderId="10" xfId="3" applyNumberFormat="1" applyFont="1" applyFill="1" applyBorder="1" applyAlignment="1">
      <alignment horizontal="center" vertical="center"/>
    </xf>
    <xf numFmtId="164" fontId="4" fillId="4" borderId="3" xfId="3" applyNumberFormat="1" applyFont="1" applyFill="1" applyBorder="1" applyAlignment="1">
      <alignment horizontal="center" vertical="center" shrinkToFit="1"/>
    </xf>
    <xf numFmtId="164" fontId="4" fillId="4" borderId="5" xfId="3" applyNumberFormat="1" applyFont="1" applyFill="1" applyBorder="1" applyAlignment="1">
      <alignment horizontal="center" vertical="center" shrinkToFit="1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50800</xdr:rowOff>
        </xdr:from>
        <xdr:to>
          <xdr:col>0</xdr:col>
          <xdr:colOff>1181100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49928.JPG" TargetMode="External"/><Relationship Id="rId13" Type="http://schemas.openxmlformats.org/officeDocument/2006/relationships/hyperlink" Target="pictures/762480.JPG" TargetMode="External"/><Relationship Id="rId18" Type="http://schemas.openxmlformats.org/officeDocument/2006/relationships/hyperlink" Target="pictures/49933.JPG" TargetMode="External"/><Relationship Id="rId26" Type="http://schemas.openxmlformats.org/officeDocument/2006/relationships/hyperlink" Target="pictures/49941.JPG" TargetMode="External"/><Relationship Id="rId3" Type="http://schemas.openxmlformats.org/officeDocument/2006/relationships/hyperlink" Target="pictures/49623.JPG" TargetMode="External"/><Relationship Id="rId21" Type="http://schemas.openxmlformats.org/officeDocument/2006/relationships/hyperlink" Target="pictures/49936.JPG" TargetMode="External"/><Relationship Id="rId7" Type="http://schemas.openxmlformats.org/officeDocument/2006/relationships/hyperlink" Target="pictures/49927.JPG" TargetMode="External"/><Relationship Id="rId12" Type="http://schemas.openxmlformats.org/officeDocument/2006/relationships/hyperlink" Target="pictures/762479.JPG" TargetMode="External"/><Relationship Id="rId17" Type="http://schemas.openxmlformats.org/officeDocument/2006/relationships/hyperlink" Target="pictures/49932.JPG" TargetMode="External"/><Relationship Id="rId25" Type="http://schemas.openxmlformats.org/officeDocument/2006/relationships/hyperlink" Target="pictures/49940.JPG" TargetMode="External"/><Relationship Id="rId2" Type="http://schemas.openxmlformats.org/officeDocument/2006/relationships/hyperlink" Target="pictures/49622.JPG" TargetMode="External"/><Relationship Id="rId16" Type="http://schemas.openxmlformats.org/officeDocument/2006/relationships/hyperlink" Target="pictures/49931.JPG" TargetMode="External"/><Relationship Id="rId20" Type="http://schemas.openxmlformats.org/officeDocument/2006/relationships/hyperlink" Target="pictures/49935.JPG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pictures/49621.JPG" TargetMode="External"/><Relationship Id="rId6" Type="http://schemas.openxmlformats.org/officeDocument/2006/relationships/hyperlink" Target="pictures/49926.JPG" TargetMode="External"/><Relationship Id="rId11" Type="http://schemas.openxmlformats.org/officeDocument/2006/relationships/hyperlink" Target="pictures/762478.JPG" TargetMode="External"/><Relationship Id="rId24" Type="http://schemas.openxmlformats.org/officeDocument/2006/relationships/hyperlink" Target="pictures/49939.JPG" TargetMode="External"/><Relationship Id="rId32" Type="http://schemas.openxmlformats.org/officeDocument/2006/relationships/ctrlProp" Target="../ctrlProps/ctrlProp2.xml"/><Relationship Id="rId5" Type="http://schemas.openxmlformats.org/officeDocument/2006/relationships/hyperlink" Target="pictures/49625.JPG" TargetMode="External"/><Relationship Id="rId15" Type="http://schemas.openxmlformats.org/officeDocument/2006/relationships/hyperlink" Target="pictures/762482.JPG" TargetMode="External"/><Relationship Id="rId23" Type="http://schemas.openxmlformats.org/officeDocument/2006/relationships/hyperlink" Target="pictures/49938.JPG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pictures/49930.JPG" TargetMode="External"/><Relationship Id="rId19" Type="http://schemas.openxmlformats.org/officeDocument/2006/relationships/hyperlink" Target="pictures/49934.JPG" TargetMode="External"/><Relationship Id="rId31" Type="http://schemas.openxmlformats.org/officeDocument/2006/relationships/ctrlProp" Target="../ctrlProps/ctrlProp1.xml"/><Relationship Id="rId4" Type="http://schemas.openxmlformats.org/officeDocument/2006/relationships/hyperlink" Target="pictures/49624.JPG" TargetMode="External"/><Relationship Id="rId9" Type="http://schemas.openxmlformats.org/officeDocument/2006/relationships/hyperlink" Target="pictures/49929.JPG" TargetMode="External"/><Relationship Id="rId14" Type="http://schemas.openxmlformats.org/officeDocument/2006/relationships/hyperlink" Target="pictures/762481.JPG" TargetMode="External"/><Relationship Id="rId22" Type="http://schemas.openxmlformats.org/officeDocument/2006/relationships/hyperlink" Target="pictures/49937.JPG" TargetMode="External"/><Relationship Id="rId27" Type="http://schemas.openxmlformats.org/officeDocument/2006/relationships/hyperlink" Target="pictures/49942.JPG" TargetMode="External"/><Relationship Id="rId30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topLeftCell="A28" workbookViewId="0">
      <selection activeCell="A4" sqref="A4:A30"/>
    </sheetView>
  </sheetViews>
  <sheetFormatPr defaultColWidth="9.26953125" defaultRowHeight="14.5"/>
  <cols>
    <col min="11" max="11" width="11.6328125"/>
  </cols>
  <sheetData>
    <row r="1" spans="1:12" ht="31">
      <c r="A1" s="44" t="s">
        <v>0</v>
      </c>
      <c r="B1" s="1"/>
      <c r="C1" s="2"/>
      <c r="D1" s="46" t="s">
        <v>1</v>
      </c>
      <c r="E1" s="16"/>
      <c r="F1" s="17"/>
      <c r="G1" s="18"/>
      <c r="H1" s="56"/>
      <c r="I1" s="56"/>
      <c r="J1" s="33"/>
      <c r="K1" s="57" t="s">
        <v>2</v>
      </c>
      <c r="L1" s="57"/>
    </row>
    <row r="2" spans="1:12" ht="17">
      <c r="A2" s="45" t="s">
        <v>3</v>
      </c>
      <c r="B2" s="1"/>
      <c r="C2" s="3"/>
      <c r="D2" s="4"/>
      <c r="E2" s="19"/>
      <c r="F2" s="20"/>
      <c r="G2" s="1"/>
      <c r="H2" s="4"/>
      <c r="I2" s="34"/>
      <c r="J2" s="34"/>
      <c r="K2" s="58" t="s">
        <v>4</v>
      </c>
      <c r="L2" s="58"/>
    </row>
    <row r="3" spans="1:12" ht="46.5">
      <c r="A3" s="47" t="s">
        <v>5</v>
      </c>
      <c r="B3" s="48" t="s">
        <v>6</v>
      </c>
      <c r="C3" s="49" t="s">
        <v>7</v>
      </c>
      <c r="D3" s="49" t="s">
        <v>8</v>
      </c>
      <c r="E3" s="50" t="s">
        <v>9</v>
      </c>
      <c r="F3" s="51" t="s">
        <v>10</v>
      </c>
      <c r="G3" s="48" t="s">
        <v>11</v>
      </c>
      <c r="H3" s="49" t="s">
        <v>12</v>
      </c>
      <c r="I3" s="52" t="s">
        <v>13</v>
      </c>
      <c r="J3" s="52" t="s">
        <v>14</v>
      </c>
      <c r="K3" s="53" t="s">
        <v>15</v>
      </c>
      <c r="L3" s="53" t="s">
        <v>16</v>
      </c>
    </row>
    <row r="4" spans="1:12" ht="15.5">
      <c r="A4" s="59">
        <v>42036</v>
      </c>
      <c r="B4" s="5">
        <v>49621</v>
      </c>
      <c r="C4" s="6" t="s">
        <v>17</v>
      </c>
      <c r="D4" s="7" t="s">
        <v>18</v>
      </c>
      <c r="E4" s="21" t="s">
        <v>19</v>
      </c>
      <c r="F4" s="22" t="s">
        <v>20</v>
      </c>
      <c r="G4" s="23">
        <v>150</v>
      </c>
      <c r="H4" s="24">
        <v>0</v>
      </c>
      <c r="I4" s="35">
        <v>1.75</v>
      </c>
      <c r="J4" s="35">
        <v>0</v>
      </c>
      <c r="K4" s="36">
        <f t="shared" ref="K4:K13" si="0">IF(F4="","",IF(G4="","",IF(I4="","",IF(F4="Fresh Water",H4*I4+(G4*J4),IF(F4="Fresh Water %",(G4*I4)+(G4*J4),IF(F4="Production %",(G4*I4)+(G4*J4),IF(F4="Production",(H4*I4)+(G4*J4),IF(F4="Service Work",H4*I4,IF(F4="Flow Back",(H4*I4)+(G4*J4),IF(F4="Flow Back %",(G4*I4)+(G4*J4),IF(F4="Fresh Water Hot",H4*I4+(G4*I4),"")))))))))))</f>
        <v>262.5</v>
      </c>
      <c r="L4" s="37">
        <f t="shared" ref="L4:L13" si="1">IF(G4="","",IF(H4="","",IF(K4="","",IF(F4="Fresh Water",H4*30,IF(F4="Fresh Water %",G4*I4*23%,IF(F4="Production %",G4*I4*23%,IF(F4="Production",H4*30,IF(F4="Service Work",H4*30,IF(F4="Flow Back",H4*30,IF(F4="Flow Back %",G4*L3*23%,IF(F4="Fresh Water Hot",H4*30,"")))))))))))</f>
        <v>60.375</v>
      </c>
    </row>
    <row r="5" spans="1:12" ht="15.5">
      <c r="A5" s="60">
        <v>42036</v>
      </c>
      <c r="B5" s="8">
        <v>49622</v>
      </c>
      <c r="C5" s="9" t="s">
        <v>17</v>
      </c>
      <c r="D5" s="10" t="s">
        <v>18</v>
      </c>
      <c r="E5" s="25" t="s">
        <v>19</v>
      </c>
      <c r="F5" s="26" t="s">
        <v>20</v>
      </c>
      <c r="G5" s="27">
        <v>150</v>
      </c>
      <c r="H5" s="28">
        <v>0</v>
      </c>
      <c r="I5" s="38">
        <v>1.75</v>
      </c>
      <c r="J5" s="38">
        <v>0</v>
      </c>
      <c r="K5" s="39">
        <f t="shared" si="0"/>
        <v>262.5</v>
      </c>
      <c r="L5" s="40">
        <f t="shared" si="1"/>
        <v>60.375</v>
      </c>
    </row>
    <row r="6" spans="1:12" ht="15.5">
      <c r="A6" s="60">
        <v>42036</v>
      </c>
      <c r="B6" s="8">
        <v>49623</v>
      </c>
      <c r="C6" s="9" t="s">
        <v>17</v>
      </c>
      <c r="D6" s="10" t="s">
        <v>18</v>
      </c>
      <c r="E6" s="25" t="s">
        <v>19</v>
      </c>
      <c r="F6" s="26" t="s">
        <v>20</v>
      </c>
      <c r="G6" s="27">
        <v>120</v>
      </c>
      <c r="H6" s="28">
        <v>0</v>
      </c>
      <c r="I6" s="38">
        <v>1.75</v>
      </c>
      <c r="J6" s="38">
        <v>0</v>
      </c>
      <c r="K6" s="39">
        <f t="shared" si="0"/>
        <v>210</v>
      </c>
      <c r="L6" s="40">
        <f t="shared" si="1"/>
        <v>48.3</v>
      </c>
    </row>
    <row r="7" spans="1:12" ht="15.5">
      <c r="A7" s="60">
        <v>42036</v>
      </c>
      <c r="B7" s="8">
        <v>49624</v>
      </c>
      <c r="C7" s="9" t="s">
        <v>17</v>
      </c>
      <c r="D7" s="10" t="s">
        <v>18</v>
      </c>
      <c r="E7" s="25" t="s">
        <v>19</v>
      </c>
      <c r="F7" s="26" t="s">
        <v>20</v>
      </c>
      <c r="G7" s="27">
        <v>150</v>
      </c>
      <c r="H7" s="28">
        <v>0</v>
      </c>
      <c r="I7" s="38">
        <v>1.75</v>
      </c>
      <c r="J7" s="38">
        <v>0</v>
      </c>
      <c r="K7" s="39">
        <f t="shared" si="0"/>
        <v>262.5</v>
      </c>
      <c r="L7" s="40">
        <f t="shared" si="1"/>
        <v>60.375</v>
      </c>
    </row>
    <row r="8" spans="1:12" ht="15.5">
      <c r="A8" s="60">
        <v>42036</v>
      </c>
      <c r="B8" s="8">
        <v>49625</v>
      </c>
      <c r="C8" s="11" t="s">
        <v>17</v>
      </c>
      <c r="D8" s="10" t="s">
        <v>18</v>
      </c>
      <c r="E8" s="25" t="s">
        <v>19</v>
      </c>
      <c r="F8" s="26" t="s">
        <v>20</v>
      </c>
      <c r="G8" s="27">
        <v>150</v>
      </c>
      <c r="H8" s="28">
        <v>0</v>
      </c>
      <c r="I8" s="38">
        <v>1.75</v>
      </c>
      <c r="J8" s="38">
        <v>0</v>
      </c>
      <c r="K8" s="39">
        <f t="shared" si="0"/>
        <v>262.5</v>
      </c>
      <c r="L8" s="40">
        <f t="shared" si="1"/>
        <v>60.375</v>
      </c>
    </row>
    <row r="9" spans="1:12" ht="15.5">
      <c r="A9" s="60">
        <v>42036</v>
      </c>
      <c r="B9" s="8">
        <v>49926</v>
      </c>
      <c r="C9" s="11" t="s">
        <v>17</v>
      </c>
      <c r="D9" s="10" t="s">
        <v>18</v>
      </c>
      <c r="E9" s="25" t="s">
        <v>19</v>
      </c>
      <c r="F9" s="26" t="s">
        <v>20</v>
      </c>
      <c r="G9" s="27">
        <v>150</v>
      </c>
      <c r="H9" s="28">
        <v>0</v>
      </c>
      <c r="I9" s="38">
        <v>1.75</v>
      </c>
      <c r="J9" s="38">
        <v>0</v>
      </c>
      <c r="K9" s="39">
        <f t="shared" si="0"/>
        <v>262.5</v>
      </c>
      <c r="L9" s="40">
        <f t="shared" si="1"/>
        <v>60.375</v>
      </c>
    </row>
    <row r="10" spans="1:12" ht="15.5">
      <c r="A10" s="60">
        <v>42036</v>
      </c>
      <c r="B10" s="8">
        <v>49927</v>
      </c>
      <c r="C10" s="11" t="s">
        <v>17</v>
      </c>
      <c r="D10" s="10" t="s">
        <v>18</v>
      </c>
      <c r="E10" s="25" t="s">
        <v>19</v>
      </c>
      <c r="F10" s="26" t="s">
        <v>20</v>
      </c>
      <c r="G10" s="27">
        <v>150</v>
      </c>
      <c r="H10" s="28">
        <v>0</v>
      </c>
      <c r="I10" s="38">
        <v>1.75</v>
      </c>
      <c r="J10" s="38">
        <v>0</v>
      </c>
      <c r="K10" s="39">
        <f t="shared" si="0"/>
        <v>262.5</v>
      </c>
      <c r="L10" s="40">
        <f t="shared" si="1"/>
        <v>60.375</v>
      </c>
    </row>
    <row r="11" spans="1:12" ht="15.5">
      <c r="A11" s="60">
        <v>42037</v>
      </c>
      <c r="B11" s="8">
        <v>49928</v>
      </c>
      <c r="C11" s="11" t="s">
        <v>17</v>
      </c>
      <c r="D11" s="10" t="s">
        <v>18</v>
      </c>
      <c r="E11" s="25" t="s">
        <v>19</v>
      </c>
      <c r="F11" s="26" t="s">
        <v>20</v>
      </c>
      <c r="G11" s="27">
        <v>80</v>
      </c>
      <c r="H11" s="28">
        <v>0</v>
      </c>
      <c r="I11" s="38">
        <v>1.75</v>
      </c>
      <c r="J11" s="38">
        <v>0</v>
      </c>
      <c r="K11" s="39">
        <f t="shared" si="0"/>
        <v>140</v>
      </c>
      <c r="L11" s="40">
        <f t="shared" si="1"/>
        <v>32.200000000000003</v>
      </c>
    </row>
    <row r="12" spans="1:12" ht="15.5">
      <c r="A12" s="60">
        <v>42037</v>
      </c>
      <c r="B12" s="8">
        <v>49929</v>
      </c>
      <c r="C12" s="11" t="s">
        <v>17</v>
      </c>
      <c r="D12" s="10" t="s">
        <v>18</v>
      </c>
      <c r="E12" s="25" t="s">
        <v>19</v>
      </c>
      <c r="F12" s="26" t="s">
        <v>20</v>
      </c>
      <c r="G12" s="27">
        <v>80</v>
      </c>
      <c r="H12" s="28">
        <v>0</v>
      </c>
      <c r="I12" s="38">
        <v>1.75</v>
      </c>
      <c r="J12" s="38">
        <v>0</v>
      </c>
      <c r="K12" s="39">
        <f t="shared" si="0"/>
        <v>140</v>
      </c>
      <c r="L12" s="40">
        <f t="shared" si="1"/>
        <v>32.200000000000003</v>
      </c>
    </row>
    <row r="13" spans="1:12" ht="15.5">
      <c r="A13" s="60">
        <v>42037</v>
      </c>
      <c r="B13" s="8">
        <v>49930</v>
      </c>
      <c r="C13" s="11" t="s">
        <v>17</v>
      </c>
      <c r="D13" s="10" t="s">
        <v>18</v>
      </c>
      <c r="E13" s="25" t="s">
        <v>19</v>
      </c>
      <c r="F13" s="26" t="s">
        <v>20</v>
      </c>
      <c r="G13" s="27">
        <v>150</v>
      </c>
      <c r="H13" s="28">
        <v>0</v>
      </c>
      <c r="I13" s="38">
        <v>1.75</v>
      </c>
      <c r="J13" s="38">
        <v>0</v>
      </c>
      <c r="K13" s="39">
        <f t="shared" si="0"/>
        <v>262.5</v>
      </c>
      <c r="L13" s="40">
        <f t="shared" si="1"/>
        <v>60.375</v>
      </c>
    </row>
    <row r="14" spans="1:12" ht="15.5">
      <c r="A14" s="60">
        <v>42040</v>
      </c>
      <c r="B14" s="12">
        <v>762478</v>
      </c>
      <c r="C14" s="11" t="s">
        <v>17</v>
      </c>
      <c r="D14" s="10" t="s">
        <v>18</v>
      </c>
      <c r="E14" s="25" t="s">
        <v>21</v>
      </c>
      <c r="F14" s="26" t="s">
        <v>22</v>
      </c>
      <c r="G14" s="27">
        <v>250</v>
      </c>
      <c r="H14" s="10">
        <v>12</v>
      </c>
      <c r="I14" s="38">
        <v>125</v>
      </c>
      <c r="J14" s="38">
        <v>0</v>
      </c>
      <c r="K14" s="39">
        <v>1500</v>
      </c>
      <c r="L14" s="40">
        <v>360</v>
      </c>
    </row>
    <row r="15" spans="1:12" ht="15.5">
      <c r="A15" s="60">
        <v>42040</v>
      </c>
      <c r="B15" s="12">
        <v>762479</v>
      </c>
      <c r="C15" s="11" t="s">
        <v>17</v>
      </c>
      <c r="D15" s="10" t="s">
        <v>18</v>
      </c>
      <c r="E15" s="25" t="s">
        <v>21</v>
      </c>
      <c r="F15" s="26" t="s">
        <v>22</v>
      </c>
      <c r="G15" s="27">
        <v>0</v>
      </c>
      <c r="H15" s="10">
        <v>4</v>
      </c>
      <c r="I15" s="38">
        <v>125</v>
      </c>
      <c r="J15" s="38">
        <v>0</v>
      </c>
      <c r="K15" s="39">
        <v>500</v>
      </c>
      <c r="L15" s="40">
        <v>120</v>
      </c>
    </row>
    <row r="16" spans="1:12" ht="15.5">
      <c r="A16" s="60">
        <v>42041</v>
      </c>
      <c r="B16" s="12">
        <v>762480</v>
      </c>
      <c r="C16" s="11" t="s">
        <v>17</v>
      </c>
      <c r="D16" s="10" t="s">
        <v>18</v>
      </c>
      <c r="E16" s="25" t="s">
        <v>21</v>
      </c>
      <c r="F16" s="26" t="s">
        <v>22</v>
      </c>
      <c r="G16" s="27">
        <v>200</v>
      </c>
      <c r="H16" s="10">
        <v>8</v>
      </c>
      <c r="I16" s="38">
        <v>125</v>
      </c>
      <c r="J16" s="38">
        <v>0</v>
      </c>
      <c r="K16" s="39">
        <v>1000</v>
      </c>
      <c r="L16" s="40">
        <v>240</v>
      </c>
    </row>
    <row r="17" spans="1:12" ht="15.5">
      <c r="A17" s="60">
        <v>42041</v>
      </c>
      <c r="B17" s="12">
        <v>762481</v>
      </c>
      <c r="C17" s="11" t="s">
        <v>17</v>
      </c>
      <c r="D17" s="10" t="s">
        <v>18</v>
      </c>
      <c r="E17" s="25" t="s">
        <v>21</v>
      </c>
      <c r="F17" s="26" t="s">
        <v>22</v>
      </c>
      <c r="G17" s="27">
        <v>200</v>
      </c>
      <c r="H17" s="10">
        <v>3</v>
      </c>
      <c r="I17" s="38">
        <v>125</v>
      </c>
      <c r="J17" s="38">
        <v>0</v>
      </c>
      <c r="K17" s="39">
        <v>375</v>
      </c>
      <c r="L17" s="40">
        <v>90</v>
      </c>
    </row>
    <row r="18" spans="1:12" ht="15.5">
      <c r="A18" s="60">
        <v>42041</v>
      </c>
      <c r="B18" s="12">
        <v>762482</v>
      </c>
      <c r="C18" s="11" t="s">
        <v>17</v>
      </c>
      <c r="D18" s="10" t="s">
        <v>18</v>
      </c>
      <c r="E18" s="25" t="s">
        <v>21</v>
      </c>
      <c r="F18" s="26" t="s">
        <v>22</v>
      </c>
      <c r="G18" s="27">
        <v>200</v>
      </c>
      <c r="H18" s="10">
        <v>7</v>
      </c>
      <c r="I18" s="38">
        <v>125</v>
      </c>
      <c r="J18" s="38">
        <v>0</v>
      </c>
      <c r="K18" s="39">
        <v>875</v>
      </c>
      <c r="L18" s="40">
        <v>210</v>
      </c>
    </row>
    <row r="19" spans="1:12" ht="15.5">
      <c r="A19" s="60">
        <v>42042</v>
      </c>
      <c r="B19" s="12">
        <v>49931</v>
      </c>
      <c r="C19" s="11" t="s">
        <v>17</v>
      </c>
      <c r="D19" s="10" t="s">
        <v>18</v>
      </c>
      <c r="E19" s="25" t="s">
        <v>19</v>
      </c>
      <c r="F19" s="26" t="s">
        <v>20</v>
      </c>
      <c r="G19" s="27">
        <v>150</v>
      </c>
      <c r="H19" s="10">
        <v>0</v>
      </c>
      <c r="I19" s="38">
        <v>1.75</v>
      </c>
      <c r="J19" s="38">
        <v>0</v>
      </c>
      <c r="K19" s="39">
        <v>262.5</v>
      </c>
      <c r="L19" s="40">
        <v>60.375</v>
      </c>
    </row>
    <row r="20" spans="1:12" ht="15.5">
      <c r="A20" s="60">
        <v>42042</v>
      </c>
      <c r="B20" s="12">
        <v>49932</v>
      </c>
      <c r="C20" s="11" t="s">
        <v>17</v>
      </c>
      <c r="D20" s="10" t="s">
        <v>18</v>
      </c>
      <c r="E20" s="25" t="s">
        <v>19</v>
      </c>
      <c r="F20" s="26" t="s">
        <v>20</v>
      </c>
      <c r="G20" s="27">
        <v>150</v>
      </c>
      <c r="H20" s="10">
        <v>0</v>
      </c>
      <c r="I20" s="38">
        <v>1.75</v>
      </c>
      <c r="J20" s="38">
        <v>0</v>
      </c>
      <c r="K20" s="39">
        <v>262.5</v>
      </c>
      <c r="L20" s="40">
        <v>60.375</v>
      </c>
    </row>
    <row r="21" spans="1:12" ht="15.5">
      <c r="A21" s="60">
        <v>42042</v>
      </c>
      <c r="B21" s="12">
        <v>49933</v>
      </c>
      <c r="C21" s="11" t="s">
        <v>17</v>
      </c>
      <c r="D21" s="10" t="s">
        <v>18</v>
      </c>
      <c r="E21" s="25" t="s">
        <v>19</v>
      </c>
      <c r="F21" s="26" t="s">
        <v>20</v>
      </c>
      <c r="G21" s="27">
        <v>150</v>
      </c>
      <c r="H21" s="10">
        <v>0</v>
      </c>
      <c r="I21" s="38">
        <v>1.75</v>
      </c>
      <c r="J21" s="38">
        <v>0</v>
      </c>
      <c r="K21" s="39">
        <v>262.5</v>
      </c>
      <c r="L21" s="40">
        <v>60.375</v>
      </c>
    </row>
    <row r="22" spans="1:12" ht="15.5">
      <c r="A22" s="60">
        <v>42042</v>
      </c>
      <c r="B22" s="12">
        <v>49934</v>
      </c>
      <c r="C22" s="11" t="s">
        <v>17</v>
      </c>
      <c r="D22" s="10" t="s">
        <v>18</v>
      </c>
      <c r="E22" s="25" t="s">
        <v>19</v>
      </c>
      <c r="F22" s="26" t="s">
        <v>20</v>
      </c>
      <c r="G22" s="27">
        <v>150</v>
      </c>
      <c r="H22" s="10">
        <v>0</v>
      </c>
      <c r="I22" s="38">
        <v>1.75</v>
      </c>
      <c r="J22" s="38">
        <v>0</v>
      </c>
      <c r="K22" s="39">
        <v>262.5</v>
      </c>
      <c r="L22" s="40">
        <v>60.375</v>
      </c>
    </row>
    <row r="23" spans="1:12" ht="15.5">
      <c r="A23" s="60">
        <v>42042</v>
      </c>
      <c r="B23" s="12">
        <v>49935</v>
      </c>
      <c r="C23" s="11" t="s">
        <v>17</v>
      </c>
      <c r="D23" s="10" t="s">
        <v>18</v>
      </c>
      <c r="E23" s="25" t="s">
        <v>19</v>
      </c>
      <c r="F23" s="26" t="s">
        <v>20</v>
      </c>
      <c r="G23" s="27">
        <v>150</v>
      </c>
      <c r="H23" s="10">
        <v>0</v>
      </c>
      <c r="I23" s="38">
        <v>1.75</v>
      </c>
      <c r="J23" s="38">
        <v>0</v>
      </c>
      <c r="K23" s="39">
        <v>262.5</v>
      </c>
      <c r="L23" s="40">
        <v>60.375</v>
      </c>
    </row>
    <row r="24" spans="1:12" ht="15.5">
      <c r="A24" s="60">
        <v>42042</v>
      </c>
      <c r="B24" s="12">
        <v>49936</v>
      </c>
      <c r="C24" s="11" t="s">
        <v>17</v>
      </c>
      <c r="D24" s="10" t="s">
        <v>18</v>
      </c>
      <c r="E24" s="25" t="s">
        <v>19</v>
      </c>
      <c r="F24" s="26" t="s">
        <v>20</v>
      </c>
      <c r="G24" s="27">
        <v>150</v>
      </c>
      <c r="H24" s="10">
        <v>0</v>
      </c>
      <c r="I24" s="38">
        <v>1.75</v>
      </c>
      <c r="J24" s="38">
        <v>0</v>
      </c>
      <c r="K24" s="39">
        <v>262.5</v>
      </c>
      <c r="L24" s="40">
        <v>60.375</v>
      </c>
    </row>
    <row r="25" spans="1:12" ht="15.5">
      <c r="A25" s="60">
        <v>42042</v>
      </c>
      <c r="B25" s="12">
        <v>49937</v>
      </c>
      <c r="C25" s="11" t="s">
        <v>17</v>
      </c>
      <c r="D25" s="10" t="s">
        <v>18</v>
      </c>
      <c r="E25" s="25" t="s">
        <v>19</v>
      </c>
      <c r="F25" s="26" t="s">
        <v>20</v>
      </c>
      <c r="G25" s="27">
        <v>150</v>
      </c>
      <c r="H25" s="10">
        <v>0</v>
      </c>
      <c r="I25" s="38">
        <v>1.75</v>
      </c>
      <c r="J25" s="38">
        <v>0</v>
      </c>
      <c r="K25" s="39">
        <v>262.5</v>
      </c>
      <c r="L25" s="40">
        <v>60.375</v>
      </c>
    </row>
    <row r="26" spans="1:12" ht="15.5">
      <c r="A26" s="60">
        <v>42042</v>
      </c>
      <c r="B26" s="12">
        <v>49938</v>
      </c>
      <c r="C26" s="11" t="s">
        <v>17</v>
      </c>
      <c r="D26" s="10" t="s">
        <v>18</v>
      </c>
      <c r="E26" s="25" t="s">
        <v>19</v>
      </c>
      <c r="F26" s="26" t="s">
        <v>20</v>
      </c>
      <c r="G26" s="27">
        <v>150</v>
      </c>
      <c r="H26" s="10">
        <v>0</v>
      </c>
      <c r="I26" s="38">
        <v>1.75</v>
      </c>
      <c r="J26" s="38">
        <v>0</v>
      </c>
      <c r="K26" s="39">
        <v>262.5</v>
      </c>
      <c r="L26" s="40">
        <v>60.375</v>
      </c>
    </row>
    <row r="27" spans="1:12" ht="15.5">
      <c r="A27" s="60">
        <v>42042</v>
      </c>
      <c r="B27" s="12">
        <v>49939</v>
      </c>
      <c r="C27" s="11" t="s">
        <v>17</v>
      </c>
      <c r="D27" s="10" t="s">
        <v>18</v>
      </c>
      <c r="E27" s="25" t="s">
        <v>19</v>
      </c>
      <c r="F27" s="26" t="s">
        <v>20</v>
      </c>
      <c r="G27" s="27">
        <v>150</v>
      </c>
      <c r="H27" s="10">
        <v>0</v>
      </c>
      <c r="I27" s="38">
        <v>1.75</v>
      </c>
      <c r="J27" s="38">
        <v>0</v>
      </c>
      <c r="K27" s="39">
        <v>262.5</v>
      </c>
      <c r="L27" s="40">
        <v>60.375</v>
      </c>
    </row>
    <row r="28" spans="1:12" ht="15.5">
      <c r="A28" s="60">
        <v>42042</v>
      </c>
      <c r="B28" s="12">
        <v>49940</v>
      </c>
      <c r="C28" s="11" t="s">
        <v>17</v>
      </c>
      <c r="D28" s="10" t="s">
        <v>18</v>
      </c>
      <c r="E28" s="25" t="s">
        <v>19</v>
      </c>
      <c r="F28" s="26" t="s">
        <v>20</v>
      </c>
      <c r="G28" s="27">
        <v>150</v>
      </c>
      <c r="H28" s="10">
        <v>0</v>
      </c>
      <c r="I28" s="38">
        <v>1.75</v>
      </c>
      <c r="J28" s="38">
        <v>0</v>
      </c>
      <c r="K28" s="39">
        <v>262.5</v>
      </c>
      <c r="L28" s="40">
        <v>60.375</v>
      </c>
    </row>
    <row r="29" spans="1:12" ht="15.5">
      <c r="A29" s="60">
        <v>42042</v>
      </c>
      <c r="B29" s="12">
        <v>49941</v>
      </c>
      <c r="C29" s="11" t="s">
        <v>17</v>
      </c>
      <c r="D29" s="10" t="s">
        <v>18</v>
      </c>
      <c r="E29" s="25" t="s">
        <v>19</v>
      </c>
      <c r="F29" s="26" t="s">
        <v>20</v>
      </c>
      <c r="G29" s="27">
        <v>150</v>
      </c>
      <c r="H29" s="10">
        <v>0</v>
      </c>
      <c r="I29" s="38">
        <v>1.75</v>
      </c>
      <c r="J29" s="38">
        <v>0</v>
      </c>
      <c r="K29" s="39">
        <v>262.5</v>
      </c>
      <c r="L29" s="40">
        <v>60.375</v>
      </c>
    </row>
    <row r="30" spans="1:12" ht="15.5">
      <c r="A30" s="60">
        <v>42042</v>
      </c>
      <c r="B30" s="12">
        <v>49942</v>
      </c>
      <c r="C30" s="11" t="s">
        <v>17</v>
      </c>
      <c r="D30" s="10" t="s">
        <v>18</v>
      </c>
      <c r="E30" s="25" t="s">
        <v>19</v>
      </c>
      <c r="F30" s="26" t="s">
        <v>20</v>
      </c>
      <c r="G30" s="27">
        <v>150</v>
      </c>
      <c r="H30" s="10">
        <v>0</v>
      </c>
      <c r="I30" s="38">
        <v>1.75</v>
      </c>
      <c r="J30" s="38">
        <v>0</v>
      </c>
      <c r="K30" s="39">
        <v>262.5</v>
      </c>
      <c r="L30" s="40">
        <v>60.375</v>
      </c>
    </row>
    <row r="31" spans="1:12" ht="31">
      <c r="A31" s="54"/>
      <c r="B31" s="13"/>
      <c r="C31" s="14"/>
      <c r="D31" s="15"/>
      <c r="E31" s="29"/>
      <c r="F31" s="30"/>
      <c r="G31" s="31"/>
      <c r="H31" s="32"/>
      <c r="I31" s="55" t="s">
        <v>23</v>
      </c>
      <c r="J31" s="41"/>
      <c r="K31" s="42">
        <f>SUM(K4:K30)</f>
        <v>9727.5</v>
      </c>
      <c r="L31" s="43">
        <f>SUM(L4:L30)</f>
        <v>2279.8249999999998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621"/>
    <hyperlink ref="B5" r:id="rId2" display="49622"/>
    <hyperlink ref="B6" r:id="rId3" display="49623"/>
    <hyperlink ref="B7" r:id="rId4" display="49624"/>
    <hyperlink ref="B8" r:id="rId5" display="49625"/>
    <hyperlink ref="B9" r:id="rId6" display="49926"/>
    <hyperlink ref="B10" r:id="rId7" display="49927"/>
    <hyperlink ref="B11" r:id="rId8" display="49928"/>
    <hyperlink ref="B12" r:id="rId9" display="49929"/>
    <hyperlink ref="B13" r:id="rId10" display="49930"/>
    <hyperlink ref="B14" r:id="rId11" display="762478"/>
    <hyperlink ref="B15" r:id="rId12" display="762479"/>
    <hyperlink ref="B16" r:id="rId13" display="762480"/>
    <hyperlink ref="B17" r:id="rId14" display="762481"/>
    <hyperlink ref="B18" r:id="rId15" display="762482"/>
    <hyperlink ref="B19" r:id="rId16" display="49931"/>
    <hyperlink ref="B20" r:id="rId17" display="49932"/>
    <hyperlink ref="B21" r:id="rId18" display="49933"/>
    <hyperlink ref="B22" r:id="rId19" display="49934"/>
    <hyperlink ref="B23" r:id="rId20" display="49935"/>
    <hyperlink ref="B24" r:id="rId21" display="49936"/>
    <hyperlink ref="B25" r:id="rId22" display="49937"/>
    <hyperlink ref="B26" r:id="rId23" display="49938"/>
    <hyperlink ref="B27" r:id="rId24" display="49939"/>
    <hyperlink ref="B28" r:id="rId25" display="49940"/>
    <hyperlink ref="B29" r:id="rId26" display="49941"/>
    <hyperlink ref="B30" r:id="rId27" display="49942"/>
  </hyperlinks>
  <pageMargins left="0.75" right="0.75" top="1" bottom="1" header="0.5" footer="0.5"/>
  <pageSetup orientation="portrait" r:id="rId28"/>
  <drawing r:id="rId29"/>
  <legacyDrawing r:id="rId3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1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32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50800</xdr:rowOff>
                  </from>
                  <to>
                    <xdr:col>0</xdr:col>
                    <xdr:colOff>1181100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2024-12-08T19:43:29Z</dcterms:created>
  <dcterms:modified xsi:type="dcterms:W3CDTF">2025-12-01T12:10:11Z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521FC22B14FAA74161865567C1B80EB7_41</vt:lpwstr>
  </property>
  <property fmtid="{D5CDD505-2E9C-101B-9397-08002B2CF9AE}" pid="3" name="KSOProductBuildVer">
    <vt:lpwstr>2052-6.8.2.8850</vt:lpwstr>
  </property>
</Properties>
</file>