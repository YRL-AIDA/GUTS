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1370" yWindow="860" windowWidth="19420" windowHeight="11020"/>
  </bookViews>
  <sheets>
    <sheet name="Avocado"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 i="1" l="1"/>
  <c r="E3" i="1"/>
  <c r="G3" i="1" l="1"/>
</calcChain>
</file>

<file path=xl/sharedStrings.xml><?xml version="1.0" encoding="utf-8"?>
<sst xmlns="http://schemas.openxmlformats.org/spreadsheetml/2006/main" count="11" uniqueCount="11">
  <si>
    <t>Form</t>
  </si>
  <si>
    <t xml:space="preserve"> per pound</t>
  </si>
  <si>
    <t>Preparation yield factor</t>
  </si>
  <si>
    <t xml:space="preserve">Size of a cup equivalent </t>
  </si>
  <si>
    <t>Average price per cup equivalent</t>
  </si>
  <si>
    <r>
      <t>Average retail price</t>
    </r>
    <r>
      <rPr>
        <vertAlign val="superscript"/>
        <sz val="12"/>
        <rFont val="Arial"/>
        <family val="2"/>
      </rPr>
      <t xml:space="preserve"> </t>
    </r>
  </si>
  <si>
    <r>
      <t>Fresh</t>
    </r>
    <r>
      <rPr>
        <vertAlign val="superscript"/>
        <sz val="12"/>
        <rFont val="Arial"/>
        <family val="2"/>
      </rPr>
      <t>1</t>
    </r>
  </si>
  <si>
    <t>Avocados—Average retail price per pound and per cup equivalent, 2022</t>
  </si>
  <si>
    <r>
      <rPr>
        <vertAlign val="superscript"/>
        <sz val="12"/>
        <rFont val="Arial"/>
        <family val="2"/>
      </rPr>
      <t>1</t>
    </r>
    <r>
      <rPr>
        <sz val="12"/>
        <rFont val="Arial"/>
        <family val="2"/>
      </rPr>
      <t>It is assumed that avocados are consumed raw. According to the USDA, Agricultural Research Service’s (ARS) Food and Nutrient Database for Dietary Studies (FNDDS), inedible skin and seed account for about 26 percent of the weight of a raw avocado, implying a preparation yield of about 74 percent.</t>
    </r>
  </si>
  <si>
    <t xml:space="preserve">Source: USDA, Economic Research Service (ERS) calculations from 2022 Circana (formerly Information Resources, Inc. (IRI)) OmniMarket Core Outlets (formerly InfoScan) data; and USDA, ARS, Food and Nutrient Database for Dietary Studies (FNDDS) 2015–16, Food Patterns Equivalents Database (FPED) 2017–18, and the FPED's accompanying Methodology and User Guide. </t>
  </si>
  <si>
    <t>Pounds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</si>
</sst>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000"/>
  </numFmts>
  <fonts count="7" x14ac:knownFonts="1">
    <font>
      <sz val="11"/>
      <color theme="1"/>
      <name val="Calibri"/>
      <family val="2"/>
      <scheme val="minor"/>
    </font>
    <font>
      <sz val="11"/>
      <color theme="1"/>
      <name val="Calibri"/>
      <family val="2"/>
      <scheme val="minor"/>
    </font>
    <font>
      <sz val="10"/>
      <name val="Arial"/>
      <family val="2"/>
    </font>
    <font>
      <b/>
      <sz val="12"/>
      <name val="Arial"/>
      <family val="2"/>
    </font>
    <font>
      <sz val="12"/>
      <color theme="1"/>
      <name val="Calibri"/>
      <family val="2"/>
      <scheme val="minor"/>
    </font>
    <font>
      <sz val="12"/>
      <name val="Arial"/>
      <family val="2"/>
    </font>
    <font>
      <vertAlign val="superscript"/>
      <sz val="12"/>
      <name val="Arial"/>
      <family val="2"/>
    </font>
  </fonts>
  <fills count="6">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style="thin">
        <color theme="1" tint="0.499984740745262"/>
      </top>
      <bottom style="thin">
        <color theme="1" tint="0.499984740745262"/>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theme="0" tint="-0.499984740745262"/>
      </left>
      <right style="thin">
        <color indexed="64"/>
      </right>
      <top style="double">
        <color indexed="64"/>
      </top>
      <bottom style="thin">
        <color theme="0"/>
      </bottom>
      <diagonal/>
    </border>
    <border>
      <left style="thin">
        <color indexed="64"/>
      </left>
      <right style="thin">
        <color theme="0" tint="-0.499984740745262"/>
      </right>
      <top style="double">
        <color indexed="64"/>
      </top>
      <bottom style="thin">
        <color theme="0"/>
      </bottom>
      <diagonal/>
    </border>
    <border>
      <left/>
      <right/>
      <top style="double">
        <color indexed="64"/>
      </top>
      <bottom style="thin">
        <color theme="0"/>
      </bottom>
      <diagonal/>
    </border>
    <border>
      <left style="thin">
        <color theme="0" tint="-0.499984740745262"/>
      </left>
      <right/>
      <top style="double">
        <color indexed="64"/>
      </top>
      <bottom style="thin">
        <color theme="0"/>
      </bottom>
      <diagonal/>
    </border>
    <border>
      <left/>
      <right/>
      <top/>
      <bottom style="double">
        <color indexed="64"/>
      </bottom>
      <diagonal/>
    </border>
    <border>
      <left style="thin">
        <color indexed="64"/>
      </left>
      <right style="thin">
        <color auto="1"/>
      </right>
      <top style="double">
        <color indexed="64"/>
      </top>
      <bottom style="thin">
        <color indexed="64"/>
      </bottom>
      <diagonal/>
    </border>
  </borders>
  <cellStyleXfs count="9">
    <xf numFmtId="0" fontId="0" fillId="0" borderId="0"/>
    <xf numFmtId="9" fontId="1" fillId="0" borderId="0" applyFont="0" applyFill="0" applyBorder="0" applyAlignment="0" applyProtection="0"/>
    <xf numFmtId="0" fontId="2" fillId="0" borderId="0"/>
    <xf numFmtId="0" fontId="2" fillId="0" borderId="0"/>
    <xf numFmtId="0" fontId="2" fillId="0" borderId="0"/>
    <xf numFmtId="0" fontId="2" fillId="2" borderId="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0" fontId="4" fillId="0" borderId="11" xfId="0" applyFont="1" applyBorder="1" applyAlignment="1">
      <alignment vertical="center"/>
    </xf>
    <xf numFmtId="0" fontId="4" fillId="0" borderId="0" xfId="0" applyFont="1"/>
    <xf numFmtId="164" fontId="5" fillId="0" borderId="4" xfId="2" applyNumberFormat="1" applyFont="1" applyBorder="1" applyAlignment="1">
      <alignment horizontal="center" vertical="center"/>
    </xf>
    <xf numFmtId="0" fontId="5" fillId="0" borderId="4" xfId="2" applyFont="1" applyBorder="1" applyAlignment="1">
      <alignment horizontal="center" vertical="center"/>
    </xf>
    <xf numFmtId="165" fontId="5" fillId="0" borderId="5" xfId="1" applyNumberFormat="1" applyFont="1" applyFill="1" applyBorder="1" applyAlignment="1">
      <alignment horizontal="center" vertical="center"/>
    </xf>
    <xf numFmtId="165" fontId="5" fillId="0" borderId="4" xfId="2" applyNumberFormat="1" applyFont="1" applyBorder="1" applyAlignment="1">
      <alignment horizontal="center" vertical="center"/>
    </xf>
    <xf numFmtId="164" fontId="5" fillId="0" borderId="3" xfId="2" applyNumberFormat="1" applyFont="1" applyBorder="1" applyAlignment="1">
      <alignment horizontal="center" vertical="center"/>
    </xf>
    <xf numFmtId="2" fontId="5" fillId="0" borderId="0" xfId="0" applyNumberFormat="1" applyFont="1"/>
    <xf numFmtId="2" fontId="5" fillId="0" borderId="2" xfId="0" applyNumberFormat="1" applyFont="1" applyBorder="1"/>
    <xf numFmtId="0" fontId="3" fillId="4" borderId="11" xfId="2" applyFont="1" applyFill="1" applyBorder="1" applyAlignment="1">
      <alignment vertical="center"/>
    </xf>
    <xf numFmtId="2" fontId="5" fillId="4" borderId="0" xfId="0" applyNumberFormat="1" applyFont="1" applyFill="1"/>
    <xf numFmtId="2" fontId="5" fillId="4" borderId="2" xfId="0" applyNumberFormat="1" applyFont="1" applyFill="1" applyBorder="1"/>
    <xf numFmtId="0" fontId="5" fillId="3" borderId="10" xfId="0" applyFont="1" applyFill="1" applyBorder="1" applyAlignment="1">
      <alignment vertical="center" wrapText="1"/>
    </xf>
    <xf numFmtId="2" fontId="5" fillId="3" borderId="8" xfId="0" applyNumberFormat="1" applyFont="1" applyFill="1" applyBorder="1" applyAlignment="1">
      <alignment horizontal="centerContinuous" vertical="center" wrapText="1"/>
    </xf>
    <xf numFmtId="2" fontId="5" fillId="3" borderId="7" xfId="0" applyNumberFormat="1" applyFont="1" applyFill="1" applyBorder="1" applyAlignment="1">
      <alignment horizontal="centerContinuous" vertical="center" wrapText="1"/>
    </xf>
    <xf numFmtId="9" fontId="5" fillId="3" borderId="9" xfId="1" applyFont="1" applyFill="1" applyBorder="1" applyAlignment="1">
      <alignment horizontal="center" vertical="center" wrapText="1"/>
    </xf>
    <xf numFmtId="2" fontId="5" fillId="3" borderId="7" xfId="0" applyNumberFormat="1" applyFont="1" applyFill="1" applyBorder="1" applyAlignment="1">
      <alignment horizontal="centerContinuous" vertical="center"/>
    </xf>
    <xf numFmtId="0" fontId="5" fillId="3" borderId="12" xfId="0" applyFont="1" applyFill="1" applyBorder="1" applyAlignment="1">
      <alignment horizontal="center" vertical="center" wrapText="1"/>
    </xf>
    <xf numFmtId="0" fontId="5" fillId="5" borderId="6" xfId="2" applyFont="1" applyFill="1" applyBorder="1" applyAlignment="1">
      <alignment vertical="center"/>
    </xf>
  </cellXfs>
  <cellStyles count="9">
    <cellStyle name="Normal 2" xfId="2"/>
    <cellStyle name="Normal 4" xfId="3"/>
    <cellStyle name="Normal 5" xfId="4"/>
    <cellStyle name="Note 3" xfId="5"/>
    <cellStyle name="Percent 3" xfId="6"/>
    <cellStyle name="Percent 4" xfId="7"/>
    <cellStyle name="Percent 5" xfId="8"/>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tabSelected="1" workbookViewId="0">
      <selection activeCell="B1" sqref="B1"/>
    </sheetView>
  </sheetViews>
  <sheetFormatPr defaultColWidth="9.1796875" defaultRowHeight="15.5" x14ac:dyDescent="0.35"/>
  <cols>
    <col min="1" max="1" width="9.81640625" style="2" customWidth="1"/>
    <col min="2" max="2" width="10.26953125" style="2" customWidth="1"/>
    <col min="3" max="3" width="11.81640625" style="2" bestFit="1" customWidth="1"/>
    <col min="4" max="4" width="13" style="2" bestFit="1" customWidth="1"/>
    <col min="5" max="5" width="8.81640625" style="2" customWidth="1"/>
    <col min="6" max="6" width="8.81640625" style="2" bestFit="1" customWidth="1"/>
    <col min="7" max="7" width="19.453125" style="2" bestFit="1" customWidth="1"/>
    <col min="8" max="16384" width="9.1796875" style="2"/>
  </cols>
  <sheetData>
    <row r="1" spans="1:7" ht="16" thickBot="1" x14ac:dyDescent="0.4">
      <c r="A1" s="10" t="s">
        <v>7</v>
      </c>
      <c r="B1" s="1"/>
      <c r="C1" s="1"/>
      <c r="D1" s="1"/>
      <c r="E1" s="1"/>
      <c r="F1" s="1"/>
      <c r="G1" s="1"/>
    </row>
    <row r="2" spans="1:7" ht="31.5" thickTop="1" x14ac:dyDescent="0.35">
      <c r="A2" s="13" t="s">
        <v>0</v>
      </c>
      <c r="B2" s="14" t="s">
        <v>5</v>
      </c>
      <c r="C2" s="15"/>
      <c r="D2" s="16" t="s">
        <v>2</v>
      </c>
      <c r="E2" s="14" t="s">
        <v>3</v>
      </c>
      <c r="F2" s="17"/>
      <c r="G2" s="18" t="s">
        <v>4</v>
      </c>
    </row>
    <row r="3" spans="1:7" ht="19" thickBot="1" x14ac:dyDescent="0.4">
      <c r="A3" s="19" t="s">
        <v>6</v>
      </c>
      <c r="B3" s="3">
        <v>2.6737410763644802</v>
      </c>
      <c r="C3" s="4" t="s">
        <v>1</v>
      </c>
      <c r="D3" s="5">
        <f>21/(453.59237/16)</f>
        <v>0.74075320094118868</v>
      </c>
      <c r="E3" s="6">
        <f>145/453.59237</f>
        <v>0.31967028016807247</v>
      </c>
      <c r="F3" s="4" t="s">
        <v>10</v>
      </c>
      <c r="G3" s="7">
        <f>B3*E3/D3</f>
        <v>1.1538465954549095</v>
      </c>
    </row>
    <row r="4" spans="1:7" ht="19" thickTop="1" x14ac:dyDescent="0.35">
      <c r="A4" s="11" t="s">
        <v>8</v>
      </c>
      <c r="B4" s="8"/>
      <c r="C4" s="8"/>
      <c r="D4" s="8"/>
      <c r="E4" s="8"/>
      <c r="F4" s="8"/>
      <c r="G4" s="8"/>
    </row>
    <row r="5" spans="1:7" x14ac:dyDescent="0.35">
      <c r="A5" s="12" t="s">
        <v>9</v>
      </c>
      <c r="B5" s="9"/>
      <c r="C5" s="9"/>
      <c r="D5" s="9"/>
      <c r="E5" s="9"/>
      <c r="F5" s="9"/>
      <c r="G5"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Avocado</vt:lpstr>
    </vt:vector>
  </TitlesOfParts>
  <Manager/>
  <Company>USDA, Economic Research Service</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Avocados—Average retail price per pound and per cup equivalent</dc:title>
  <dc:subject>Agricultural Economics</dc:subject>
  <dc:creator>Hayden Stewart; Jeffrey Hyman</dc:creator>
  <cp:keywords>fruit and vegetable prices, retail prices, costs to consume, costs per edible cup equivalent, avocados</cp:keywords>
  <dc:description>Excel table showing average price per cup equivalent for avocados in 2022.</dc:description>
  <cp:lastModifiedBy>Alexander Yurin</cp:lastModifiedBy>
  <cp:revision/>
  <dcterms:created xsi:type="dcterms:W3CDTF">2015-03-10T22:31:12Z</dcterms:created>
  <dcterms:modified xsi:type="dcterms:W3CDTF">2025-11-26T04:21:57Z</dcterms:modified>
  <cp:category/>
  <cp:contentStatus/>
</cp:coreProperties>
</file>