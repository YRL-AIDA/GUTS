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2"/>
  <workbookPr defaultThemeVersion="124226"/>
  <bookViews>
    <workbookView xWindow="0" yWindow="0" windowWidth="19420" windowHeight="9010"/>
  </bookViews>
  <sheets>
    <sheet name="ECF Report" sheetId="4" r:id="rId1"/>
  </sheets>
  <calcPr calcId="179021"/>
</workbook>
</file>

<file path=xl/calcChain.xml><?xml version="1.0" encoding="utf-8"?>
<calcChain xmlns="http://schemas.openxmlformats.org/spreadsheetml/2006/main">
  <c r="E22" i="4" l="1"/>
  <c r="D22" i="4"/>
  <c r="C22" i="4"/>
</calcChain>
</file>

<file path=xl/sharedStrings.xml><?xml version="1.0" encoding="utf-8"?>
<sst xmlns="http://schemas.openxmlformats.org/spreadsheetml/2006/main" count="26" uniqueCount="17">
  <si>
    <t>Calendar Year</t>
  </si>
  <si>
    <t>Public Service Loan Forgiveness Employment Certification Forms (ECFs)</t>
  </si>
  <si>
    <t>Total Approved ECFs</t>
  </si>
  <si>
    <t xml:space="preserve">Cumulative PSLF Borrowers </t>
  </si>
  <si>
    <t>TOTAL</t>
  </si>
  <si>
    <t>Notes:</t>
  </si>
  <si>
    <t>Q1</t>
  </si>
  <si>
    <t>Q2</t>
  </si>
  <si>
    <t>Q3</t>
  </si>
  <si>
    <t>Q4</t>
  </si>
  <si>
    <t>Total Denied ECFs</t>
  </si>
  <si>
    <t xml:space="preserve">Borrowers are encouraged, but not required, to submit an ECF annually or whenever they change jobs to help track their progress toward meeting the PSLF eligibility requirements. Some borrowers may choose to wait until they are eligible for forgiveness before submitting documentation about their employment. </t>
  </si>
  <si>
    <t>This report includes information only about those borrowers who have self-identified themselves as interested in PSLF based on their submission of an ECF.</t>
  </si>
  <si>
    <t>Cumulative PSLF borrowers are borrowers who have one or more approved ECFs.</t>
  </si>
  <si>
    <t>Source: FedLoan Servicing</t>
  </si>
  <si>
    <r>
      <t>Although no borrower will be eligible for forgiveness under this program until October 2017, the Department introduced a</t>
    </r>
    <r>
      <rPr>
        <b/>
        <sz val="11"/>
        <color indexed="8"/>
        <rFont val="Calibri"/>
        <family val="2"/>
      </rPr>
      <t xml:space="preserve"> voluntary</t>
    </r>
    <r>
      <rPr>
        <sz val="11"/>
        <color theme="1"/>
        <rFont val="Calibri"/>
        <family val="2"/>
        <scheme val="minor"/>
      </rPr>
      <t xml:space="preserve"> Employment Certification Form in January 2012 to help borrowers track their progress toward meeting PSLF requirements.</t>
    </r>
  </si>
  <si>
    <t>Through March 31, 2018</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</si>
</sst>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_(* \(#,##0.00\);_(* &quot;-&quot;??_);_(@_)"/>
    <numFmt numFmtId="165" formatCode="_(* #,##0_);_(* \(#,##0\);_(* &quot;-&quot;??_);_(@_)"/>
    <numFmt numFmtId="166" formatCode="_(* #,##0.00000_);_(* \(#,##0.00000\);_(* &quot;-&quot;??_);_(@_)"/>
  </numFmts>
  <fonts count="9">
    <font>
      <sz val="11"/>
      <color theme="1"/>
      <name val="Calibri"/>
      <family val="2"/>
      <scheme val="minor"/>
    </font>
    <font>
      <b/>
      <sz val="11"/>
      <color indexed="8"/>
      <name val="Calibri"/>
      <family val="2"/>
    </font>
    <font>
      <sz val="11"/>
      <color theme="1"/>
      <name val="Calibri"/>
      <family val="2"/>
      <scheme val="minor"/>
    </font>
    <font>
      <b/>
      <sz val="11"/>
      <color theme="0"/>
      <name val="Calibri"/>
      <family val="2"/>
      <scheme val="minor"/>
    </font>
    <font>
      <b/>
      <sz val="11"/>
      <color theme="1"/>
      <name val="Calibri"/>
      <family val="2"/>
      <scheme val="minor"/>
    </font>
    <font>
      <sz val="11"/>
      <name val="Calibri"/>
      <family val="2"/>
      <scheme val="minor"/>
    </font>
    <font>
      <sz val="11"/>
      <color rgb="FF000000"/>
      <name val="Calibri"/>
      <family val="2"/>
      <scheme val="minor"/>
    </font>
    <font>
      <i/>
      <sz val="11"/>
      <color theme="1"/>
      <name val="Calibri"/>
      <family val="2"/>
      <scheme val="minor"/>
    </font>
    <font>
      <sz val="9"/>
      <name val="Calibri"/>
      <family val="3"/>
      <charset val="134"/>
      <scheme val="minor"/>
    </font>
  </fonts>
  <fills count="5">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00B05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s>
  <cellStyleXfs count="2">
    <xf numFmtId="0" fontId="0" fillId="0" borderId="0"/>
    <xf numFmtId="164" fontId="2" fillId="0" borderId="0" applyFont="0" applyFill="0" applyBorder="0" applyAlignment="0" applyProtection="0"/>
  </cellStyleXfs>
  <cellXfs count="35">
    <xf numFmtId="0" fontId="0" fillId="0" borderId="0" xfId="0"/>
    <xf numFmtId="0" fontId="4" fillId="0" borderId="0" xfId="0" applyFont="1" applyAlignment="1">
      <alignment horizontal="center"/>
    </xf>
    <xf numFmtId="164" fontId="0" fillId="0" borderId="0" xfId="0" applyNumberFormat="1"/>
    <xf numFmtId="165" fontId="2" fillId="0" borderId="1" xfId="1" applyNumberFormat="1" applyFont="1" applyBorder="1" applyAlignment="1">
      <alignment horizontal="center" vertical="center"/>
    </xf>
    <xf numFmtId="165" fontId="2" fillId="0" borderId="1" xfId="1" applyNumberFormat="1" applyFont="1" applyBorder="1" applyAlignment="1">
      <alignment horizontal="center" vertical="center" wrapText="1"/>
    </xf>
    <xf numFmtId="0" fontId="5" fillId="0" borderId="0" xfId="0" applyFont="1" applyAlignment="1">
      <alignment horizontal="left" vertical="center" wrapText="1"/>
    </xf>
    <xf numFmtId="0" fontId="4" fillId="0" borderId="0" xfId="0" applyFont="1" applyAlignment="1">
      <alignment horizontal="center"/>
    </xf>
    <xf numFmtId="0" fontId="0" fillId="0" borderId="0" xfId="0" applyFont="1" applyAlignment="1">
      <alignment horizontal="center"/>
    </xf>
    <xf numFmtId="165" fontId="0" fillId="0" borderId="0" xfId="0" applyNumberFormat="1"/>
    <xf numFmtId="3" fontId="6" fillId="0" borderId="1" xfId="0" applyNumberFormat="1" applyFont="1" applyBorder="1"/>
    <xf numFmtId="166" fontId="0" fillId="0" borderId="0" xfId="0" applyNumberFormat="1"/>
    <xf numFmtId="0" fontId="4" fillId="2" borderId="0" xfId="0" applyFont="1" applyFill="1" applyAlignment="1">
      <alignment horizontal="center"/>
    </xf>
    <xf numFmtId="0" fontId="7" fillId="2" borderId="0" xfId="0" applyFont="1" applyFill="1" applyAlignment="1">
      <alignment horizontal="center"/>
    </xf>
    <xf numFmtId="0" fontId="0" fillId="2" borderId="0" xfId="0" applyFont="1" applyFill="1" applyAlignment="1">
      <alignment horizontal="center"/>
    </xf>
    <xf numFmtId="0" fontId="0" fillId="2" borderId="0" xfId="0" applyFill="1"/>
    <xf numFmtId="0" fontId="0" fillId="2" borderId="0" xfId="0" applyFill="1" applyAlignment="1">
      <alignment wrapText="1"/>
    </xf>
    <xf numFmtId="0" fontId="0" fillId="2" borderId="0" xfId="0" applyFill="1" applyAlignment="1">
      <alignment vertical="center" wrapText="1"/>
    </xf>
    <xf numFmtId="0" fontId="5" fillId="2" borderId="0" xfId="0" applyFont="1" applyFill="1" applyAlignment="1">
      <alignment horizontal="left" vertical="center" wrapText="1"/>
    </xf>
    <xf numFmtId="165" fontId="4" fillId="3" borderId="3" xfId="1" applyNumberFormat="1" applyFont="1" applyFill="1" applyBorder="1" applyAlignment="1">
      <alignment horizontal="center" vertical="center" wrapText="1"/>
    </xf>
    <xf numFmtId="165" fontId="4" fillId="3" borderId="4" xfId="1" applyNumberFormat="1" applyFont="1" applyFill="1" applyBorder="1" applyAlignment="1">
      <alignment horizontal="center" vertical="center" wrapText="1"/>
    </xf>
    <xf numFmtId="165" fontId="4" fillId="3" borderId="1" xfId="1" applyNumberFormat="1" applyFont="1" applyFill="1" applyBorder="1" applyAlignment="1">
      <alignment horizontal="center" vertical="center" wrapText="1"/>
    </xf>
    <xf numFmtId="0" fontId="2" fillId="4" borderId="3" xfId="1" applyNumberFormat="1" applyFont="1" applyFill="1" applyBorder="1" applyAlignment="1">
      <alignment horizontal="center" vertical="center"/>
    </xf>
    <xf numFmtId="0" fontId="2" fillId="4" borderId="4" xfId="1" applyNumberFormat="1" applyFont="1" applyFill="1" applyBorder="1" applyAlignment="1">
      <alignment horizontal="center" vertical="center"/>
    </xf>
    <xf numFmtId="0" fontId="2" fillId="4" borderId="5" xfId="1" applyNumberFormat="1" applyFont="1" applyFill="1" applyBorder="1" applyAlignment="1">
      <alignment horizontal="center" vertical="center"/>
    </xf>
    <xf numFmtId="165" fontId="2" fillId="4" borderId="1" xfId="1" applyNumberFormat="1" applyFont="1" applyFill="1" applyBorder="1" applyAlignment="1">
      <alignment horizontal="center" vertical="center"/>
    </xf>
    <xf numFmtId="0" fontId="2" fillId="4" borderId="6" xfId="1" applyNumberFormat="1" applyFont="1" applyFill="1" applyBorder="1" applyAlignment="1">
      <alignment horizontal="center" vertical="center"/>
    </xf>
    <xf numFmtId="0" fontId="2" fillId="4" borderId="7" xfId="1" applyNumberFormat="1" applyFont="1" applyFill="1" applyBorder="1" applyAlignment="1">
      <alignment horizontal="center" vertical="center"/>
    </xf>
    <xf numFmtId="0" fontId="0" fillId="4" borderId="8" xfId="0" applyFill="1" applyBorder="1" applyAlignment="1">
      <alignment horizontal="center" vertical="center"/>
    </xf>
    <xf numFmtId="0" fontId="0" fillId="4" borderId="1" xfId="0" applyFill="1" applyBorder="1" applyAlignment="1">
      <alignment horizontal="center"/>
    </xf>
    <xf numFmtId="0" fontId="0" fillId="4" borderId="9" xfId="0" applyFill="1" applyBorder="1" applyAlignment="1">
      <alignment horizontal="center" vertical="center"/>
    </xf>
    <xf numFmtId="0" fontId="0" fillId="4" borderId="2" xfId="0" applyFill="1" applyBorder="1" applyAlignment="1">
      <alignment horizontal="center" vertical="center"/>
    </xf>
    <xf numFmtId="0" fontId="0" fillId="4" borderId="2" xfId="0" applyFill="1" applyBorder="1" applyAlignment="1">
      <alignment horizontal="center" vertical="center"/>
    </xf>
    <xf numFmtId="0" fontId="3" fillId="4" borderId="3" xfId="0" applyFont="1" applyFill="1" applyBorder="1" applyAlignment="1">
      <alignment horizontal="center"/>
    </xf>
    <xf numFmtId="0" fontId="5" fillId="4" borderId="4" xfId="0" applyFont="1" applyFill="1" applyBorder="1" applyAlignment="1">
      <alignment horizontal="center"/>
    </xf>
    <xf numFmtId="165" fontId="3" fillId="0" borderId="1" xfId="1" applyNumberFormat="1" applyFont="1" applyFill="1" applyBorder="1" applyAlignment="1">
      <alignment horizontal="center" vertical="center"/>
    </xf>
  </cellXfs>
  <cellStyles count="2">
    <cellStyle name="Обычный" xfId="0" builtinId="0"/>
    <cellStyle name="Финансовый"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Views>
    <sheetView tabSelected="1" workbookViewId="0">
      <selection activeCell="G19" sqref="G19"/>
    </sheetView>
  </sheetViews>
  <sheetFormatPr defaultRowHeight="14.5"/>
  <cols>
    <col min="1" max="1" width="11.453125" customWidth="1"/>
    <col min="2" max="2" width="5.6328125" customWidth="1"/>
    <col min="3" max="5" width="21.453125" customWidth="1"/>
    <col min="6" max="7" width="14.36328125" customWidth="1"/>
  </cols>
  <sheetData>
    <row r="1" spans="1:9">
      <c r="A1" s="11" t="s">
        <v>1</v>
      </c>
      <c r="B1" s="11"/>
      <c r="C1" s="11"/>
      <c r="D1" s="11"/>
      <c r="E1" s="11"/>
      <c r="F1" s="6"/>
      <c r="G1" s="6"/>
      <c r="H1" s="1"/>
      <c r="I1" s="1"/>
    </row>
    <row r="2" spans="1:9">
      <c r="A2" s="12" t="s">
        <v>14</v>
      </c>
      <c r="B2" s="13"/>
      <c r="C2" s="13"/>
      <c r="D2" s="13"/>
      <c r="E2" s="13"/>
      <c r="F2" s="6"/>
      <c r="G2" s="6"/>
      <c r="H2" s="6"/>
      <c r="I2" s="6"/>
    </row>
    <row r="3" spans="1:9">
      <c r="A3" s="13" t="s">
        <v>16</v>
      </c>
      <c r="B3" s="13"/>
      <c r="C3" s="13"/>
      <c r="D3" s="13"/>
      <c r="E3" s="13"/>
      <c r="F3" s="7"/>
      <c r="G3" s="6"/>
      <c r="H3" s="1"/>
      <c r="I3" s="1"/>
    </row>
    <row r="5" spans="1:9" ht="29">
      <c r="A5" s="18" t="s">
        <v>0</v>
      </c>
      <c r="B5" s="19"/>
      <c r="C5" s="20" t="s">
        <v>2</v>
      </c>
      <c r="D5" s="20" t="s">
        <v>10</v>
      </c>
      <c r="E5" s="20" t="s">
        <v>3</v>
      </c>
    </row>
    <row r="6" spans="1:9">
      <c r="A6" s="21">
        <v>2012</v>
      </c>
      <c r="B6" s="22"/>
      <c r="C6" s="3">
        <v>28788</v>
      </c>
      <c r="D6" s="3">
        <v>14643</v>
      </c>
      <c r="E6" s="3">
        <v>25683</v>
      </c>
      <c r="G6" s="2"/>
    </row>
    <row r="7" spans="1:9">
      <c r="A7" s="21">
        <v>2013</v>
      </c>
      <c r="B7" s="22"/>
      <c r="C7" s="3">
        <v>71083</v>
      </c>
      <c r="D7" s="3">
        <v>27510</v>
      </c>
      <c r="E7" s="3">
        <v>82995</v>
      </c>
      <c r="G7" s="2"/>
    </row>
    <row r="8" spans="1:9">
      <c r="A8" s="21">
        <v>2014</v>
      </c>
      <c r="B8" s="22"/>
      <c r="C8" s="3">
        <v>147172</v>
      </c>
      <c r="D8" s="3">
        <v>58963</v>
      </c>
      <c r="E8" s="3">
        <v>191432</v>
      </c>
      <c r="G8" s="2"/>
    </row>
    <row r="9" spans="1:9">
      <c r="A9" s="23">
        <v>2015</v>
      </c>
      <c r="B9" s="24" t="s">
        <v>6</v>
      </c>
      <c r="C9" s="3">
        <v>44202</v>
      </c>
      <c r="D9" s="3">
        <v>19014</v>
      </c>
      <c r="E9" s="3">
        <v>222387</v>
      </c>
      <c r="G9" s="2"/>
    </row>
    <row r="10" spans="1:9">
      <c r="A10" s="25"/>
      <c r="B10" s="24" t="s">
        <v>7</v>
      </c>
      <c r="C10" s="3">
        <v>50710</v>
      </c>
      <c r="D10" s="3">
        <v>27260</v>
      </c>
      <c r="E10" s="3">
        <v>265724</v>
      </c>
      <c r="G10" s="2"/>
    </row>
    <row r="11" spans="1:9">
      <c r="A11" s="25"/>
      <c r="B11" s="24" t="s">
        <v>8</v>
      </c>
      <c r="C11" s="3">
        <v>59247</v>
      </c>
      <c r="D11" s="3">
        <v>34907</v>
      </c>
      <c r="E11" s="3">
        <v>294546</v>
      </c>
      <c r="G11" s="2"/>
    </row>
    <row r="12" spans="1:9">
      <c r="A12" s="26"/>
      <c r="B12" s="24" t="s">
        <v>9</v>
      </c>
      <c r="C12" s="3">
        <v>64151</v>
      </c>
      <c r="D12" s="3">
        <v>39298</v>
      </c>
      <c r="E12" s="3">
        <v>334708</v>
      </c>
      <c r="G12" s="2"/>
    </row>
    <row r="13" spans="1:9">
      <c r="A13" s="27">
        <v>2016</v>
      </c>
      <c r="B13" s="28" t="s">
        <v>6</v>
      </c>
      <c r="C13" s="3">
        <v>75761</v>
      </c>
      <c r="D13" s="3">
        <v>47426</v>
      </c>
      <c r="E13" s="3">
        <v>378839</v>
      </c>
      <c r="G13" s="2"/>
    </row>
    <row r="14" spans="1:9">
      <c r="A14" s="29"/>
      <c r="B14" s="28" t="s">
        <v>7</v>
      </c>
      <c r="C14" s="3">
        <v>91938</v>
      </c>
      <c r="D14" s="3">
        <v>47049</v>
      </c>
      <c r="E14" s="4">
        <v>431853</v>
      </c>
      <c r="G14" s="2"/>
    </row>
    <row r="15" spans="1:9">
      <c r="A15" s="29"/>
      <c r="B15" s="28" t="s">
        <v>8</v>
      </c>
      <c r="C15" s="3">
        <v>107820</v>
      </c>
      <c r="D15" s="3">
        <v>56352</v>
      </c>
      <c r="E15" s="4">
        <v>494200</v>
      </c>
      <c r="G15" s="2"/>
    </row>
    <row r="16" spans="1:9">
      <c r="A16" s="30"/>
      <c r="B16" s="28" t="s">
        <v>9</v>
      </c>
      <c r="C16" s="3">
        <v>106850</v>
      </c>
      <c r="D16" s="3">
        <v>56062</v>
      </c>
      <c r="E16" s="9">
        <v>552931</v>
      </c>
      <c r="G16" s="2"/>
    </row>
    <row r="17" spans="1:7">
      <c r="A17" s="27">
        <v>2017</v>
      </c>
      <c r="B17" s="28" t="s">
        <v>6</v>
      </c>
      <c r="C17" s="3">
        <v>116488</v>
      </c>
      <c r="D17" s="3">
        <v>63559</v>
      </c>
      <c r="E17" s="9">
        <v>611598</v>
      </c>
      <c r="G17" s="2"/>
    </row>
    <row r="18" spans="1:7">
      <c r="A18" s="29"/>
      <c r="B18" s="28" t="s">
        <v>7</v>
      </c>
      <c r="C18" s="3">
        <v>121922</v>
      </c>
      <c r="D18" s="3">
        <v>62789</v>
      </c>
      <c r="E18" s="9">
        <v>669426</v>
      </c>
      <c r="G18" s="2"/>
    </row>
    <row r="19" spans="1:7">
      <c r="A19" s="29"/>
      <c r="B19" s="28" t="s">
        <v>8</v>
      </c>
      <c r="C19" s="3">
        <v>144809</v>
      </c>
      <c r="D19" s="3">
        <v>78615</v>
      </c>
      <c r="E19" s="9">
        <v>739719</v>
      </c>
      <c r="G19" s="2"/>
    </row>
    <row r="20" spans="1:7">
      <c r="A20" s="30"/>
      <c r="B20" s="28" t="s">
        <v>9</v>
      </c>
      <c r="C20" s="3">
        <v>130243</v>
      </c>
      <c r="D20" s="3">
        <v>71915</v>
      </c>
      <c r="E20" s="9">
        <v>802040</v>
      </c>
      <c r="G20" s="2"/>
    </row>
    <row r="21" spans="1:7">
      <c r="A21" s="31">
        <v>2018</v>
      </c>
      <c r="B21" s="28" t="s">
        <v>6</v>
      </c>
      <c r="C21" s="3">
        <v>169513</v>
      </c>
      <c r="D21" s="3">
        <v>71518</v>
      </c>
      <c r="E21" s="9">
        <v>874379</v>
      </c>
      <c r="G21" s="2"/>
    </row>
    <row r="22" spans="1:7">
      <c r="A22" s="32" t="s">
        <v>4</v>
      </c>
      <c r="B22" s="33"/>
      <c r="C22" s="34">
        <f>SUM(C6:C21)</f>
        <v>1530697</v>
      </c>
      <c r="D22" s="34">
        <f>SUM(D6:D21)</f>
        <v>776880</v>
      </c>
      <c r="E22" s="34">
        <f>E21</f>
        <v>874379</v>
      </c>
      <c r="G22" s="2"/>
    </row>
    <row r="23" spans="1:7">
      <c r="G23" s="10"/>
    </row>
    <row r="24" spans="1:7">
      <c r="A24" s="14" t="s">
        <v>5</v>
      </c>
      <c r="D24" s="2"/>
    </row>
    <row r="25" spans="1:7" ht="30" customHeight="1">
      <c r="A25" s="15" t="s">
        <v>12</v>
      </c>
      <c r="B25" s="15"/>
      <c r="C25" s="15"/>
      <c r="D25" s="15"/>
      <c r="E25" s="15"/>
    </row>
    <row r="26" spans="1:7" ht="44.25" customHeight="1">
      <c r="A26" s="16" t="s">
        <v>15</v>
      </c>
      <c r="B26" s="16"/>
      <c r="C26" s="16"/>
      <c r="D26" s="16"/>
      <c r="E26" s="16"/>
    </row>
    <row r="27" spans="1:7" ht="60" customHeight="1">
      <c r="A27" s="17" t="s">
        <v>11</v>
      </c>
      <c r="B27" s="17"/>
      <c r="C27" s="17"/>
      <c r="D27" s="17"/>
      <c r="E27" s="17"/>
      <c r="F27" s="5"/>
      <c r="G27" s="5"/>
    </row>
    <row r="28" spans="1:7">
      <c r="A28" s="15" t="s">
        <v>13</v>
      </c>
      <c r="B28" s="15"/>
      <c r="C28" s="15"/>
      <c r="D28" s="15"/>
      <c r="E28" s="15"/>
    </row>
    <row r="29" spans="1:7">
      <c r="C29" s="2"/>
    </row>
    <row r="31" spans="1:7">
      <c r="C31" s="8"/>
    </row>
  </sheetData>
  <mergeCells count="15">
    <mergeCell ref="A1:E1"/>
    <mergeCell ref="A3:E3"/>
    <mergeCell ref="A2:E2"/>
    <mergeCell ref="A22:B22"/>
    <mergeCell ref="A9:A12"/>
    <mergeCell ref="A27:E27"/>
    <mergeCell ref="A26:E26"/>
    <mergeCell ref="A25:E25"/>
    <mergeCell ref="A28:E28"/>
    <mergeCell ref="A17:A20"/>
    <mergeCell ref="A13:A16"/>
    <mergeCell ref="A6:B6"/>
    <mergeCell ref="A7:B7"/>
    <mergeCell ref="A8:B8"/>
    <mergeCell ref="A5:B5"/>
  </mergeCells>
  <phoneticPr fontId="8" type="noConversion"/>
  <pageMargins left="0.7" right="0.7" top="0.75" bottom="0.75" header="0.3" footer="0.3"/>
  <pageSetup orientation="portrait" horizontalDpi="4294967294" verticalDpi="4294967294"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ECF Report</vt:lpstr>
    </vt:vector>
  </TitlesOfParts>
  <Company>U.S.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 Foss</dc:creator>
  <cp:lastModifiedBy>Alexander Yurin</cp:lastModifiedBy>
  <cp:lastPrinted>2018-01-23T18:09:20Z</cp:lastPrinted>
  <dcterms:created xsi:type="dcterms:W3CDTF">2015-08-07T12:56:17Z</dcterms:created>
  <dcterms:modified xsi:type="dcterms:W3CDTF">2025-11-26T04:29:02Z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