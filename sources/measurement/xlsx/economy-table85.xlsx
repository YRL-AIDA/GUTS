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826CEC18-38F2-4B20-B03D-CD1078B0ABCF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Avocado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" i="1" l="1"/>
  <c r="E3" i="1"/>
  <c r="G3" i="1" l="1"/>
</calcChain>
</file>

<file path=xl/sharedStrings.xml><?xml version="1.0" encoding="utf-8"?>
<sst xmlns="http://schemas.openxmlformats.org/spreadsheetml/2006/main" count="9" uniqueCount="9">
  <si>
    <t>Form</t>
  </si>
  <si>
    <t xml:space="preserve"> per pound</t>
  </si>
  <si>
    <t>Preparation yield factor</t>
  </si>
  <si>
    <t xml:space="preserve">Size of a cup equivalent </t>
  </si>
  <si>
    <t>Average price per cup equivalent</t>
  </si>
  <si>
    <r>
      <t>Average retail price</t>
    </r>
    <r>
      <rPr>
        <vertAlign val="superscript"/>
        <sz val="12"/>
        <rFont val="Arial"/>
        <family val="2"/>
      </rPr>
      <t xml:space="preserve"> </t>
    </r>
  </si>
  <si>
    <r>
      <t>Fresh</t>
    </r>
    <r>
      <rPr>
        <vertAlign val="superscript"/>
        <sz val="12"/>
        <rFont val="Arial"/>
        <family val="2"/>
      </rPr>
      <t>1</t>
    </r>
  </si>
  <si>
    <t>Avocados—Average retail price per pound and per cup equivalent, 2022</t>
  </si>
  <si>
    <t>Pounds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</si>
</sst>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2"/>
      <color theme="1"/>
      <name val="Calibri"/>
      <family val="2"/>
      <scheme val="minor"/>
    </font>
    <font>
      <sz val="12"/>
      <name val="Arial"/>
      <family val="2"/>
    </font>
    <font>
      <vertAlign val="superscript"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theme="0" tint="-0.499984740745262"/>
      </left>
      <right style="thin">
        <color indexed="64"/>
      </right>
      <top style="double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 tint="-0.499984740745262"/>
      </right>
      <top style="double">
        <color indexed="64"/>
      </top>
      <bottom style="thin">
        <color theme="0"/>
      </bottom>
      <diagonal/>
    </border>
    <border>
      <left/>
      <right/>
      <top style="double">
        <color indexed="64"/>
      </top>
      <bottom style="thin">
        <color theme="0"/>
      </bottom>
      <diagonal/>
    </border>
    <border>
      <left style="thin">
        <color theme="0" tint="-0.499984740745262"/>
      </left>
      <right/>
      <top style="double">
        <color indexed="64"/>
      </top>
      <bottom style="thin">
        <color theme="0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2" borderId="1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4" fillId="0" borderId="10" xfId="0" applyFont="1" applyBorder="1" applyAlignment="1">
      <alignment vertical="center"/>
    </xf>
    <xf numFmtId="0" fontId="4" fillId="0" borderId="0" xfId="0" applyFont="1"/>
    <xf numFmtId="164" fontId="5" fillId="0" borderId="3" xfId="2" applyNumberFormat="1" applyFont="1" applyBorder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165" fontId="5" fillId="0" borderId="4" xfId="1" applyNumberFormat="1" applyFont="1" applyFill="1" applyBorder="1" applyAlignment="1">
      <alignment horizontal="center" vertical="center"/>
    </xf>
    <xf numFmtId="165" fontId="5" fillId="0" borderId="3" xfId="2" applyNumberFormat="1" applyFont="1" applyBorder="1" applyAlignment="1">
      <alignment horizontal="center" vertical="center"/>
    </xf>
    <xf numFmtId="164" fontId="5" fillId="0" borderId="2" xfId="2" applyNumberFormat="1" applyFont="1" applyBorder="1" applyAlignment="1">
      <alignment horizontal="center" vertical="center"/>
    </xf>
    <xf numFmtId="0" fontId="3" fillId="3" borderId="10" xfId="2" applyFont="1" applyFill="1" applyBorder="1" applyAlignment="1">
      <alignment vertical="center"/>
    </xf>
    <xf numFmtId="0" fontId="5" fillId="3" borderId="9" xfId="0" applyFont="1" applyFill="1" applyBorder="1" applyAlignment="1">
      <alignment vertical="center" wrapText="1"/>
    </xf>
    <xf numFmtId="2" fontId="5" fillId="3" borderId="7" xfId="0" applyNumberFormat="1" applyFont="1" applyFill="1" applyBorder="1" applyAlignment="1">
      <alignment horizontal="centerContinuous" vertical="center" wrapText="1"/>
    </xf>
    <xf numFmtId="2" fontId="5" fillId="3" borderId="6" xfId="0" applyNumberFormat="1" applyFont="1" applyFill="1" applyBorder="1" applyAlignment="1">
      <alignment horizontal="centerContinuous" vertical="center" wrapText="1"/>
    </xf>
    <xf numFmtId="9" fontId="5" fillId="3" borderId="8" xfId="1" applyFont="1" applyFill="1" applyBorder="1" applyAlignment="1">
      <alignment horizontal="center" vertical="center" wrapText="1"/>
    </xf>
    <xf numFmtId="2" fontId="5" fillId="3" borderId="6" xfId="0" applyNumberFormat="1" applyFont="1" applyFill="1" applyBorder="1" applyAlignment="1">
      <alignment horizontal="centerContinuous" vertical="center"/>
    </xf>
    <xf numFmtId="0" fontId="5" fillId="3" borderId="11" xfId="0" applyFont="1" applyFill="1" applyBorder="1" applyAlignment="1">
      <alignment horizontal="center" vertical="center" wrapText="1"/>
    </xf>
    <xf numFmtId="0" fontId="5" fillId="4" borderId="5" xfId="2" applyFont="1" applyFill="1" applyBorder="1" applyAlignment="1">
      <alignment vertical="center"/>
    </xf>
  </cellXfs>
  <cellStyles count="9">
    <cellStyle name="Normal 2" xfId="2" xr:uid="{00000000-0005-0000-0000-000001000000}"/>
    <cellStyle name="Normal 4" xfId="3" xr:uid="{00000000-0005-0000-0000-000002000000}"/>
    <cellStyle name="Normal 5" xfId="4" xr:uid="{00000000-0005-0000-0000-000003000000}"/>
    <cellStyle name="Note 3" xfId="5" xr:uid="{00000000-0005-0000-0000-000004000000}"/>
    <cellStyle name="Percent 3" xfId="6" xr:uid="{00000000-0005-0000-0000-000006000000}"/>
    <cellStyle name="Percent 4" xfId="7" xr:uid="{00000000-0005-0000-0000-000007000000}"/>
    <cellStyle name="Percent 5" xfId="8" xr:uid="{00000000-0005-0000-0000-000008000000}"/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B5" sqref="B5"/>
    </sheetView>
  </sheetViews>
  <sheetFormatPr defaultRowHeight="15.75" x14ac:dyDescent="0.25"/>
  <cols>
    <col min="1" max="1" width="9.85546875" style="2" customWidth="1"/>
    <col min="2" max="2" width="10.28515625" style="2" customWidth="1"/>
    <col min="3" max="3" width="11.85546875" style="2" bestFit="1" customWidth="1"/>
    <col min="4" max="4" width="13" style="2" bestFit="1" customWidth="1"/>
    <col min="5" max="5" width="8.85546875" style="2" customWidth="1"/>
    <col min="6" max="6" width="8.85546875" style="2" bestFit="1" customWidth="1"/>
    <col min="7" max="7" width="19.42578125" style="2" bestFit="1" customWidth="1"/>
    <col min="8" max="16384" width="9.140625" style="2"/>
  </cols>
  <sheetData>
    <row r="1" spans="1:7" ht="16.5" thickBot="1" x14ac:dyDescent="0.3">
      <c r="A1" s="8" t="s">
        <v>7</v>
      </c>
      <c r="B1" s="1"/>
      <c r="C1" s="1"/>
      <c r="D1" s="1"/>
      <c r="E1" s="1"/>
      <c r="F1" s="1"/>
      <c r="G1" s="1"/>
    </row>
    <row r="2" spans="1:7" ht="30.75" thickTop="1" x14ac:dyDescent="0.25">
      <c r="A2" s="9" t="s">
        <v>0</v>
      </c>
      <c r="B2" s="10" t="s">
        <v>5</v>
      </c>
      <c r="C2" s="11"/>
      <c r="D2" s="12" t="s">
        <v>2</v>
      </c>
      <c r="E2" s="10" t="s">
        <v>3</v>
      </c>
      <c r="F2" s="13"/>
      <c r="G2" s="14" t="s">
        <v>4</v>
      </c>
    </row>
    <row r="3" spans="1:7" ht="41.25" customHeight="1" thickBot="1" x14ac:dyDescent="0.3">
      <c r="A3" s="15" t="s">
        <v>6</v>
      </c>
      <c r="B3" s="3">
        <v>2.6737410763644802</v>
      </c>
      <c r="C3" s="4" t="s">
        <v>1</v>
      </c>
      <c r="D3" s="5">
        <f>21/(453.59237/16)</f>
        <v>0.74075320094118868</v>
      </c>
      <c r="E3" s="6">
        <f>145/453.59237</f>
        <v>0.31967028016807247</v>
      </c>
      <c r="F3" s="4" t="s">
        <v>8</v>
      </c>
      <c r="G3" s="7">
        <f>B3*E3/D3</f>
        <v>1.1538465954549095</v>
      </c>
    </row>
    <row r="4" spans="1:7" ht="16.5" thickTop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Avocado</vt:lpstr>
    </vt:vector>
  </TitlesOfParts>
  <Manager/>
  <Company>USDA, Economic Research Service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Avocados—Average retail price per pound and per cup equivalent</dc:title>
  <dc:subject>Agricultural Economics</dc:subject>
  <dc:creator>Hayden Stewart; Jeffrey Hyman</dc:creator>
  <cp:keywords>fruit and vegetable prices, retail prices, costs to consume, costs per edible cup equivalent, avocados</cp:keywords>
  <dc:description>Excel table showing average price per cup equivalent for avocados in 2022.</dc:description>
  <cp:lastModifiedBy>Илья Охотин</cp:lastModifiedBy>
  <cp:revision/>
  <dcterms:created xsi:type="dcterms:W3CDTF">2015-03-10T22:31:12Z</dcterms:created>
  <dcterms:modified xsi:type="dcterms:W3CDTF">2025-12-04T03:31:11Z</dcterms:modified>
  <cp:category/>
  <cp:contentStatus/>
</cp:coreProperties>
</file>