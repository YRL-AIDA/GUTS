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270A44A-4C42-4A77-A8B0-D889B244D42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<sst xmlns="http://schemas.openxmlformats.org/spreadsheetml/2006/main" count="36" uniqueCount="18">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</sst>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&quot;£&quot;#,##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0" fillId="2" borderId="0" xfId="0" applyFill="1"/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2" xfId="3" applyFont="1" applyFill="1" applyBorder="1" applyAlignment="1">
      <alignment horizontal="center" vertical="center"/>
    </xf>
    <xf numFmtId="0" fontId="1" fillId="3" borderId="3" xfId="3" applyFont="1" applyFill="1" applyBorder="1" applyAlignment="1">
      <alignment horizontal="center" vertical="center"/>
    </xf>
    <xf numFmtId="0" fontId="1" fillId="3" borderId="2" xfId="3" applyFont="1" applyFill="1" applyBorder="1" applyAlignment="1">
      <alignment horizontal="center" vertical="center" wrapText="1"/>
    </xf>
    <xf numFmtId="0" fontId="1" fillId="3" borderId="3" xfId="3" applyFont="1" applyFill="1" applyBorder="1" applyAlignment="1">
      <alignment horizontal="center" vertical="center" wrapText="1"/>
    </xf>
    <xf numFmtId="0" fontId="1" fillId="3" borderId="1" xfId="3" applyFont="1" applyFill="1" applyBorder="1" applyAlignment="1">
      <alignment horizontal="center" vertical="center"/>
    </xf>
    <xf numFmtId="0" fontId="0" fillId="4" borderId="0" xfId="0" applyFill="1"/>
    <xf numFmtId="0" fontId="1" fillId="4" borderId="9" xfId="0" applyFont="1" applyFill="1" applyBorder="1"/>
  </cellXfs>
  <cellStyles count="5">
    <cellStyle name="Normal 2" xfId="3" xr:uid="{00000000-0005-0000-0000-000032000000}"/>
    <cellStyle name="Normal_Tab8a" xfId="2" xr:uid="{00000000-0005-0000-0000-000031000000}"/>
    <cellStyle name="Percent 2" xfId="4" xr:uid="{00000000-0005-0000-0000-000033000000}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zoomScale="130" zoomScaleNormal="130" workbookViewId="0">
      <selection activeCell="J10" sqref="J10"/>
    </sheetView>
  </sheetViews>
  <sheetFormatPr defaultColWidth="9.140625" defaultRowHeight="12.75" x14ac:dyDescent="0.2"/>
  <cols>
    <col min="1" max="11" width="10.85546875" style="2" customWidth="1"/>
    <col min="12" max="13" width="11.7109375" style="2"/>
    <col min="14" max="19" width="10.5703125" style="2"/>
    <col min="20" max="21" width="11.7109375" style="2"/>
    <col min="22" max="16384" width="9.140625" style="2"/>
  </cols>
  <sheetData>
    <row r="1" spans="1:23" s="1" customFormat="1" ht="30" customHeight="1" x14ac:dyDescent="0.2">
      <c r="A1" s="11"/>
      <c r="B1" s="16" t="s">
        <v>0</v>
      </c>
      <c r="C1" s="17"/>
      <c r="D1" s="20" t="s">
        <v>1</v>
      </c>
      <c r="E1" s="20"/>
      <c r="F1" s="16" t="s">
        <v>2</v>
      </c>
      <c r="G1" s="17"/>
      <c r="H1" s="16" t="s">
        <v>3</v>
      </c>
      <c r="I1" s="17"/>
      <c r="J1" s="20" t="s">
        <v>4</v>
      </c>
      <c r="K1" s="20"/>
      <c r="L1" s="16" t="s">
        <v>5</v>
      </c>
      <c r="M1" s="17"/>
      <c r="N1" s="18" t="s">
        <v>6</v>
      </c>
      <c r="O1" s="19"/>
      <c r="P1" s="16" t="s">
        <v>7</v>
      </c>
      <c r="Q1" s="17"/>
      <c r="R1" s="16" t="s">
        <v>8</v>
      </c>
      <c r="S1" s="17"/>
      <c r="T1" s="16" t="s">
        <v>9</v>
      </c>
      <c r="U1" s="17"/>
    </row>
    <row r="2" spans="1:23" s="1" customFormat="1" x14ac:dyDescent="0.2">
      <c r="A2" s="12" t="s">
        <v>10</v>
      </c>
      <c r="B2" s="13" t="s">
        <v>11</v>
      </c>
      <c r="C2" s="14" t="s">
        <v>12</v>
      </c>
      <c r="D2" s="15" t="s">
        <v>11</v>
      </c>
      <c r="E2" s="15" t="s">
        <v>12</v>
      </c>
      <c r="F2" s="13" t="s">
        <v>11</v>
      </c>
      <c r="G2" s="14" t="s">
        <v>12</v>
      </c>
      <c r="H2" s="15" t="s">
        <v>11</v>
      </c>
      <c r="I2" s="15" t="s">
        <v>12</v>
      </c>
      <c r="J2" s="13" t="s">
        <v>11</v>
      </c>
      <c r="K2" s="14" t="s">
        <v>12</v>
      </c>
      <c r="L2" s="15" t="s">
        <v>11</v>
      </c>
      <c r="M2" s="15" t="s">
        <v>12</v>
      </c>
      <c r="N2" s="13" t="s">
        <v>11</v>
      </c>
      <c r="O2" s="14" t="s">
        <v>12</v>
      </c>
      <c r="P2" s="15" t="s">
        <v>11</v>
      </c>
      <c r="Q2" s="15" t="s">
        <v>12</v>
      </c>
      <c r="R2" s="13" t="s">
        <v>11</v>
      </c>
      <c r="S2" s="14" t="s">
        <v>12</v>
      </c>
      <c r="T2" s="13" t="s">
        <v>11</v>
      </c>
      <c r="U2" s="14" t="s">
        <v>12</v>
      </c>
    </row>
    <row r="3" spans="1:23" s="1" customFormat="1" x14ac:dyDescent="0.2">
      <c r="A3" s="21" t="s">
        <v>13</v>
      </c>
      <c r="B3" s="3">
        <v>1427751.2418668801</v>
      </c>
      <c r="C3" s="4">
        <v>1899270.7156851001</v>
      </c>
      <c r="D3" s="5">
        <v>3173375.0808581901</v>
      </c>
      <c r="E3" s="5">
        <v>3302667.1024809801</v>
      </c>
      <c r="F3" s="3">
        <v>21794240.105326701</v>
      </c>
      <c r="G3" s="4">
        <v>24020715.761693999</v>
      </c>
      <c r="H3" s="8">
        <v>815804.98128645495</v>
      </c>
      <c r="I3" s="9">
        <v>930127.73558018997</v>
      </c>
      <c r="J3" s="10">
        <v>3272904.8837580602</v>
      </c>
      <c r="K3" s="10">
        <v>4349956.5209671604</v>
      </c>
      <c r="L3" s="3">
        <v>10933427.6824387</v>
      </c>
      <c r="M3" s="4">
        <v>10882020.139756501</v>
      </c>
      <c r="N3" s="3">
        <v>2404205.3605102999</v>
      </c>
      <c r="O3" s="4">
        <v>2561668.48330166</v>
      </c>
      <c r="P3" s="3">
        <v>2602535.0929271802</v>
      </c>
      <c r="Q3" s="4">
        <v>2775419.5555765601</v>
      </c>
      <c r="R3" s="8">
        <v>2086978.9113889299</v>
      </c>
      <c r="S3" s="4">
        <v>2182638.0937452302</v>
      </c>
      <c r="T3" s="3">
        <v>48614990.846165404</v>
      </c>
      <c r="U3" s="4">
        <v>53708762.9701517</v>
      </c>
    </row>
    <row r="4" spans="1:23" x14ac:dyDescent="0.2">
      <c r="A4" s="21" t="s">
        <v>14</v>
      </c>
      <c r="B4" s="3">
        <v>3009.9453629544801</v>
      </c>
      <c r="C4" s="4">
        <v>2938.6854095802</v>
      </c>
      <c r="D4" s="5">
        <v>2987.8122816864002</v>
      </c>
      <c r="E4" s="5">
        <v>2685.3494649601498</v>
      </c>
      <c r="F4" s="3">
        <v>14614.6528078021</v>
      </c>
      <c r="G4" s="4">
        <v>17287.066669588501</v>
      </c>
      <c r="H4" s="8">
        <v>1553.6704983388499</v>
      </c>
      <c r="I4" s="9">
        <v>2833.1299887</v>
      </c>
      <c r="J4" s="10">
        <v>3711.10236195173</v>
      </c>
      <c r="K4" s="10">
        <v>2326.00287750895</v>
      </c>
      <c r="L4" s="3">
        <v>15449.8929533136</v>
      </c>
      <c r="M4" s="4">
        <v>18725.5246997168</v>
      </c>
      <c r="N4" s="3">
        <v>7652.8300012345298</v>
      </c>
      <c r="O4" s="4">
        <v>9386.7864632743003</v>
      </c>
      <c r="P4" s="3">
        <v>7400.8424606407298</v>
      </c>
      <c r="Q4" s="4">
        <v>7949.4442966446504</v>
      </c>
      <c r="R4" s="8">
        <v>6845.1282801790503</v>
      </c>
      <c r="S4" s="4">
        <v>6705.4574663453704</v>
      </c>
      <c r="T4" s="3">
        <v>43313.894927329296</v>
      </c>
      <c r="U4" s="4">
        <v>54797.051687348998</v>
      </c>
    </row>
    <row r="5" spans="1:23" x14ac:dyDescent="0.2">
      <c r="A5" s="21" t="s">
        <v>15</v>
      </c>
      <c r="B5" s="3">
        <v>19111.708315121399</v>
      </c>
      <c r="C5" s="4">
        <v>12044.683450332201</v>
      </c>
      <c r="D5" s="5">
        <v>17958.096847914599</v>
      </c>
      <c r="E5" s="5">
        <v>17128.256785473201</v>
      </c>
      <c r="F5" s="3">
        <v>62405.965808221299</v>
      </c>
      <c r="G5" s="4">
        <v>67347.789870320106</v>
      </c>
      <c r="H5" s="8">
        <v>7374.0745146672498</v>
      </c>
      <c r="I5" s="9">
        <v>9596.8212344583008</v>
      </c>
      <c r="J5" s="10">
        <v>22062.461169308601</v>
      </c>
      <c r="K5" s="10">
        <v>10869.696973497001</v>
      </c>
      <c r="L5" s="3">
        <v>61307.244456480003</v>
      </c>
      <c r="M5" s="4">
        <v>64709.669358284998</v>
      </c>
      <c r="N5" s="3">
        <v>34412.636729975202</v>
      </c>
      <c r="O5" s="4">
        <v>31754.3289829444</v>
      </c>
      <c r="P5" s="3">
        <v>28371.189221479101</v>
      </c>
      <c r="Q5" s="4">
        <v>29683.639745471399</v>
      </c>
      <c r="R5" s="8">
        <v>20535.384840537201</v>
      </c>
      <c r="S5" s="4">
        <v>20116.3723990361</v>
      </c>
      <c r="T5" s="3">
        <v>250002.58733628699</v>
      </c>
      <c r="U5" s="4">
        <v>207250.65948719799</v>
      </c>
    </row>
    <row r="6" spans="1:23" x14ac:dyDescent="0.2">
      <c r="A6" s="21" t="s">
        <v>16</v>
      </c>
      <c r="B6" s="3">
        <v>394168.147200373</v>
      </c>
      <c r="C6" s="4">
        <v>414753.40374137001</v>
      </c>
      <c r="D6" s="5">
        <v>636391.74214211304</v>
      </c>
      <c r="E6" s="5">
        <v>566796.93720102101</v>
      </c>
      <c r="F6" s="3">
        <v>1368170.5497394099</v>
      </c>
      <c r="G6" s="4">
        <v>1398080.0875772201</v>
      </c>
      <c r="H6" s="8">
        <v>240293.055975383</v>
      </c>
      <c r="I6" s="9">
        <v>239400.10405049101</v>
      </c>
      <c r="J6" s="10">
        <v>708197.97765843198</v>
      </c>
      <c r="K6" s="10">
        <v>760919.30134496395</v>
      </c>
      <c r="L6" s="3">
        <v>1140244.11287132</v>
      </c>
      <c r="M6" s="4">
        <v>1202476.3486119299</v>
      </c>
      <c r="N6" s="3">
        <v>338839.37994536402</v>
      </c>
      <c r="O6" s="4">
        <v>340770.66576732398</v>
      </c>
      <c r="P6" s="3">
        <v>385015.84228338901</v>
      </c>
      <c r="Q6" s="4">
        <v>400853.05967044801</v>
      </c>
      <c r="R6" s="8">
        <v>355184.61766296503</v>
      </c>
      <c r="S6" s="4">
        <v>367296.08123193198</v>
      </c>
      <c r="T6" s="3">
        <v>5566505.4254788198</v>
      </c>
      <c r="U6" s="4">
        <v>5691345.98919666</v>
      </c>
    </row>
    <row r="7" spans="1:23" x14ac:dyDescent="0.2">
      <c r="B7" s="3"/>
      <c r="C7" s="4"/>
      <c r="D7" s="5"/>
      <c r="E7" s="5"/>
      <c r="F7" s="3"/>
      <c r="G7" s="4"/>
      <c r="H7" s="8"/>
      <c r="I7" s="9"/>
      <c r="J7" s="10"/>
      <c r="K7" s="10"/>
      <c r="L7" s="3"/>
      <c r="M7" s="4"/>
      <c r="N7" s="3"/>
      <c r="O7" s="4"/>
      <c r="P7" s="3"/>
      <c r="Q7" s="4"/>
      <c r="R7" s="8"/>
      <c r="S7" s="4"/>
      <c r="T7" s="3"/>
      <c r="U7" s="4"/>
    </row>
    <row r="8" spans="1:23" x14ac:dyDescent="0.2">
      <c r="A8" s="22" t="s">
        <v>17</v>
      </c>
      <c r="B8" s="6">
        <f t="shared" ref="B8:U8" si="0">SUM(B3:B6)</f>
        <v>1844041.042745329</v>
      </c>
      <c r="C8" s="7">
        <f t="shared" si="0"/>
        <v>2329007.4882863825</v>
      </c>
      <c r="D8" s="6">
        <f t="shared" si="0"/>
        <v>3830712.732129904</v>
      </c>
      <c r="E8" s="7">
        <f t="shared" si="0"/>
        <v>3889277.6459324341</v>
      </c>
      <c r="F8" s="6">
        <f t="shared" si="0"/>
        <v>23239431.273682132</v>
      </c>
      <c r="G8" s="7">
        <f t="shared" si="0"/>
        <v>25503430.705811128</v>
      </c>
      <c r="H8" s="6">
        <f t="shared" si="0"/>
        <v>1065025.7822748441</v>
      </c>
      <c r="I8" s="7">
        <f t="shared" si="0"/>
        <v>1181957.7908538394</v>
      </c>
      <c r="J8" s="6">
        <f t="shared" si="0"/>
        <v>4006876.4249477526</v>
      </c>
      <c r="K8" s="7">
        <f t="shared" si="0"/>
        <v>5124071.5221631303</v>
      </c>
      <c r="L8" s="6">
        <f t="shared" si="0"/>
        <v>12150428.932719812</v>
      </c>
      <c r="M8" s="7">
        <f t="shared" si="0"/>
        <v>12167931.682426432</v>
      </c>
      <c r="N8" s="6">
        <f t="shared" si="0"/>
        <v>2785110.2071868735</v>
      </c>
      <c r="O8" s="7">
        <f t="shared" si="0"/>
        <v>2943580.264515203</v>
      </c>
      <c r="P8" s="6">
        <f t="shared" si="0"/>
        <v>3023322.966892689</v>
      </c>
      <c r="Q8" s="7">
        <f t="shared" si="0"/>
        <v>3213905.699289124</v>
      </c>
      <c r="R8" s="6">
        <f t="shared" si="0"/>
        <v>2469544.0421726112</v>
      </c>
      <c r="S8" s="7">
        <f t="shared" si="0"/>
        <v>2576756.004842544</v>
      </c>
      <c r="T8" s="6">
        <f t="shared" si="0"/>
        <v>54474812.753907844</v>
      </c>
      <c r="U8" s="7">
        <f t="shared" si="0"/>
        <v>59662156.670522906</v>
      </c>
    </row>
    <row r="9" spans="1:23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s="1" customFormat="1" ht="30" customHeight="1" x14ac:dyDescent="0.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s="1" customFormat="1" ht="29.25" hidden="1" customHeight="1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s="1" customFormat="1" ht="16.5" hidden="1" customHeigh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 spans="1:23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ht="12.75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GVA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2024-12-07T01:04:00Z</dcterms:created>
  <dcterms:modified xsi:type="dcterms:W3CDTF">2025-11-28T09:03:24Z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2052-6.11.0.8885</vt:lpwstr>
  </property>
</Properties>
</file>