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BCC1BB6-18E3-4A43-BAA4-8ECE5077A143}" xr6:coauthVersionLast="47" xr6:coauthVersionMax="47" xr10:uidLastSave="{00000000-0000-0000-0000-000000000000}"/>
  <bookViews>
    <workbookView xWindow="195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3" i="1"/>
  <c r="C33" i="1"/>
  <c r="E32" i="1"/>
  <c r="D32" i="1"/>
  <c r="C32" i="1"/>
  <c r="E28" i="1"/>
  <c r="D28" i="1"/>
  <c r="C28" i="1"/>
  <c r="E27" i="1"/>
  <c r="D27" i="1"/>
  <c r="C27" i="1"/>
  <c r="E23" i="1"/>
  <c r="D23" i="1"/>
  <c r="C23" i="1"/>
  <c r="E22" i="1"/>
  <c r="D22" i="1"/>
  <c r="C22" i="1"/>
  <c r="E18" i="1"/>
  <c r="D18" i="1"/>
  <c r="C18" i="1"/>
  <c r="E17" i="1"/>
  <c r="D17" i="1"/>
  <c r="C17" i="1"/>
  <c r="E13" i="1"/>
  <c r="D13" i="1"/>
  <c r="C13" i="1"/>
  <c r="E12" i="1"/>
  <c r="D12" i="1"/>
  <c r="C12" i="1"/>
</calcChain>
</file>

<file path=xl/sharedStrings.xml><?xml version="1.0" encoding="utf-8"?>
<sst xmlns="http://schemas.openxmlformats.org/spreadsheetml/2006/main" count="35" uniqueCount="27">
  <si>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</si>
  <si>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</si>
  <si>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</si>
  <si>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</si>
  <si>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</si>
  <si>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</si>
  <si>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</si>
  <si>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>outlier removed</t>
  </si>
  <si>
    <t>Suppl. Data A01</t>
  </si>
  <si>
    <t>Suppl. Data B01</t>
  </si>
  <si>
    <t>Suppl. Data C01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</si>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</sst>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0006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2" fontId="1" fillId="2" borderId="0" xfId="1" applyNumberFormat="1" applyFont="1" applyAlignment="1"/>
    <xf numFmtId="0" fontId="0" fillId="3" borderId="0" xfId="0" applyFill="1" applyAlignment="1"/>
    <xf numFmtId="2" fontId="0" fillId="0" borderId="0" xfId="0" applyNumberFormat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O9" sqref="O9"/>
    </sheetView>
  </sheetViews>
  <sheetFormatPr defaultColWidth="9" defaultRowHeight="15"/>
  <cols>
    <col min="1" max="1" width="42.140625" style="1" customWidth="1"/>
    <col min="2" max="2" width="18.5703125" style="1" customWidth="1"/>
    <col min="3" max="5" width="6.5703125" style="1" customWidth="1"/>
    <col min="6" max="6" width="17.42578125" style="1" customWidth="1"/>
    <col min="7" max="16362" width="8.85546875" style="1"/>
    <col min="16363" max="16384" width="9" style="1"/>
  </cols>
  <sheetData>
    <row r="1" spans="1:6">
      <c r="A1" s="6" t="s">
        <v>0</v>
      </c>
    </row>
    <row r="2" spans="1:6">
      <c r="A2" s="6" t="s">
        <v>1</v>
      </c>
    </row>
    <row r="3" spans="1:6">
      <c r="A3" s="6" t="s">
        <v>2</v>
      </c>
    </row>
    <row r="5" spans="1:6">
      <c r="C5" s="5" t="s">
        <v>3</v>
      </c>
      <c r="D5" s="5" t="s">
        <v>4</v>
      </c>
      <c r="E5" s="5" t="s">
        <v>5</v>
      </c>
    </row>
    <row r="6" spans="1:6">
      <c r="B6" s="7" t="s">
        <v>6</v>
      </c>
      <c r="C6" s="2">
        <v>22.22</v>
      </c>
      <c r="D6" s="2">
        <v>9.52</v>
      </c>
      <c r="E6" s="2">
        <v>61.9</v>
      </c>
      <c r="F6" s="6" t="s">
        <v>7</v>
      </c>
    </row>
    <row r="7" spans="1:6" ht="14.45" customHeight="1">
      <c r="B7" s="7" t="s">
        <v>8</v>
      </c>
      <c r="C7" s="3">
        <v>44.61</v>
      </c>
      <c r="D7" s="3">
        <v>15.63</v>
      </c>
      <c r="E7" s="3">
        <v>39.76</v>
      </c>
    </row>
    <row r="8" spans="1:6">
      <c r="B8" s="7" t="s">
        <v>9</v>
      </c>
      <c r="C8" s="3">
        <v>44.23</v>
      </c>
      <c r="D8" s="3">
        <v>18.149999999999999</v>
      </c>
      <c r="E8" s="3">
        <v>37.619999999999997</v>
      </c>
    </row>
    <row r="9" spans="1:6">
      <c r="B9" s="7" t="s">
        <v>10</v>
      </c>
      <c r="C9" s="3">
        <v>42.63</v>
      </c>
      <c r="D9" s="3">
        <v>20.45</v>
      </c>
      <c r="E9" s="3">
        <v>36.92</v>
      </c>
    </row>
    <row r="10" spans="1:6">
      <c r="B10" s="7" t="s">
        <v>11</v>
      </c>
      <c r="C10" s="4">
        <v>43.75</v>
      </c>
      <c r="D10" s="4">
        <v>18.75</v>
      </c>
      <c r="E10" s="4">
        <v>34.380000000000003</v>
      </c>
    </row>
    <row r="11" spans="1:6">
      <c r="B11" s="7" t="s">
        <v>12</v>
      </c>
      <c r="C11" s="4">
        <v>49.02</v>
      </c>
      <c r="D11" s="4">
        <v>21.57</v>
      </c>
      <c r="E11" s="4">
        <v>29.41</v>
      </c>
    </row>
    <row r="12" spans="1:6">
      <c r="A12" s="6" t="s">
        <v>13</v>
      </c>
      <c r="C12" s="4">
        <f>AVERAGE(C10:C11,C7:C9)</f>
        <v>44.847999999999999</v>
      </c>
      <c r="D12" s="4">
        <f>AVERAGE(D10:D11,D7:D9)</f>
        <v>18.91</v>
      </c>
      <c r="E12" s="4">
        <f>AVERAGE(E10:E11,E7:E9)</f>
        <v>35.618000000000002</v>
      </c>
    </row>
    <row r="13" spans="1:6">
      <c r="A13" s="6" t="s">
        <v>14</v>
      </c>
      <c r="C13" s="4">
        <f>_xludf.STDEV.P(C10:C11,C7:C9)</f>
        <v>2.1894876112917401</v>
      </c>
      <c r="D13" s="4">
        <f>_xludf.STDEV.P(D10:D11,D7:D9)</f>
        <v>2.0400392153093501</v>
      </c>
      <c r="E13" s="4">
        <f>_xludf.STDEV.P(E10:E11,E7:E9)</f>
        <v>3.5477113749571001</v>
      </c>
    </row>
    <row r="14" spans="1:6">
      <c r="B14" s="7" t="s">
        <v>15</v>
      </c>
      <c r="C14" s="4">
        <v>45.92</v>
      </c>
      <c r="D14" s="4">
        <v>29.18</v>
      </c>
      <c r="E14" s="4">
        <v>19.309999999999999</v>
      </c>
    </row>
    <row r="15" spans="1:6">
      <c r="B15" s="7" t="s">
        <v>16</v>
      </c>
      <c r="C15" s="4">
        <v>45.42</v>
      </c>
      <c r="D15" s="4">
        <v>20.079999999999998</v>
      </c>
      <c r="E15" s="4">
        <v>33.53</v>
      </c>
    </row>
    <row r="16" spans="1:6">
      <c r="B16" s="7" t="s">
        <v>17</v>
      </c>
      <c r="C16" s="4">
        <v>50.35</v>
      </c>
      <c r="D16" s="4">
        <v>23.44</v>
      </c>
      <c r="E16" s="4">
        <v>25.17</v>
      </c>
    </row>
    <row r="17" spans="1:5">
      <c r="A17" s="6" t="s">
        <v>13</v>
      </c>
      <c r="C17" s="4">
        <f>AVERAGE(C14:C16)</f>
        <v>47.23</v>
      </c>
      <c r="D17" s="4">
        <f>AVERAGE(D14:D16)</f>
        <v>24.233333333333299</v>
      </c>
      <c r="E17" s="4">
        <f>AVERAGE(E14:E16)</f>
        <v>26.003333333333298</v>
      </c>
    </row>
    <row r="18" spans="1:5">
      <c r="A18" s="6" t="s">
        <v>14</v>
      </c>
      <c r="C18" s="4">
        <f>_xludf.STDEV.P(C14:C16)</f>
        <v>2.2155962327704599</v>
      </c>
      <c r="D18" s="4">
        <f>_xludf.STDEV.P(D14:D16)</f>
        <v>3.75717387880246</v>
      </c>
      <c r="E18" s="4">
        <f>_xludf.STDEV.P(E14:E16)</f>
        <v>5.8351197264685304</v>
      </c>
    </row>
    <row r="19" spans="1:5">
      <c r="B19" s="7" t="s">
        <v>18</v>
      </c>
      <c r="C19" s="4">
        <v>53.78</v>
      </c>
      <c r="D19" s="4">
        <v>21.12</v>
      </c>
      <c r="E19" s="4">
        <v>24.3</v>
      </c>
    </row>
    <row r="20" spans="1:5">
      <c r="B20" s="7" t="s">
        <v>19</v>
      </c>
      <c r="C20" s="4">
        <v>54.76</v>
      </c>
      <c r="D20" s="4">
        <v>21.19</v>
      </c>
      <c r="E20" s="4">
        <v>23.57</v>
      </c>
    </row>
    <row r="21" spans="1:5">
      <c r="B21" s="7" t="s">
        <v>20</v>
      </c>
      <c r="C21" s="4">
        <v>51.99</v>
      </c>
      <c r="D21" s="4">
        <v>20.53</v>
      </c>
      <c r="E21" s="4">
        <v>26.16</v>
      </c>
    </row>
    <row r="22" spans="1:5">
      <c r="A22" s="6" t="s">
        <v>13</v>
      </c>
      <c r="C22" s="4">
        <f>AVERAGE(C19:C21)</f>
        <v>53.51</v>
      </c>
      <c r="D22" s="4">
        <f>AVERAGE(D19:D21)</f>
        <v>20.946666666666701</v>
      </c>
      <c r="E22" s="4">
        <f>AVERAGE(E19:E21)</f>
        <v>24.676666666666701</v>
      </c>
    </row>
    <row r="23" spans="1:5">
      <c r="A23" s="6" t="s">
        <v>14</v>
      </c>
      <c r="C23" s="4">
        <f>_xludf.STDEV.P(C19:C21)</f>
        <v>1.1468507604159599</v>
      </c>
      <c r="D23" s="4">
        <f>_xludf.STDEV.P(D19:D21)</f>
        <v>0.29601051032391101</v>
      </c>
      <c r="E23" s="4">
        <f>_xludf.STDEV.P(E19:E21)</f>
        <v>1.0903923860498801</v>
      </c>
    </row>
    <row r="24" spans="1:5">
      <c r="B24" s="7" t="s">
        <v>21</v>
      </c>
      <c r="C24" s="4">
        <v>46.09</v>
      </c>
      <c r="D24" s="4">
        <v>28.81</v>
      </c>
      <c r="E24" s="4">
        <v>24.69</v>
      </c>
    </row>
    <row r="25" spans="1:5">
      <c r="B25" s="7" t="s">
        <v>22</v>
      </c>
      <c r="C25" s="4">
        <v>44.62</v>
      </c>
      <c r="D25" s="4">
        <v>34.15</v>
      </c>
      <c r="E25" s="4">
        <v>20.92</v>
      </c>
    </row>
    <row r="26" spans="1:5">
      <c r="B26" s="7" t="s">
        <v>23</v>
      </c>
      <c r="C26" s="4">
        <v>44.22</v>
      </c>
      <c r="D26" s="4">
        <v>36.68</v>
      </c>
      <c r="E26" s="4">
        <v>18.59</v>
      </c>
    </row>
    <row r="27" spans="1:5">
      <c r="A27" s="6" t="s">
        <v>13</v>
      </c>
      <c r="C27" s="4">
        <f>AVERAGE(C24:C26)</f>
        <v>44.976666666666702</v>
      </c>
      <c r="D27" s="4">
        <f>AVERAGE(D24:D26)</f>
        <v>33.213333333333303</v>
      </c>
      <c r="E27" s="4">
        <f>AVERAGE(E24:E26)</f>
        <v>21.4</v>
      </c>
    </row>
    <row r="28" spans="1:5">
      <c r="A28" s="6" t="s">
        <v>14</v>
      </c>
      <c r="C28" s="4">
        <f>_xludf.STDEV.P(C24:C26)</f>
        <v>0.80400386953187397</v>
      </c>
      <c r="D28" s="4">
        <f>_xludf.STDEV.P(D24:D26)</f>
        <v>3.2804708334153601</v>
      </c>
      <c r="E28" s="4">
        <f>_xludf.STDEV.P(E24:E26)</f>
        <v>2.5133377541959399</v>
      </c>
    </row>
    <row r="29" spans="1:5">
      <c r="B29" s="7" t="s">
        <v>24</v>
      </c>
      <c r="C29" s="4">
        <v>52.57</v>
      </c>
      <c r="D29" s="4">
        <v>19.43</v>
      </c>
      <c r="E29" s="4">
        <v>27.43</v>
      </c>
    </row>
    <row r="30" spans="1:5">
      <c r="B30" s="7" t="s">
        <v>25</v>
      </c>
      <c r="C30" s="4">
        <v>48.46</v>
      </c>
      <c r="D30" s="4">
        <v>32.31</v>
      </c>
      <c r="E30" s="4">
        <v>19.23</v>
      </c>
    </row>
    <row r="31" spans="1:5">
      <c r="B31" s="7" t="s">
        <v>26</v>
      </c>
      <c r="C31" s="4">
        <v>53.93</v>
      </c>
      <c r="D31" s="4">
        <v>28.09</v>
      </c>
      <c r="E31" s="4">
        <v>17.98</v>
      </c>
    </row>
    <row r="32" spans="1:5">
      <c r="A32" s="6" t="s">
        <v>13</v>
      </c>
      <c r="C32" s="4">
        <f>AVERAGE(C29:C31)</f>
        <v>51.6533333333333</v>
      </c>
      <c r="D32" s="4">
        <f>AVERAGE(D29:D31)</f>
        <v>26.61</v>
      </c>
      <c r="E32" s="4">
        <f>AVERAGE(E29:E31)</f>
        <v>21.546666666666699</v>
      </c>
    </row>
    <row r="33" spans="1:5">
      <c r="A33" s="6" t="s">
        <v>14</v>
      </c>
      <c r="C33" s="4">
        <f>_xludf.STDEV.P(C29:C31)</f>
        <v>2.3252861233739699</v>
      </c>
      <c r="D33" s="4">
        <f>_xludf.STDEV.P(D29:D31)</f>
        <v>5.3613679846347697</v>
      </c>
      <c r="E33" s="4">
        <f>_xludf.STDEV.P(E29:E31)</f>
        <v>4.1913270240130602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2024-11-16T08:38:00Z</dcterms:created>
  <dcterms:modified xsi:type="dcterms:W3CDTF">2025-12-10T02:00:57Z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B6B298FB62334AC99A71D45065BF137A_11</vt:lpwstr>
  </property>
  <property fmtid="{D5CDD505-2E9C-101B-9397-08002B2CF9AE}" pid="3" name="KSOProductBuildVer">
    <vt:lpwstr>2052-12.1.0.19302</vt:lpwstr>
  </property>
</Properties>
</file>