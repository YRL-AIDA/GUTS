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B76EE39F-4C4F-4E48-8C9F-BBD2F92401E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3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6" i="1" l="1"/>
  <c r="H66" i="1"/>
  <c r="E66" i="1"/>
  <c r="D66" i="1"/>
  <c r="C66" i="1"/>
  <c r="N65" i="1"/>
  <c r="O65" i="1" s="1"/>
  <c r="N64" i="1"/>
  <c r="O64" i="1" s="1"/>
  <c r="O63" i="1"/>
  <c r="N63" i="1"/>
  <c r="I62" i="1"/>
  <c r="H62" i="1"/>
  <c r="E62" i="1"/>
  <c r="D62" i="1"/>
  <c r="C62" i="1"/>
  <c r="O61" i="1"/>
  <c r="N61" i="1"/>
  <c r="O60" i="1"/>
  <c r="N60" i="1"/>
  <c r="O59" i="1"/>
  <c r="N59" i="1"/>
  <c r="I58" i="1"/>
  <c r="H58" i="1"/>
  <c r="E58" i="1"/>
  <c r="D58" i="1"/>
  <c r="C58" i="1"/>
  <c r="N57" i="1"/>
  <c r="O57" i="1" s="1"/>
  <c r="N56" i="1"/>
  <c r="O56" i="1" s="1"/>
  <c r="N55" i="1"/>
  <c r="O55" i="1" s="1"/>
  <c r="I54" i="1"/>
  <c r="H54" i="1"/>
  <c r="E54" i="1"/>
  <c r="D54" i="1"/>
  <c r="C54" i="1"/>
  <c r="O53" i="1"/>
  <c r="N53" i="1"/>
  <c r="O52" i="1"/>
  <c r="N52" i="1"/>
  <c r="O51" i="1"/>
  <c r="N51" i="1"/>
  <c r="I50" i="1"/>
  <c r="H50" i="1"/>
  <c r="E50" i="1"/>
  <c r="D50" i="1"/>
  <c r="C50" i="1"/>
  <c r="N49" i="1"/>
  <c r="O49" i="1" s="1"/>
  <c r="N48" i="1"/>
  <c r="O48" i="1" s="1"/>
  <c r="N47" i="1"/>
  <c r="O47" i="1" s="1"/>
  <c r="I46" i="1"/>
  <c r="H46" i="1"/>
  <c r="E46" i="1"/>
  <c r="D46" i="1"/>
  <c r="C46" i="1"/>
  <c r="O45" i="1"/>
  <c r="N45" i="1"/>
  <c r="O44" i="1"/>
  <c r="N44" i="1"/>
  <c r="O43" i="1"/>
  <c r="N43" i="1"/>
  <c r="O42" i="1"/>
  <c r="N42" i="1"/>
  <c r="I41" i="1"/>
  <c r="H41" i="1"/>
  <c r="E41" i="1"/>
  <c r="D41" i="1"/>
  <c r="C41" i="1"/>
  <c r="N40" i="1"/>
  <c r="O40" i="1" s="1"/>
  <c r="N39" i="1"/>
  <c r="O39" i="1" s="1"/>
  <c r="N38" i="1"/>
  <c r="O38" i="1" s="1"/>
  <c r="I37" i="1"/>
  <c r="H37" i="1"/>
  <c r="E37" i="1"/>
  <c r="D37" i="1"/>
  <c r="C37" i="1"/>
  <c r="O36" i="1"/>
  <c r="N36" i="1"/>
  <c r="O35" i="1"/>
  <c r="N35" i="1"/>
  <c r="O34" i="1"/>
  <c r="N34" i="1"/>
  <c r="I33" i="1"/>
  <c r="H33" i="1"/>
  <c r="E33" i="1"/>
  <c r="D33" i="1"/>
  <c r="C33" i="1"/>
  <c r="N32" i="1"/>
  <c r="O32" i="1" s="1"/>
  <c r="N31" i="1"/>
  <c r="O31" i="1" s="1"/>
  <c r="N30" i="1"/>
  <c r="O30" i="1" s="1"/>
  <c r="I29" i="1"/>
  <c r="H29" i="1"/>
  <c r="E29" i="1"/>
  <c r="D29" i="1"/>
  <c r="C29" i="1"/>
  <c r="N28" i="1"/>
  <c r="O28" i="1" s="1"/>
  <c r="O27" i="1"/>
  <c r="N27" i="1"/>
  <c r="O26" i="1"/>
  <c r="N26" i="1"/>
  <c r="I25" i="1"/>
  <c r="H25" i="1"/>
  <c r="E25" i="1"/>
  <c r="D25" i="1"/>
  <c r="C25" i="1"/>
  <c r="N24" i="1"/>
  <c r="O24" i="1" s="1"/>
  <c r="N23" i="1"/>
  <c r="O23" i="1" s="1"/>
  <c r="N22" i="1"/>
  <c r="O22" i="1" s="1"/>
  <c r="I21" i="1"/>
  <c r="H21" i="1"/>
  <c r="E21" i="1"/>
  <c r="D21" i="1"/>
  <c r="C21" i="1"/>
  <c r="O20" i="1"/>
  <c r="N20" i="1"/>
  <c r="N19" i="1"/>
  <c r="O19" i="1" s="1"/>
  <c r="O18" i="1"/>
  <c r="N18" i="1"/>
  <c r="I17" i="1"/>
  <c r="H17" i="1"/>
  <c r="E17" i="1"/>
  <c r="D17" i="1"/>
  <c r="C17" i="1"/>
  <c r="N16" i="1"/>
  <c r="O16" i="1" s="1"/>
  <c r="K16" i="1"/>
  <c r="N15" i="1"/>
  <c r="O15" i="1" s="1"/>
  <c r="O14" i="1"/>
  <c r="N14" i="1"/>
  <c r="I13" i="1"/>
  <c r="H13" i="1"/>
  <c r="E13" i="1"/>
  <c r="D13" i="1"/>
  <c r="C13" i="1"/>
  <c r="N12" i="1"/>
  <c r="O12" i="1" s="1"/>
  <c r="N11" i="1"/>
  <c r="O11" i="1" s="1"/>
  <c r="N10" i="1"/>
  <c r="O10" i="1" s="1"/>
  <c r="I9" i="1"/>
  <c r="H9" i="1"/>
  <c r="E9" i="1"/>
  <c r="D9" i="1"/>
  <c r="C9" i="1"/>
  <c r="O8" i="1"/>
  <c r="N8" i="1"/>
  <c r="O7" i="1"/>
  <c r="N7" i="1"/>
  <c r="N6" i="1"/>
  <c r="O6" i="1" s="1"/>
  <c r="I5" i="1"/>
  <c r="H5" i="1"/>
  <c r="E5" i="1"/>
  <c r="D5" i="1"/>
  <c r="C5" i="1"/>
  <c r="N4" i="1"/>
  <c r="O4" i="1" s="1"/>
  <c r="N3" i="1"/>
  <c r="O3" i="1" s="1"/>
  <c r="N2" i="1"/>
  <c r="O2" i="1" s="1"/>
  <c r="O67" i="1" l="1"/>
</calcChain>
</file>

<file path=xl/sharedStrings.xml><?xml version="1.0" encoding="utf-8"?>
<sst xmlns="http://schemas.openxmlformats.org/spreadsheetml/2006/main" count="140" uniqueCount="109">
  <si>
    <t>Wash Water</t>
  </si>
  <si>
    <t>Test #</t>
  </si>
  <si>
    <t>Temp °C</t>
  </si>
  <si>
    <t>pH of water</t>
  </si>
  <si>
    <r>
      <rPr>
        <b/>
        <sz val="11"/>
        <color theme="1"/>
        <rFont val="Calibri"/>
        <charset val="134"/>
        <scheme val="minor"/>
      </rPr>
      <t>pH after Cl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addition</t>
    </r>
  </si>
  <si>
    <r>
      <rPr>
        <b/>
        <sz val="11"/>
        <color theme="1"/>
        <rFont val="Calibri"/>
        <charset val="134"/>
        <scheme val="minor"/>
      </rPr>
      <t>LI</t>
    </r>
    <r>
      <rPr>
        <b/>
        <vertAlign val="subscript"/>
        <sz val="11"/>
        <color theme="1"/>
        <rFont val="Calibri"/>
        <charset val="134"/>
        <scheme val="minor"/>
      </rPr>
      <t>max</t>
    </r>
  </si>
  <si>
    <r>
      <rPr>
        <b/>
        <sz val="11"/>
        <color theme="1"/>
        <rFont val="Calibri"/>
        <charset val="134"/>
        <scheme val="minor"/>
      </rPr>
      <t>T</t>
    </r>
    <r>
      <rPr>
        <b/>
        <vertAlign val="subscript"/>
        <sz val="11"/>
        <color theme="1"/>
        <rFont val="Calibri"/>
        <charset val="134"/>
        <scheme val="minor"/>
      </rPr>
      <t>max</t>
    </r>
    <r>
      <rPr>
        <b/>
        <sz val="11"/>
        <color theme="1"/>
        <rFont val="Calibri"/>
        <charset val="134"/>
        <scheme val="minor"/>
      </rPr>
      <t>, sample time for LI</t>
    </r>
    <r>
      <rPr>
        <b/>
        <vertAlign val="subscript"/>
        <sz val="11"/>
        <color theme="1"/>
        <rFont val="Calibri"/>
        <charset val="134"/>
        <scheme val="minor"/>
      </rPr>
      <t>max</t>
    </r>
    <r>
      <rPr>
        <b/>
        <sz val="11"/>
        <color theme="1"/>
        <rFont val="Calibri"/>
        <charset val="134"/>
        <scheme val="minor"/>
      </rPr>
      <t xml:space="preserve"> (min)</t>
    </r>
  </si>
  <si>
    <r>
      <rPr>
        <b/>
        <sz val="11"/>
        <color theme="1"/>
        <rFont val="Calibri"/>
        <charset val="134"/>
        <scheme val="minor"/>
      </rPr>
      <t>T</t>
    </r>
    <r>
      <rPr>
        <b/>
        <vertAlign val="subscript"/>
        <sz val="11"/>
        <color theme="1"/>
        <rFont val="Calibri"/>
        <charset val="134"/>
        <scheme val="minor"/>
      </rPr>
      <t>6log</t>
    </r>
    <r>
      <rPr>
        <b/>
        <sz val="11"/>
        <color theme="1"/>
        <rFont val="Calibri"/>
        <charset val="134"/>
        <scheme val="minor"/>
      </rPr>
      <t>,      time for 6 log kill,  (min)</t>
    </r>
  </si>
  <si>
    <t>σ</t>
  </si>
  <si>
    <r>
      <rPr>
        <b/>
        <sz val="11"/>
        <color theme="1"/>
        <rFont val="Calibri"/>
        <charset val="134"/>
        <scheme val="minor"/>
      </rPr>
      <t># of points for  T</t>
    </r>
    <r>
      <rPr>
        <b/>
        <vertAlign val="subscript"/>
        <sz val="11"/>
        <color theme="1"/>
        <rFont val="Calibri"/>
        <charset val="134"/>
        <scheme val="minor"/>
      </rPr>
      <t>6log</t>
    </r>
    <r>
      <rPr>
        <b/>
        <sz val="11"/>
        <color theme="1"/>
        <rFont val="Calibri"/>
        <charset val="134"/>
        <scheme val="minor"/>
      </rPr>
      <t xml:space="preserve"> calc.</t>
    </r>
  </si>
  <si>
    <r>
      <rPr>
        <b/>
        <sz val="11"/>
        <color theme="1"/>
        <rFont val="Calibri"/>
        <charset val="134"/>
        <scheme val="minor"/>
      </rPr>
      <t>R</t>
    </r>
    <r>
      <rPr>
        <b/>
        <vertAlign val="superscript"/>
        <sz val="11"/>
        <color theme="1"/>
        <rFont val="Calibri"/>
        <charset val="134"/>
        <scheme val="minor"/>
      </rPr>
      <t>2</t>
    </r>
  </si>
  <si>
    <r>
      <rPr>
        <b/>
        <sz val="11"/>
        <color theme="1"/>
        <rFont val="Calibri"/>
        <charset val="134"/>
        <scheme val="minor"/>
      </rPr>
      <t>t</t>
    </r>
    <r>
      <rPr>
        <b/>
        <vertAlign val="subscript"/>
        <sz val="11"/>
        <color theme="1"/>
        <rFont val="Calibri"/>
        <charset val="134"/>
        <scheme val="minor"/>
      </rPr>
      <t>max</t>
    </r>
    <r>
      <rPr>
        <b/>
        <sz val="11"/>
        <color theme="1"/>
        <rFont val="Calibri"/>
        <charset val="134"/>
        <scheme val="minor"/>
      </rPr>
      <t xml:space="preserve">       (min)</t>
    </r>
  </si>
  <si>
    <r>
      <rPr>
        <b/>
        <sz val="11"/>
        <color theme="1"/>
        <rFont val="Calibri"/>
        <charset val="134"/>
        <scheme val="minor"/>
      </rPr>
      <t>t</t>
    </r>
    <r>
      <rPr>
        <b/>
        <vertAlign val="subscript"/>
        <sz val="11"/>
        <color theme="1"/>
        <rFont val="Calibri"/>
        <charset val="134"/>
        <scheme val="minor"/>
      </rPr>
      <t>max</t>
    </r>
    <r>
      <rPr>
        <b/>
        <sz val="11"/>
        <color theme="1"/>
        <rFont val="Calibri"/>
        <charset val="134"/>
        <scheme val="minor"/>
      </rPr>
      <t>/T</t>
    </r>
    <r>
      <rPr>
        <b/>
        <vertAlign val="subscript"/>
        <sz val="11"/>
        <color theme="1"/>
        <rFont val="Calibri"/>
        <charset val="134"/>
        <scheme val="minor"/>
      </rPr>
      <t>max</t>
    </r>
  </si>
  <si>
    <t>A. Floor wash water</t>
  </si>
  <si>
    <t>1a</t>
  </si>
  <si>
    <t>≥ 6.88</t>
  </si>
  <si>
    <t>NA</t>
  </si>
  <si>
    <t xml:space="preserve"> w/1% Alconox</t>
  </si>
  <si>
    <t>1b</t>
  </si>
  <si>
    <t>≥ 7.04</t>
  </si>
  <si>
    <t>1c</t>
  </si>
  <si>
    <t xml:space="preserve"> ≥ 7.11</t>
  </si>
  <si>
    <r>
      <rPr>
        <b/>
        <sz val="10.5"/>
        <color theme="1"/>
        <rFont val="Calibri"/>
        <charset val="134"/>
        <scheme val="minor"/>
      </rPr>
      <t xml:space="preserve">Avg. </t>
    </r>
    <r>
      <rPr>
        <b/>
        <i/>
        <sz val="10.5"/>
        <color theme="1"/>
        <rFont val="Calibri"/>
        <charset val="134"/>
        <scheme val="minor"/>
      </rPr>
      <t>(std. dev)</t>
    </r>
  </si>
  <si>
    <t>12a</t>
  </si>
  <si>
    <t>≥ 7.17</t>
  </si>
  <si>
    <t>12b</t>
  </si>
  <si>
    <t>12c</t>
  </si>
  <si>
    <t>≥ 7.26</t>
  </si>
  <si>
    <t xml:space="preserve">B. Floor wash water </t>
  </si>
  <si>
    <t>3a</t>
  </si>
  <si>
    <t>≥ 6.1</t>
  </si>
  <si>
    <t xml:space="preserve">w/1% Alconox and </t>
  </si>
  <si>
    <t>3b</t>
  </si>
  <si>
    <t>≥ 7.23</t>
  </si>
  <si>
    <t>added hardness</t>
  </si>
  <si>
    <t>3c</t>
  </si>
  <si>
    <t>≥ 7.15</t>
  </si>
  <si>
    <t>14a</t>
  </si>
  <si>
    <t>≥ 7.09</t>
  </si>
  <si>
    <t>14b</t>
  </si>
  <si>
    <t>≥ 7.11</t>
  </si>
  <si>
    <t>14c</t>
  </si>
  <si>
    <t>C. PPE wash water</t>
  </si>
  <si>
    <t>5a</t>
  </si>
  <si>
    <t>≥ 7.48</t>
  </si>
  <si>
    <t>w/1% Alconox</t>
  </si>
  <si>
    <t>5b</t>
  </si>
  <si>
    <t>≥ 7.80</t>
  </si>
  <si>
    <t>5c</t>
  </si>
  <si>
    <t>≥ 6.61</t>
  </si>
  <si>
    <t>16a</t>
  </si>
  <si>
    <t>≥ 7.14</t>
  </si>
  <si>
    <t>16b</t>
  </si>
  <si>
    <t>16crR</t>
  </si>
  <si>
    <t>≥ 7.45</t>
  </si>
  <si>
    <t>D. PPE wash water</t>
  </si>
  <si>
    <t>7a</t>
  </si>
  <si>
    <t>≥ 7.12</t>
  </si>
  <si>
    <t>7b</t>
  </si>
  <si>
    <t>7c</t>
  </si>
  <si>
    <t>≥ 6.99</t>
  </si>
  <si>
    <t>18a</t>
  </si>
  <si>
    <t>18b</t>
  </si>
  <si>
    <t>18c</t>
  </si>
  <si>
    <t>≥ 7.18</t>
  </si>
  <si>
    <t>E. Car wash water</t>
  </si>
  <si>
    <t>10a</t>
  </si>
  <si>
    <t>w/1% Dawn®</t>
  </si>
  <si>
    <t>10b</t>
  </si>
  <si>
    <t>≥ 7.07</t>
  </si>
  <si>
    <t>10c</t>
  </si>
  <si>
    <t>≥ 7.00</t>
  </si>
  <si>
    <t>21a</t>
  </si>
  <si>
    <t>21b</t>
  </si>
  <si>
    <t>21c</t>
  </si>
  <si>
    <t>F. Storm water</t>
  </si>
  <si>
    <t>9a</t>
  </si>
  <si>
    <t>from parking lot</t>
  </si>
  <si>
    <t>9aR</t>
  </si>
  <si>
    <t>9b</t>
  </si>
  <si>
    <t>≥ 7.46</t>
  </si>
  <si>
    <t>9c</t>
  </si>
  <si>
    <t>20a</t>
  </si>
  <si>
    <t>≥7.48</t>
  </si>
  <si>
    <t>20b</t>
  </si>
  <si>
    <t>20c</t>
  </si>
  <si>
    <t>≥ 8.41</t>
  </si>
  <si>
    <t xml:space="preserve">G. Rusty water, high </t>
  </si>
  <si>
    <t>11a</t>
  </si>
  <si>
    <t>iron content</t>
  </si>
  <si>
    <t>11b</t>
  </si>
  <si>
    <t>11c</t>
  </si>
  <si>
    <t>22a</t>
  </si>
  <si>
    <t>22b</t>
  </si>
  <si>
    <t>22c</t>
  </si>
  <si>
    <t xml:space="preserve">H. Floor wash water, </t>
  </si>
  <si>
    <t>27aR</t>
  </si>
  <si>
    <t>≥ 7.38</t>
  </si>
  <si>
    <t xml:space="preserve">w/ 1% Alconox and </t>
  </si>
  <si>
    <t>27bR</t>
  </si>
  <si>
    <t>≥ 7.57</t>
  </si>
  <si>
    <t>1.9 mg/l motor oil</t>
  </si>
  <si>
    <t>27c</t>
  </si>
  <si>
    <t>≥ 7.32</t>
  </si>
  <si>
    <t>28a</t>
  </si>
  <si>
    <t>≥ 7.35</t>
  </si>
  <si>
    <t>28b</t>
  </si>
  <si>
    <t>28c</t>
  </si>
  <si>
    <t>≥ 7.40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</si>
</sst>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00"/>
  </numFmts>
  <fonts count="1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.5"/>
      <color theme="1"/>
      <name val="Calibri"/>
      <charset val="134"/>
      <scheme val="minor"/>
    </font>
    <font>
      <sz val="10.5"/>
      <color theme="1"/>
      <name val="Calibri"/>
      <charset val="134"/>
      <scheme val="minor"/>
    </font>
    <font>
      <sz val="10.5"/>
      <name val="Calibri"/>
      <charset val="134"/>
      <scheme val="minor"/>
    </font>
    <font>
      <b/>
      <sz val="10.5"/>
      <name val="Calibri"/>
      <charset val="134"/>
      <scheme val="minor"/>
    </font>
    <font>
      <b/>
      <i/>
      <sz val="10.5"/>
      <color theme="1"/>
      <name val="Calibri"/>
      <charset val="134"/>
      <scheme val="minor"/>
    </font>
    <font>
      <i/>
      <sz val="10.5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name val="Arial"/>
      <charset val="134"/>
    </font>
    <font>
      <b/>
      <vertAlign val="subscript"/>
      <sz val="11"/>
      <color theme="1"/>
      <name val="Calibri"/>
      <charset val="134"/>
      <scheme val="minor"/>
    </font>
    <font>
      <b/>
      <vertAlign val="superscript"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thin">
        <color auto="1"/>
      </right>
      <top/>
      <bottom/>
      <diagonal/>
    </border>
    <border>
      <left style="dashed">
        <color auto="1"/>
      </left>
      <right style="thin">
        <color auto="1"/>
      </right>
      <top/>
      <bottom style="thin">
        <color auto="1"/>
      </bottom>
      <diagonal/>
    </border>
    <border>
      <left style="dashed">
        <color auto="1"/>
      </left>
      <right style="thin">
        <color auto="1"/>
      </right>
      <top/>
      <bottom style="medium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8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/>
    <xf numFmtId="2" fontId="3" fillId="0" borderId="2" xfId="0" applyNumberFormat="1" applyFont="1" applyBorder="1"/>
    <xf numFmtId="0" fontId="2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center"/>
    </xf>
    <xf numFmtId="2" fontId="2" fillId="0" borderId="3" xfId="0" applyNumberFormat="1" applyFont="1" applyBorder="1"/>
    <xf numFmtId="0" fontId="3" fillId="0" borderId="2" xfId="0" applyFont="1" applyBorder="1"/>
    <xf numFmtId="0" fontId="3" fillId="0" borderId="4" xfId="0" applyFont="1" applyBorder="1" applyAlignment="1">
      <alignment horizontal="center"/>
    </xf>
    <xf numFmtId="2" fontId="2" fillId="0" borderId="4" xfId="0" applyNumberFormat="1" applyFont="1" applyBorder="1"/>
    <xf numFmtId="2" fontId="2" fillId="0" borderId="2" xfId="0" applyNumberFormat="1" applyFont="1" applyBorder="1"/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164" fontId="3" fillId="0" borderId="5" xfId="0" applyNumberFormat="1" applyFont="1" applyBorder="1"/>
    <xf numFmtId="2" fontId="3" fillId="0" borderId="5" xfId="0" applyNumberFormat="1" applyFont="1" applyBorder="1"/>
    <xf numFmtId="0" fontId="2" fillId="0" borderId="2" xfId="0" applyFont="1" applyBorder="1"/>
    <xf numFmtId="2" fontId="3" fillId="0" borderId="2" xfId="0" applyNumberFormat="1" applyFont="1" applyBorder="1" applyAlignment="1">
      <alignment horizontal="right"/>
    </xf>
    <xf numFmtId="1" fontId="3" fillId="0" borderId="0" xfId="0" applyNumberFormat="1" applyFont="1"/>
    <xf numFmtId="2" fontId="4" fillId="0" borderId="2" xfId="0" applyNumberFormat="1" applyFont="1" applyBorder="1"/>
    <xf numFmtId="2" fontId="4" fillId="0" borderId="5" xfId="1" applyNumberFormat="1" applyFont="1" applyBorder="1"/>
    <xf numFmtId="2" fontId="3" fillId="0" borderId="5" xfId="0" applyNumberFormat="1" applyFont="1" applyBorder="1" applyAlignment="1">
      <alignment horizontal="right"/>
    </xf>
    <xf numFmtId="1" fontId="3" fillId="0" borderId="9" xfId="0" applyNumberFormat="1" applyFont="1" applyBorder="1"/>
    <xf numFmtId="2" fontId="4" fillId="0" borderId="2" xfId="0" applyNumberFormat="1" applyFont="1" applyBorder="1" applyAlignment="1">
      <alignment horizontal="right"/>
    </xf>
    <xf numFmtId="2" fontId="2" fillId="0" borderId="4" xfId="0" applyNumberFormat="1" applyFont="1" applyBorder="1" applyAlignment="1">
      <alignment horizontal="right"/>
    </xf>
    <xf numFmtId="2" fontId="2" fillId="0" borderId="2" xfId="0" applyNumberFormat="1" applyFont="1" applyBorder="1" applyAlignment="1">
      <alignment horizontal="right"/>
    </xf>
    <xf numFmtId="2" fontId="5" fillId="0" borderId="2" xfId="0" applyNumberFormat="1" applyFont="1" applyBorder="1" applyAlignment="1">
      <alignment horizontal="right"/>
    </xf>
    <xf numFmtId="2" fontId="4" fillId="0" borderId="5" xfId="0" applyNumberFormat="1" applyFont="1" applyBorder="1" applyAlignment="1">
      <alignment horizontal="right"/>
    </xf>
    <xf numFmtId="2" fontId="5" fillId="0" borderId="4" xfId="0" applyNumberFormat="1" applyFont="1" applyBorder="1" applyAlignment="1">
      <alignment horizontal="right"/>
    </xf>
    <xf numFmtId="1" fontId="3" fillId="0" borderId="2" xfId="0" applyNumberFormat="1" applyFont="1" applyBorder="1"/>
    <xf numFmtId="2" fontId="3" fillId="0" borderId="11" xfId="0" applyNumberFormat="1" applyFont="1" applyBorder="1"/>
    <xf numFmtId="1" fontId="3" fillId="0" borderId="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right"/>
    </xf>
    <xf numFmtId="1" fontId="7" fillId="0" borderId="3" xfId="0" applyNumberFormat="1" applyFont="1" applyBorder="1" applyAlignment="1">
      <alignment horizontal="center"/>
    </xf>
    <xf numFmtId="165" fontId="7" fillId="0" borderId="3" xfId="0" applyNumberFormat="1" applyFont="1" applyBorder="1" applyAlignment="1">
      <alignment horizontal="right"/>
    </xf>
    <xf numFmtId="1" fontId="2" fillId="0" borderId="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right"/>
    </xf>
    <xf numFmtId="2" fontId="3" fillId="0" borderId="14" xfId="0" applyNumberFormat="1" applyFont="1" applyBorder="1"/>
    <xf numFmtId="1" fontId="3" fillId="0" borderId="5" xfId="0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right"/>
    </xf>
    <xf numFmtId="1" fontId="3" fillId="0" borderId="3" xfId="0" applyNumberFormat="1" applyFont="1" applyBorder="1"/>
    <xf numFmtId="2" fontId="3" fillId="0" borderId="3" xfId="0" applyNumberFormat="1" applyFont="1" applyBorder="1"/>
    <xf numFmtId="1" fontId="2" fillId="0" borderId="4" xfId="0" applyNumberFormat="1" applyFont="1" applyBorder="1"/>
    <xf numFmtId="1" fontId="2" fillId="0" borderId="2" xfId="0" applyNumberFormat="1" applyFont="1" applyBorder="1"/>
    <xf numFmtId="1" fontId="3" fillId="0" borderId="5" xfId="0" applyNumberFormat="1" applyFont="1" applyBorder="1"/>
    <xf numFmtId="0" fontId="3" fillId="0" borderId="0" xfId="0" applyFont="1"/>
    <xf numFmtId="164" fontId="3" fillId="0" borderId="0" xfId="0" applyNumberFormat="1" applyFont="1"/>
    <xf numFmtId="164" fontId="0" fillId="0" borderId="0" xfId="0" applyNumberFormat="1"/>
    <xf numFmtId="2" fontId="5" fillId="0" borderId="3" xfId="0" applyNumberFormat="1" applyFont="1" applyBorder="1" applyAlignment="1">
      <alignment horizontal="right"/>
    </xf>
    <xf numFmtId="2" fontId="3" fillId="0" borderId="0" xfId="0" applyNumberFormat="1" applyFont="1"/>
    <xf numFmtId="1" fontId="2" fillId="0" borderId="3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right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right"/>
    </xf>
    <xf numFmtId="0" fontId="4" fillId="0" borderId="0" xfId="0" applyFont="1"/>
    <xf numFmtId="0" fontId="8" fillId="0" borderId="0" xfId="0" applyFont="1"/>
    <xf numFmtId="1" fontId="2" fillId="0" borderId="3" xfId="0" applyNumberFormat="1" applyFont="1" applyBorder="1"/>
    <xf numFmtId="1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/>
    <xf numFmtId="0" fontId="2" fillId="4" borderId="3" xfId="0" applyFont="1" applyFill="1" applyBorder="1" applyAlignment="1">
      <alignment horizontal="right"/>
    </xf>
    <xf numFmtId="0" fontId="2" fillId="4" borderId="4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164" fontId="2" fillId="4" borderId="3" xfId="0" applyNumberFormat="1" applyFont="1" applyFill="1" applyBorder="1"/>
    <xf numFmtId="2" fontId="2" fillId="4" borderId="3" xfId="0" applyNumberFormat="1" applyFont="1" applyFill="1" applyBorder="1"/>
    <xf numFmtId="1" fontId="2" fillId="4" borderId="7" xfId="0" applyNumberFormat="1" applyFont="1" applyFill="1" applyBorder="1"/>
    <xf numFmtId="2" fontId="6" fillId="4" borderId="12" xfId="0" applyNumberFormat="1" applyFont="1" applyFill="1" applyBorder="1"/>
    <xf numFmtId="1" fontId="2" fillId="4" borderId="8" xfId="0" applyNumberFormat="1" applyFont="1" applyFill="1" applyBorder="1"/>
    <xf numFmtId="2" fontId="6" fillId="4" borderId="13" xfId="0" applyNumberFormat="1" applyFont="1" applyFill="1" applyBorder="1"/>
    <xf numFmtId="164" fontId="2" fillId="4" borderId="4" xfId="0" applyNumberFormat="1" applyFont="1" applyFill="1" applyBorder="1"/>
    <xf numFmtId="2" fontId="2" fillId="4" borderId="4" xfId="0" applyNumberFormat="1" applyFont="1" applyFill="1" applyBorder="1"/>
    <xf numFmtId="2" fontId="2" fillId="4" borderId="2" xfId="0" applyNumberFormat="1" applyFont="1" applyFill="1" applyBorder="1"/>
    <xf numFmtId="164" fontId="2" fillId="4" borderId="2" xfId="0" applyNumberFormat="1" applyFont="1" applyFill="1" applyBorder="1"/>
    <xf numFmtId="1" fontId="2" fillId="4" borderId="0" xfId="0" applyNumberFormat="1" applyFont="1" applyFill="1"/>
    <xf numFmtId="2" fontId="6" fillId="4" borderId="11" xfId="0" applyNumberFormat="1" applyFont="1" applyFill="1" applyBorder="1"/>
  </cellXfs>
  <cellStyles count="2">
    <cellStyle name="Normal 2" xfId="1" xr:uid="{00000000-0005-0000-0000-000031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70;&#1079;&#1103;/Desktop/&#1053;&#1091;&#1078;&#1085;&#1086;%20&#1088;&#1072;&#1079;&#1084;&#1077;&#1090;&#1080;&#1090;&#1100;/environment-table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"/>
      <sheetName val="Test Conditions"/>
      <sheetName val="3a"/>
      <sheetName val="3b"/>
      <sheetName val="3c"/>
      <sheetName val="7a"/>
      <sheetName val="7b"/>
      <sheetName val="7c"/>
      <sheetName val="14a"/>
      <sheetName val="14b"/>
      <sheetName val="14c"/>
      <sheetName val="18a"/>
      <sheetName val="18b"/>
      <sheetName val="18c"/>
      <sheetName val="22a"/>
      <sheetName val="22b"/>
      <sheetName val="22c"/>
      <sheetName val="11a"/>
      <sheetName val="11b"/>
      <sheetName val="11c"/>
      <sheetName val="21a"/>
      <sheetName val="21b"/>
      <sheetName val="21c"/>
      <sheetName val="21d"/>
      <sheetName val="21e"/>
      <sheetName val="21f"/>
      <sheetName val="21g"/>
      <sheetName val="21h"/>
      <sheetName val="21i"/>
      <sheetName val="21j"/>
      <sheetName val="21k"/>
      <sheetName val="21l"/>
      <sheetName val="21m"/>
      <sheetName val="21o"/>
      <sheetName val="21p"/>
      <sheetName val="21q"/>
      <sheetName val="10a"/>
      <sheetName val="10b"/>
      <sheetName val="10c"/>
      <sheetName val="10d"/>
      <sheetName val="10e"/>
      <sheetName val="10eR"/>
      <sheetName val="10f"/>
      <sheetName val="10g"/>
      <sheetName val="10h"/>
      <sheetName val="10i"/>
      <sheetName val="1a"/>
      <sheetName val="1b"/>
      <sheetName val="1c"/>
      <sheetName val="12a"/>
      <sheetName val="12b"/>
      <sheetName val="12c"/>
      <sheetName val="16a"/>
      <sheetName val="16b"/>
      <sheetName val="16cR"/>
      <sheetName val="5a"/>
      <sheetName val="5b"/>
      <sheetName val="5c"/>
      <sheetName val="9a"/>
      <sheetName val="9aR"/>
      <sheetName val="9b"/>
      <sheetName val="9c"/>
      <sheetName val="20a"/>
      <sheetName val="20b"/>
      <sheetName val="20c"/>
      <sheetName val="27aR"/>
      <sheetName val="27bR"/>
      <sheetName val="27c"/>
      <sheetName val="28a"/>
      <sheetName val="28b"/>
      <sheetName val="28c"/>
      <sheetName val="PM 4C 0hr"/>
      <sheetName val="PM 4C 48hr R"/>
      <sheetName val="PM 4C 96hr R"/>
      <sheetName val="PM 20C 0hr"/>
      <sheetName val="PM 20C 48hr R"/>
      <sheetName val="PM 20C 96hr R2"/>
    </sheetNames>
    <sheetDataSet>
      <sheetData sheetId="0"/>
      <sheetData sheetId="1"/>
      <sheetData sheetId="2">
        <row r="18">
          <cell r="S18">
            <v>6.31034482758621</v>
          </cell>
        </row>
      </sheetData>
      <sheetData sheetId="3">
        <row r="18">
          <cell r="S18">
            <v>7.0054146480478803</v>
          </cell>
        </row>
      </sheetData>
      <sheetData sheetId="4">
        <row r="19">
          <cell r="S19">
            <v>6.9239532896610703</v>
          </cell>
        </row>
      </sheetData>
      <sheetData sheetId="5">
        <row r="19">
          <cell r="S19">
            <v>5.5625</v>
          </cell>
        </row>
      </sheetData>
      <sheetData sheetId="6">
        <row r="19">
          <cell r="S19">
            <v>5.9749303621169902</v>
          </cell>
        </row>
      </sheetData>
      <sheetData sheetId="7">
        <row r="19">
          <cell r="S19">
            <v>7.3374498301945001</v>
          </cell>
        </row>
      </sheetData>
      <sheetData sheetId="8">
        <row r="19">
          <cell r="S19">
            <v>19.934405300414902</v>
          </cell>
        </row>
      </sheetData>
      <sheetData sheetId="9">
        <row r="19">
          <cell r="S19">
            <v>13.474200334218899</v>
          </cell>
        </row>
      </sheetData>
      <sheetData sheetId="10">
        <row r="19">
          <cell r="S19">
            <v>23.853065591465</v>
          </cell>
        </row>
      </sheetData>
      <sheetData sheetId="11">
        <row r="19">
          <cell r="S19">
            <v>15.5550737371591</v>
          </cell>
        </row>
      </sheetData>
      <sheetData sheetId="12">
        <row r="19">
          <cell r="S19">
            <v>12.107105809366001</v>
          </cell>
        </row>
      </sheetData>
      <sheetData sheetId="13">
        <row r="19">
          <cell r="S19">
            <v>11.910835854912399</v>
          </cell>
        </row>
      </sheetData>
      <sheetData sheetId="14">
        <row r="19">
          <cell r="S19">
            <v>31.1487878431202</v>
          </cell>
        </row>
      </sheetData>
      <sheetData sheetId="15">
        <row r="19">
          <cell r="S19">
            <v>29.7501719886356</v>
          </cell>
        </row>
      </sheetData>
      <sheetData sheetId="16">
        <row r="19">
          <cell r="S19">
            <v>31.253747376779</v>
          </cell>
        </row>
      </sheetData>
      <sheetData sheetId="17">
        <row r="19">
          <cell r="S19">
            <v>30.722969649255202</v>
          </cell>
        </row>
      </sheetData>
      <sheetData sheetId="18">
        <row r="19">
          <cell r="S19">
            <v>30.430318622426</v>
          </cell>
        </row>
      </sheetData>
      <sheetData sheetId="19">
        <row r="19">
          <cell r="S19">
            <v>56.083808430087402</v>
          </cell>
        </row>
      </sheetData>
      <sheetData sheetId="20">
        <row r="19">
          <cell r="S19">
            <v>75.256231383069803</v>
          </cell>
        </row>
      </sheetData>
      <sheetData sheetId="21">
        <row r="19">
          <cell r="S19">
            <v>75.980675523013602</v>
          </cell>
        </row>
      </sheetData>
      <sheetData sheetId="22">
        <row r="19">
          <cell r="S19">
            <v>74.584367458458303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9">
          <cell r="S19">
            <v>35.4250999200639</v>
          </cell>
        </row>
      </sheetData>
      <sheetData sheetId="37">
        <row r="19">
          <cell r="S19">
            <v>32.584920666481104</v>
          </cell>
        </row>
      </sheetData>
      <sheetData sheetId="38">
        <row r="19">
          <cell r="S19">
            <v>34.517468275105799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>
        <row r="19">
          <cell r="S19">
            <v>11.937997181821</v>
          </cell>
        </row>
      </sheetData>
      <sheetData sheetId="47">
        <row r="19">
          <cell r="S19">
            <v>16.742878487167101</v>
          </cell>
        </row>
      </sheetData>
      <sheetData sheetId="48">
        <row r="19">
          <cell r="S19">
            <v>9.8912676782627695</v>
          </cell>
        </row>
      </sheetData>
      <sheetData sheetId="49">
        <row r="19">
          <cell r="S19">
            <v>17.464251724431001</v>
          </cell>
        </row>
      </sheetData>
      <sheetData sheetId="50">
        <row r="19">
          <cell r="S19">
            <v>43.451490612951098</v>
          </cell>
        </row>
      </sheetData>
      <sheetData sheetId="51">
        <row r="19">
          <cell r="S19">
            <v>18.520004908603099</v>
          </cell>
        </row>
      </sheetData>
      <sheetData sheetId="52">
        <row r="19">
          <cell r="S19">
            <v>11.058954534290001</v>
          </cell>
        </row>
      </sheetData>
      <sheetData sheetId="53">
        <row r="19">
          <cell r="S19">
            <v>14.8370945915938</v>
          </cell>
        </row>
      </sheetData>
      <sheetData sheetId="54">
        <row r="19">
          <cell r="S19">
            <v>16.709359408761198</v>
          </cell>
        </row>
      </sheetData>
      <sheetData sheetId="55">
        <row r="19">
          <cell r="S19">
            <v>13.588806521675901</v>
          </cell>
        </row>
      </sheetData>
      <sheetData sheetId="56">
        <row r="19">
          <cell r="S19">
            <v>7.2317162255013896</v>
          </cell>
        </row>
      </sheetData>
      <sheetData sheetId="57">
        <row r="19">
          <cell r="S19">
            <v>14.1791099662061</v>
          </cell>
        </row>
      </sheetData>
      <sheetData sheetId="58">
        <row r="19">
          <cell r="S19">
            <v>48.149313268901601</v>
          </cell>
        </row>
      </sheetData>
      <sheetData sheetId="59">
        <row r="19">
          <cell r="S19">
            <v>50.495481913439903</v>
          </cell>
        </row>
      </sheetData>
      <sheetData sheetId="60">
        <row r="19">
          <cell r="S19">
            <v>31.390960610287099</v>
          </cell>
        </row>
      </sheetData>
      <sheetData sheetId="61">
        <row r="18">
          <cell r="S18">
            <v>44.977571095505198</v>
          </cell>
        </row>
      </sheetData>
      <sheetData sheetId="62">
        <row r="19">
          <cell r="S19">
            <v>86.387440209660397</v>
          </cell>
        </row>
      </sheetData>
      <sheetData sheetId="63">
        <row r="19">
          <cell r="S19">
            <v>119.512526415933</v>
          </cell>
        </row>
      </sheetData>
      <sheetData sheetId="64">
        <row r="19">
          <cell r="S19">
            <v>72.917425526738299</v>
          </cell>
        </row>
      </sheetData>
      <sheetData sheetId="65">
        <row r="19">
          <cell r="S19">
            <v>28.122449949060002</v>
          </cell>
        </row>
      </sheetData>
      <sheetData sheetId="66">
        <row r="19">
          <cell r="S19">
            <v>25.6446268642297</v>
          </cell>
        </row>
      </sheetData>
      <sheetData sheetId="67">
        <row r="19">
          <cell r="S19">
            <v>31.933605025499102</v>
          </cell>
        </row>
      </sheetData>
      <sheetData sheetId="68">
        <row r="19">
          <cell r="S19">
            <v>23.704798624721001</v>
          </cell>
        </row>
      </sheetData>
      <sheetData sheetId="69">
        <row r="19">
          <cell r="S19">
            <v>20.8428978881227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O81"/>
  <sheetViews>
    <sheetView tabSelected="1" zoomScale="85" zoomScaleNormal="85" workbookViewId="0">
      <selection activeCell="Y7" sqref="Y7"/>
    </sheetView>
  </sheetViews>
  <sheetFormatPr defaultColWidth="9" defaultRowHeight="15"/>
  <cols>
    <col min="1" max="1" width="22.28515625" customWidth="1"/>
    <col min="2" max="2" width="8.28515625" customWidth="1"/>
    <col min="4" max="4" width="8.7109375" customWidth="1"/>
    <col min="5" max="7" width="10.140625" customWidth="1"/>
    <col min="8" max="8" width="10.42578125" customWidth="1"/>
    <col min="9" max="9" width="6.140625" customWidth="1"/>
    <col min="10" max="10" width="10" customWidth="1"/>
    <col min="11" max="11" width="6.7109375" customWidth="1"/>
    <col min="12" max="12" width="9.42578125" customWidth="1"/>
    <col min="13" max="13" width="12.28515625" customWidth="1"/>
    <col min="14" max="14" width="11" hidden="1" customWidth="1"/>
    <col min="15" max="15" width="11.5703125" hidden="1" customWidth="1"/>
  </cols>
  <sheetData>
    <row r="1" spans="1:15" ht="81">
      <c r="A1" s="61" t="s">
        <v>0</v>
      </c>
      <c r="B1" s="62" t="s">
        <v>1</v>
      </c>
      <c r="C1" s="62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4" t="s">
        <v>7</v>
      </c>
      <c r="I1" s="65" t="s">
        <v>8</v>
      </c>
      <c r="J1" s="63" t="s">
        <v>9</v>
      </c>
      <c r="K1" s="63" t="s">
        <v>10</v>
      </c>
      <c r="N1" s="1" t="s">
        <v>11</v>
      </c>
      <c r="O1" s="1" t="s">
        <v>12</v>
      </c>
    </row>
    <row r="2" spans="1:15">
      <c r="A2" s="66" t="s">
        <v>13</v>
      </c>
      <c r="B2" s="2" t="s">
        <v>14</v>
      </c>
      <c r="C2" s="3">
        <v>22.4</v>
      </c>
      <c r="D2" s="4">
        <v>9.27</v>
      </c>
      <c r="E2" s="4">
        <v>9.4700000000000006</v>
      </c>
      <c r="F2" s="17" t="s">
        <v>15</v>
      </c>
      <c r="G2" s="8">
        <v>5</v>
      </c>
      <c r="H2" s="18">
        <v>9.9152800513463504</v>
      </c>
      <c r="I2" s="30"/>
      <c r="J2" s="31">
        <v>1</v>
      </c>
      <c r="K2" s="32" t="s">
        <v>16</v>
      </c>
      <c r="N2" s="29">
        <f>'[1]1a'!S19</f>
        <v>11.937997181821</v>
      </c>
      <c r="O2" s="4">
        <f t="shared" ref="O2:O8" si="0">N2/G2</f>
        <v>2.3875994363642001</v>
      </c>
    </row>
    <row r="3" spans="1:15">
      <c r="A3" s="66" t="s">
        <v>17</v>
      </c>
      <c r="B3" s="2" t="s">
        <v>18</v>
      </c>
      <c r="C3" s="3">
        <v>20.9</v>
      </c>
      <c r="D3" s="4">
        <v>9.1999999999999993</v>
      </c>
      <c r="E3" s="4">
        <v>9.23</v>
      </c>
      <c r="F3" s="17" t="s">
        <v>19</v>
      </c>
      <c r="G3" s="8">
        <v>30</v>
      </c>
      <c r="H3" s="18">
        <v>13.589998772051199</v>
      </c>
      <c r="I3" s="30"/>
      <c r="J3" s="31">
        <v>4</v>
      </c>
      <c r="K3" s="32">
        <v>0.66700000000000004</v>
      </c>
      <c r="N3" s="29">
        <f>'[1]1b'!S19</f>
        <v>16.742878487167101</v>
      </c>
      <c r="O3" s="4">
        <f t="shared" si="0"/>
        <v>0.55809594957223674</v>
      </c>
    </row>
    <row r="4" spans="1:15">
      <c r="A4" s="5"/>
      <c r="B4" s="2" t="s">
        <v>20</v>
      </c>
      <c r="C4" s="3">
        <v>19.850000000000001</v>
      </c>
      <c r="D4" s="4">
        <v>9.26</v>
      </c>
      <c r="E4" s="4">
        <v>9.2949999999999999</v>
      </c>
      <c r="F4" s="17" t="s">
        <v>21</v>
      </c>
      <c r="G4" s="8">
        <v>10</v>
      </c>
      <c r="H4" s="18">
        <v>7.9495822208260201</v>
      </c>
      <c r="I4" s="30"/>
      <c r="J4" s="31">
        <v>2</v>
      </c>
      <c r="K4" s="32">
        <v>0.97499999999999998</v>
      </c>
      <c r="N4" s="29">
        <f>'[1]1c'!S19</f>
        <v>9.8912676782627695</v>
      </c>
      <c r="O4" s="4">
        <f t="shared" si="0"/>
        <v>0.98912676782627695</v>
      </c>
    </row>
    <row r="5" spans="1:15">
      <c r="A5" s="70" t="s">
        <v>22</v>
      </c>
      <c r="B5" s="6"/>
      <c r="C5" s="73">
        <f t="shared" ref="C5:H5" si="1">AVERAGE(C2:C4)</f>
        <v>21.05</v>
      </c>
      <c r="D5" s="74">
        <f t="shared" si="1"/>
        <v>9.2433333333333323</v>
      </c>
      <c r="E5" s="74">
        <f t="shared" si="1"/>
        <v>9.3316666666666688</v>
      </c>
      <c r="F5" s="7"/>
      <c r="G5" s="7"/>
      <c r="H5" s="75">
        <f t="shared" si="1"/>
        <v>10.484953681407857</v>
      </c>
      <c r="I5" s="76" t="e">
        <f ca="1">_xludf.STDEV.P(H2:H4)</f>
        <v>#NAME?</v>
      </c>
      <c r="J5" s="33"/>
      <c r="K5" s="34"/>
      <c r="N5" s="42"/>
      <c r="O5" s="43"/>
    </row>
    <row r="6" spans="1:15">
      <c r="A6" s="8"/>
      <c r="B6" s="2" t="s">
        <v>23</v>
      </c>
      <c r="C6" s="3">
        <v>4.6500000000000004</v>
      </c>
      <c r="D6" s="4">
        <v>9.15</v>
      </c>
      <c r="E6" s="4">
        <v>9.0749999999999993</v>
      </c>
      <c r="F6" s="17" t="s">
        <v>24</v>
      </c>
      <c r="G6" s="8">
        <v>10</v>
      </c>
      <c r="H6" s="18">
        <v>13.918511037601901</v>
      </c>
      <c r="I6" s="30"/>
      <c r="J6" s="31">
        <v>2</v>
      </c>
      <c r="K6" s="32">
        <v>0.78800000000000003</v>
      </c>
      <c r="N6" s="29">
        <f>'[1]12a'!S19</f>
        <v>17.464251724431001</v>
      </c>
      <c r="O6" s="4">
        <f t="shared" si="0"/>
        <v>1.7464251724431001</v>
      </c>
    </row>
    <row r="7" spans="1:15">
      <c r="A7" s="8"/>
      <c r="B7" s="2" t="s">
        <v>25</v>
      </c>
      <c r="C7" s="3">
        <v>4.45</v>
      </c>
      <c r="D7" s="4">
        <v>9.31</v>
      </c>
      <c r="E7" s="4">
        <v>9.5316666666666698</v>
      </c>
      <c r="F7" s="19">
        <v>5.0999999999999996</v>
      </c>
      <c r="G7" s="8">
        <v>60</v>
      </c>
      <c r="H7" s="18">
        <v>48.685143543922798</v>
      </c>
      <c r="I7" s="30"/>
      <c r="J7" s="31">
        <v>5</v>
      </c>
      <c r="K7" s="32">
        <v>0.54800000000000004</v>
      </c>
      <c r="N7" s="29">
        <f>'[1]12b'!S19</f>
        <v>43.451490612951098</v>
      </c>
      <c r="O7" s="4">
        <f t="shared" si="0"/>
        <v>0.7241915102158516</v>
      </c>
    </row>
    <row r="8" spans="1:15">
      <c r="A8" s="8"/>
      <c r="B8" s="2" t="s">
        <v>26</v>
      </c>
      <c r="C8" s="3">
        <v>4.7</v>
      </c>
      <c r="D8" s="4">
        <v>9.33</v>
      </c>
      <c r="E8" s="4">
        <v>10.475</v>
      </c>
      <c r="F8" s="17" t="s">
        <v>27</v>
      </c>
      <c r="G8" s="8">
        <v>10</v>
      </c>
      <c r="H8" s="18">
        <v>14.576942076822601</v>
      </c>
      <c r="I8" s="30"/>
      <c r="J8" s="31">
        <v>2</v>
      </c>
      <c r="K8" s="32">
        <v>0.83499999999999996</v>
      </c>
      <c r="N8" s="29">
        <f>'[1]12c'!S19</f>
        <v>18.520004908603099</v>
      </c>
      <c r="O8" s="4">
        <f t="shared" si="0"/>
        <v>1.8520004908603098</v>
      </c>
    </row>
    <row r="9" spans="1:15">
      <c r="A9" s="71" t="s">
        <v>22</v>
      </c>
      <c r="B9" s="9"/>
      <c r="C9" s="79">
        <f t="shared" ref="C9:H9" si="2">AVERAGE(C6:C8)</f>
        <v>4.6000000000000005</v>
      </c>
      <c r="D9" s="80">
        <f t="shared" si="2"/>
        <v>9.2633333333333336</v>
      </c>
      <c r="E9" s="80">
        <f t="shared" si="2"/>
        <v>9.6938888888888908</v>
      </c>
      <c r="F9" s="10"/>
      <c r="G9" s="10"/>
      <c r="H9" s="77">
        <f t="shared" si="2"/>
        <v>25.726865552782431</v>
      </c>
      <c r="I9" s="78" t="e">
        <f ca="1">_xludf.STDEV.P(H6:H8)</f>
        <v>#NAME?</v>
      </c>
      <c r="J9" s="35"/>
      <c r="K9" s="36"/>
      <c r="N9" s="44"/>
      <c r="O9" s="10"/>
    </row>
    <row r="10" spans="1:15">
      <c r="A10" s="68" t="s">
        <v>28</v>
      </c>
      <c r="B10" s="2" t="s">
        <v>29</v>
      </c>
      <c r="C10" s="3">
        <v>22.48</v>
      </c>
      <c r="D10" s="4">
        <v>8.98</v>
      </c>
      <c r="E10" s="4">
        <v>8.8800000000000008</v>
      </c>
      <c r="F10" s="17" t="s">
        <v>30</v>
      </c>
      <c r="G10" s="8">
        <v>5</v>
      </c>
      <c r="H10" s="18">
        <v>5.9113300492610801</v>
      </c>
      <c r="I10" s="30"/>
      <c r="J10" s="31">
        <v>1</v>
      </c>
      <c r="K10" s="32" t="s">
        <v>16</v>
      </c>
      <c r="N10" s="29">
        <f>'[1]3a'!S18</f>
        <v>6.31034482758621</v>
      </c>
      <c r="O10" s="4">
        <f t="shared" ref="O10:O12" si="3">N10/G10</f>
        <v>1.2620689655172419</v>
      </c>
    </row>
    <row r="11" spans="1:15">
      <c r="A11" s="68" t="s">
        <v>31</v>
      </c>
      <c r="B11" s="2" t="s">
        <v>32</v>
      </c>
      <c r="C11" s="3">
        <v>23.85</v>
      </c>
      <c r="D11" s="4">
        <v>8.76</v>
      </c>
      <c r="E11" s="4">
        <v>8.7650000000000006</v>
      </c>
      <c r="F11" s="17" t="s">
        <v>33</v>
      </c>
      <c r="G11" s="8">
        <v>10</v>
      </c>
      <c r="H11" s="18">
        <v>5.5367829662500503</v>
      </c>
      <c r="I11" s="30"/>
      <c r="J11" s="31">
        <v>2</v>
      </c>
      <c r="K11" s="32">
        <v>0.99866999999999995</v>
      </c>
      <c r="N11" s="29">
        <f>'[1]3b'!S18</f>
        <v>7.0054146480478803</v>
      </c>
      <c r="O11" s="4">
        <f t="shared" si="3"/>
        <v>0.70054146480478807</v>
      </c>
    </row>
    <row r="12" spans="1:15">
      <c r="A12" s="68" t="s">
        <v>34</v>
      </c>
      <c r="B12" s="2" t="s">
        <v>35</v>
      </c>
      <c r="C12" s="3">
        <v>23.7</v>
      </c>
      <c r="D12" s="4">
        <v>8.64</v>
      </c>
      <c r="E12" s="4">
        <v>8.6850000000000005</v>
      </c>
      <c r="F12" s="17" t="s">
        <v>36</v>
      </c>
      <c r="G12" s="8">
        <v>10</v>
      </c>
      <c r="H12" s="18">
        <v>5.5336290027261299</v>
      </c>
      <c r="I12" s="30"/>
      <c r="J12" s="31">
        <v>2</v>
      </c>
      <c r="K12" s="32">
        <v>0.92689999999999995</v>
      </c>
      <c r="N12" s="29">
        <f>'[1]3c'!S19</f>
        <v>6.9239532896610703</v>
      </c>
      <c r="O12" s="4">
        <f t="shared" si="3"/>
        <v>0.692395328966107</v>
      </c>
    </row>
    <row r="13" spans="1:15">
      <c r="A13" s="67" t="s">
        <v>22</v>
      </c>
      <c r="B13" s="2"/>
      <c r="C13" s="82">
        <f t="shared" ref="C13:H13" si="4">AVERAGE(C10:C12)</f>
        <v>23.343333333333334</v>
      </c>
      <c r="D13" s="81">
        <f t="shared" si="4"/>
        <v>8.7933333333333348</v>
      </c>
      <c r="E13" s="81">
        <f t="shared" si="4"/>
        <v>8.7766666666666691</v>
      </c>
      <c r="F13" s="11"/>
      <c r="G13" s="11"/>
      <c r="H13" s="83">
        <f t="shared" si="4"/>
        <v>5.6605806727457528</v>
      </c>
      <c r="I13" s="84" t="e">
        <f ca="1">_xludf.STDEV.P(H10:H12)</f>
        <v>#NAME?</v>
      </c>
      <c r="J13" s="37"/>
      <c r="K13" s="38"/>
      <c r="N13" s="45"/>
      <c r="O13" s="11"/>
    </row>
    <row r="14" spans="1:15">
      <c r="A14" s="12"/>
      <c r="B14" s="13" t="s">
        <v>37</v>
      </c>
      <c r="C14" s="14">
        <v>7.9</v>
      </c>
      <c r="D14" s="15">
        <v>9.31</v>
      </c>
      <c r="E14" s="20">
        <v>9.2799999999999994</v>
      </c>
      <c r="F14" s="21" t="s">
        <v>38</v>
      </c>
      <c r="G14" s="12">
        <v>30</v>
      </c>
      <c r="H14" s="22">
        <v>9.5026834610430306</v>
      </c>
      <c r="I14" s="39"/>
      <c r="J14" s="40">
        <v>3</v>
      </c>
      <c r="K14" s="41">
        <v>0.78029999999999999</v>
      </c>
      <c r="N14" s="46">
        <f>'[1]14a'!S19</f>
        <v>19.934405300414902</v>
      </c>
      <c r="O14" s="15">
        <f t="shared" ref="O14:O16" si="5">N14/G14</f>
        <v>0.66448017668049675</v>
      </c>
    </row>
    <row r="15" spans="1:15">
      <c r="A15" s="8"/>
      <c r="B15" s="2" t="s">
        <v>39</v>
      </c>
      <c r="C15" s="3">
        <v>6.65</v>
      </c>
      <c r="D15" s="4">
        <v>9.34</v>
      </c>
      <c r="E15" s="4">
        <v>9.34</v>
      </c>
      <c r="F15" s="17" t="s">
        <v>40</v>
      </c>
      <c r="G15" s="8">
        <v>15</v>
      </c>
      <c r="H15" s="18">
        <v>10.829174469936801</v>
      </c>
      <c r="I15" s="30"/>
      <c r="J15" s="31">
        <v>3</v>
      </c>
      <c r="K15" s="32">
        <v>0.90375000000000005</v>
      </c>
      <c r="N15" s="29">
        <f>'[1]14b'!S19</f>
        <v>13.474200334218899</v>
      </c>
      <c r="O15" s="4">
        <f t="shared" si="5"/>
        <v>0.89828002228125992</v>
      </c>
    </row>
    <row r="16" spans="1:15">
      <c r="A16" s="8"/>
      <c r="B16" s="2" t="s">
        <v>41</v>
      </c>
      <c r="C16" s="3">
        <v>5.6</v>
      </c>
      <c r="D16" s="4">
        <v>9.24</v>
      </c>
      <c r="E16" s="4">
        <v>9.1720000000000006</v>
      </c>
      <c r="F16" s="23">
        <v>5.5</v>
      </c>
      <c r="G16" s="8">
        <v>30</v>
      </c>
      <c r="H16" s="18">
        <v>24.782405809314302</v>
      </c>
      <c r="I16" s="30"/>
      <c r="J16" s="31">
        <v>5</v>
      </c>
      <c r="K16">
        <f>0.64839</f>
        <v>0.64839000000000002</v>
      </c>
      <c r="N16" s="29">
        <f>'[1]14c'!S19</f>
        <v>23.853065591465</v>
      </c>
      <c r="O16" s="4">
        <f t="shared" si="5"/>
        <v>0.79510218638216668</v>
      </c>
    </row>
    <row r="17" spans="1:15">
      <c r="A17" s="71" t="s">
        <v>22</v>
      </c>
      <c r="B17" s="9"/>
      <c r="C17" s="79">
        <f t="shared" ref="C17:H17" si="6">AVERAGE(C14:C16)</f>
        <v>6.7166666666666659</v>
      </c>
      <c r="D17" s="80">
        <f t="shared" si="6"/>
        <v>9.2966666666666669</v>
      </c>
      <c r="E17" s="80">
        <f t="shared" si="6"/>
        <v>9.2639999999999993</v>
      </c>
      <c r="F17" s="24"/>
      <c r="G17" s="10"/>
      <c r="H17" s="77">
        <f t="shared" si="6"/>
        <v>15.038087913431378</v>
      </c>
      <c r="I17" s="78" t="e">
        <f ca="1">_xludf.STDEV.P(H14:H16)</f>
        <v>#NAME?</v>
      </c>
      <c r="J17" s="35"/>
      <c r="K17" s="36"/>
      <c r="N17" s="44"/>
      <c r="O17" s="10"/>
    </row>
    <row r="18" spans="1:15">
      <c r="A18" s="68" t="s">
        <v>42</v>
      </c>
      <c r="B18" s="2" t="s">
        <v>43</v>
      </c>
      <c r="C18" s="3">
        <v>20.2</v>
      </c>
      <c r="D18" s="4">
        <v>9.27</v>
      </c>
      <c r="E18" s="4">
        <v>9.2899999999999991</v>
      </c>
      <c r="F18" s="17" t="s">
        <v>44</v>
      </c>
      <c r="G18" s="8">
        <v>15</v>
      </c>
      <c r="H18" s="18">
        <v>10.3810592220595</v>
      </c>
      <c r="I18" s="30"/>
      <c r="J18" s="31">
        <v>3</v>
      </c>
      <c r="K18" s="32">
        <v>0.86960000000000004</v>
      </c>
      <c r="N18" s="29">
        <f>'[1]5a'!S19</f>
        <v>13.588806521675901</v>
      </c>
      <c r="O18" s="4">
        <f t="shared" ref="O18:O20" si="7">N18/G18</f>
        <v>0.90592043477839335</v>
      </c>
    </row>
    <row r="19" spans="1:15">
      <c r="A19" s="69" t="s">
        <v>45</v>
      </c>
      <c r="B19" s="2" t="s">
        <v>46</v>
      </c>
      <c r="C19" s="3">
        <v>19.5</v>
      </c>
      <c r="D19" s="4">
        <v>9.23</v>
      </c>
      <c r="E19" s="4">
        <v>9.2349999999999994</v>
      </c>
      <c r="F19" s="17" t="s">
        <v>47</v>
      </c>
      <c r="G19" s="8">
        <v>10</v>
      </c>
      <c r="H19" s="18">
        <v>5.2979606047629204</v>
      </c>
      <c r="I19" s="30"/>
      <c r="J19" s="31">
        <v>2</v>
      </c>
      <c r="K19" s="32">
        <v>0.99990000000000001</v>
      </c>
      <c r="N19" s="29">
        <f>'[1]5b'!S19</f>
        <v>7.2317162255013896</v>
      </c>
      <c r="O19" s="4">
        <f t="shared" si="7"/>
        <v>0.723171622550139</v>
      </c>
    </row>
    <row r="20" spans="1:15">
      <c r="A20" s="8"/>
      <c r="B20" s="2" t="s">
        <v>48</v>
      </c>
      <c r="C20" s="3">
        <v>20.2</v>
      </c>
      <c r="D20" s="4">
        <v>9.35</v>
      </c>
      <c r="E20" s="4">
        <v>9.35</v>
      </c>
      <c r="F20" s="17" t="s">
        <v>49</v>
      </c>
      <c r="G20" s="8">
        <v>10</v>
      </c>
      <c r="H20" s="18">
        <v>12.2577133920087</v>
      </c>
      <c r="I20" s="30"/>
      <c r="J20" s="31">
        <v>2</v>
      </c>
      <c r="K20" s="32">
        <v>0.84099999999999997</v>
      </c>
      <c r="N20" s="29">
        <f>'[1]5c'!S19</f>
        <v>14.1791099662061</v>
      </c>
      <c r="O20" s="4">
        <f t="shared" si="7"/>
        <v>1.41791099662061</v>
      </c>
    </row>
    <row r="21" spans="1:15">
      <c r="A21" s="72" t="s">
        <v>22</v>
      </c>
      <c r="B21" s="2"/>
      <c r="C21" s="82">
        <f t="shared" ref="C21:H21" si="8">AVERAGE(C18:C20)</f>
        <v>19.966666666666669</v>
      </c>
      <c r="D21" s="81">
        <f t="shared" si="8"/>
        <v>9.2833333333333332</v>
      </c>
      <c r="E21" s="81">
        <f t="shared" si="8"/>
        <v>9.2916666666666661</v>
      </c>
      <c r="F21" s="25"/>
      <c r="G21" s="11"/>
      <c r="H21" s="83">
        <f t="shared" si="8"/>
        <v>9.3122444062770402</v>
      </c>
      <c r="I21" s="84" t="e">
        <f ca="1">_xludf.STDEV.P(H18:H20)</f>
        <v>#NAME?</v>
      </c>
      <c r="J21" s="37"/>
      <c r="K21" s="38"/>
      <c r="N21" s="45"/>
      <c r="O21" s="11"/>
    </row>
    <row r="22" spans="1:15">
      <c r="A22" s="12"/>
      <c r="B22" s="13" t="s">
        <v>50</v>
      </c>
      <c r="C22" s="14">
        <v>4.3</v>
      </c>
      <c r="D22" s="15">
        <v>6.9349999999999996</v>
      </c>
      <c r="E22" s="20">
        <v>9.6</v>
      </c>
      <c r="F22" s="21" t="s">
        <v>51</v>
      </c>
      <c r="G22" s="12">
        <v>10</v>
      </c>
      <c r="H22" s="22">
        <v>8.8507039089955999</v>
      </c>
      <c r="I22" s="39"/>
      <c r="J22" s="40">
        <v>2</v>
      </c>
      <c r="K22" s="41">
        <v>0.98799999999999999</v>
      </c>
      <c r="N22" s="46">
        <f>'[1]16a'!S19</f>
        <v>11.058954534290001</v>
      </c>
      <c r="O22" s="15">
        <f t="shared" ref="O22:O24" si="9">N22/G22</f>
        <v>1.105895453429</v>
      </c>
    </row>
    <row r="23" spans="1:15">
      <c r="A23" s="8"/>
      <c r="B23" s="2" t="s">
        <v>52</v>
      </c>
      <c r="C23" s="3">
        <v>3.6666666666666701</v>
      </c>
      <c r="D23" s="4">
        <v>9.52</v>
      </c>
      <c r="E23" s="4">
        <v>9.5299999999999994</v>
      </c>
      <c r="F23" s="17" t="s">
        <v>27</v>
      </c>
      <c r="G23" s="8">
        <v>15</v>
      </c>
      <c r="H23" s="18">
        <v>11.6781539485193</v>
      </c>
      <c r="I23" s="30"/>
      <c r="J23" s="31">
        <v>3</v>
      </c>
      <c r="K23" s="32">
        <v>0.94940000000000002</v>
      </c>
      <c r="N23" s="29">
        <f>'[1]16b'!S19</f>
        <v>14.8370945915938</v>
      </c>
      <c r="O23" s="4">
        <f t="shared" si="9"/>
        <v>0.98913963943958672</v>
      </c>
    </row>
    <row r="24" spans="1:15">
      <c r="A24" s="8"/>
      <c r="B24" s="2" t="s">
        <v>53</v>
      </c>
      <c r="C24" s="3">
        <v>3.8</v>
      </c>
      <c r="D24" s="4">
        <v>9.5</v>
      </c>
      <c r="E24" s="4">
        <v>9.952</v>
      </c>
      <c r="F24" s="17" t="s">
        <v>54</v>
      </c>
      <c r="G24" s="8">
        <v>10</v>
      </c>
      <c r="H24" s="18">
        <v>12.816383055617401</v>
      </c>
      <c r="I24" s="30"/>
      <c r="J24" s="31">
        <v>2</v>
      </c>
      <c r="K24" s="32">
        <v>0.99219999999999997</v>
      </c>
      <c r="N24" s="29">
        <f>'[1]16cR'!S19</f>
        <v>16.709359408761198</v>
      </c>
      <c r="O24" s="4">
        <f t="shared" si="9"/>
        <v>1.6709359408761197</v>
      </c>
    </row>
    <row r="25" spans="1:15">
      <c r="A25" s="71" t="s">
        <v>22</v>
      </c>
      <c r="B25" s="9"/>
      <c r="C25" s="79">
        <f t="shared" ref="C25:H25" si="10">AVERAGE(C22:C24)</f>
        <v>3.9222222222222229</v>
      </c>
      <c r="D25" s="80">
        <f t="shared" si="10"/>
        <v>8.6516666666666655</v>
      </c>
      <c r="E25" s="80">
        <f t="shared" si="10"/>
        <v>9.6940000000000008</v>
      </c>
      <c r="F25" s="24"/>
      <c r="G25" s="10"/>
      <c r="H25" s="77">
        <f t="shared" si="10"/>
        <v>11.115080304377434</v>
      </c>
      <c r="I25" s="78" t="e">
        <f ca="1">_xludf.STDEV.P(H22:H24)</f>
        <v>#NAME?</v>
      </c>
      <c r="J25" s="35"/>
      <c r="K25" s="36"/>
      <c r="N25" s="44"/>
      <c r="O25" s="10"/>
    </row>
    <row r="26" spans="1:15">
      <c r="A26" s="68" t="s">
        <v>55</v>
      </c>
      <c r="B26" s="2" t="s">
        <v>56</v>
      </c>
      <c r="C26" s="3">
        <v>22.7</v>
      </c>
      <c r="D26" s="4">
        <v>8.85</v>
      </c>
      <c r="E26" s="4">
        <v>8.7100000000000009</v>
      </c>
      <c r="F26" s="17" t="s">
        <v>57</v>
      </c>
      <c r="G26" s="8">
        <v>5</v>
      </c>
      <c r="H26" s="18">
        <v>4.46428571428571</v>
      </c>
      <c r="I26" s="30"/>
      <c r="J26" s="31">
        <v>1</v>
      </c>
      <c r="K26" s="32" t="s">
        <v>16</v>
      </c>
      <c r="N26" s="29">
        <f>'[1]7a'!S19</f>
        <v>5.5625</v>
      </c>
      <c r="O26" s="4">
        <f t="shared" ref="O26:O28" si="11">N26/G26</f>
        <v>1.1125</v>
      </c>
    </row>
    <row r="27" spans="1:15">
      <c r="A27" s="69" t="s">
        <v>31</v>
      </c>
      <c r="B27" s="2" t="s">
        <v>58</v>
      </c>
      <c r="C27" s="3">
        <v>21.7</v>
      </c>
      <c r="D27" s="4">
        <v>9.07</v>
      </c>
      <c r="E27" s="4">
        <v>9.02</v>
      </c>
      <c r="F27" s="17" t="s">
        <v>36</v>
      </c>
      <c r="G27" s="8">
        <v>5</v>
      </c>
      <c r="H27" s="18">
        <v>4.77516912057302</v>
      </c>
      <c r="I27" s="30"/>
      <c r="J27" s="31">
        <v>1</v>
      </c>
      <c r="K27" s="32" t="s">
        <v>16</v>
      </c>
      <c r="N27" s="29">
        <f>'[1]7b'!S19</f>
        <v>5.9749303621169902</v>
      </c>
      <c r="O27" s="4">
        <f t="shared" si="11"/>
        <v>1.194986072423398</v>
      </c>
    </row>
    <row r="28" spans="1:15">
      <c r="A28" s="69" t="s">
        <v>34</v>
      </c>
      <c r="B28" s="2" t="s">
        <v>59</v>
      </c>
      <c r="C28" s="3">
        <v>21.7</v>
      </c>
      <c r="D28" s="4">
        <v>9.09</v>
      </c>
      <c r="E28" s="4">
        <v>8.9949999999999992</v>
      </c>
      <c r="F28" s="17" t="s">
        <v>60</v>
      </c>
      <c r="G28" s="8">
        <v>10</v>
      </c>
      <c r="H28" s="18">
        <v>5.3908355795148202</v>
      </c>
      <c r="I28" s="30"/>
      <c r="J28" s="31">
        <v>2</v>
      </c>
      <c r="K28" s="32">
        <v>0.98714999999999997</v>
      </c>
      <c r="N28" s="29">
        <f>'[1]7c'!S19</f>
        <v>7.3374498301945001</v>
      </c>
      <c r="O28" s="4">
        <f t="shared" si="11"/>
        <v>0.73374498301945001</v>
      </c>
    </row>
    <row r="29" spans="1:15">
      <c r="A29" s="72" t="s">
        <v>22</v>
      </c>
      <c r="B29" s="2"/>
      <c r="C29" s="82">
        <f t="shared" ref="C29:H29" si="12">AVERAGE(C26:C28)</f>
        <v>22.033333333333331</v>
      </c>
      <c r="D29" s="81">
        <f t="shared" si="12"/>
        <v>9.0033333333333339</v>
      </c>
      <c r="E29" s="81">
        <f t="shared" si="12"/>
        <v>8.9083333333333332</v>
      </c>
      <c r="F29" s="25"/>
      <c r="G29" s="11"/>
      <c r="H29" s="83">
        <f t="shared" si="12"/>
        <v>4.8767634714578501</v>
      </c>
      <c r="I29" s="84" t="e">
        <f ca="1">_xludf.STDEV.P(H26:H28)</f>
        <v>#NAME?</v>
      </c>
      <c r="J29" s="37"/>
      <c r="K29" s="38"/>
      <c r="N29" s="45"/>
      <c r="O29" s="11"/>
    </row>
    <row r="30" spans="1:15">
      <c r="A30" s="12"/>
      <c r="B30" s="13" t="s">
        <v>61</v>
      </c>
      <c r="C30" s="14">
        <v>4.8499999999999996</v>
      </c>
      <c r="D30" s="15">
        <v>9.25</v>
      </c>
      <c r="E30" s="15">
        <v>9.2125000000000004</v>
      </c>
      <c r="F30" s="21" t="s">
        <v>40</v>
      </c>
      <c r="G30" s="12">
        <v>30</v>
      </c>
      <c r="H30" s="22">
        <v>12.5015661942207</v>
      </c>
      <c r="I30" s="39"/>
      <c r="J30" s="40">
        <v>4</v>
      </c>
      <c r="K30" s="41">
        <v>0.93430000000000002</v>
      </c>
      <c r="N30" s="46">
        <f>'[1]18a'!S19</f>
        <v>15.5550737371591</v>
      </c>
      <c r="O30" s="15">
        <f t="shared" ref="O30:O32" si="13">N30/G30</f>
        <v>0.51850245790530336</v>
      </c>
    </row>
    <row r="31" spans="1:15">
      <c r="A31" s="8"/>
      <c r="B31" s="2" t="s">
        <v>62</v>
      </c>
      <c r="C31" s="3">
        <v>5.2333333333333298</v>
      </c>
      <c r="D31" s="4">
        <v>9.18</v>
      </c>
      <c r="E31" s="4">
        <v>9.1199999999999992</v>
      </c>
      <c r="F31" s="17" t="s">
        <v>19</v>
      </c>
      <c r="G31" s="8">
        <v>15</v>
      </c>
      <c r="H31" s="18">
        <v>9.8271962738360106</v>
      </c>
      <c r="I31" s="30"/>
      <c r="J31" s="31">
        <v>3</v>
      </c>
      <c r="K31" s="32">
        <v>0.93149999999999999</v>
      </c>
      <c r="N31" s="29">
        <f>'[1]18b'!S19</f>
        <v>12.107105809366001</v>
      </c>
      <c r="O31" s="4">
        <f t="shared" si="13"/>
        <v>0.80714038729106674</v>
      </c>
    </row>
    <row r="32" spans="1:15">
      <c r="A32" s="8"/>
      <c r="B32" s="2" t="s">
        <v>63</v>
      </c>
      <c r="C32" s="3">
        <v>5.6666666666666696</v>
      </c>
      <c r="D32" s="4">
        <v>9.3000000000000007</v>
      </c>
      <c r="E32" s="4">
        <v>9.25</v>
      </c>
      <c r="F32" s="17" t="s">
        <v>64</v>
      </c>
      <c r="G32" s="8">
        <v>15</v>
      </c>
      <c r="H32" s="18">
        <v>9.4793759290986106</v>
      </c>
      <c r="I32" s="30"/>
      <c r="J32" s="31">
        <v>3</v>
      </c>
      <c r="K32" s="32">
        <v>0.93769999999999998</v>
      </c>
      <c r="N32" s="29">
        <f>'[1]18c'!S19</f>
        <v>11.910835854912399</v>
      </c>
      <c r="O32" s="4">
        <f t="shared" si="13"/>
        <v>0.79405572366082666</v>
      </c>
    </row>
    <row r="33" spans="1:15">
      <c r="A33" s="71" t="s">
        <v>22</v>
      </c>
      <c r="B33" s="9"/>
      <c r="C33" s="79">
        <f t="shared" ref="C33:H33" si="14">AVERAGE(C30:C32)</f>
        <v>5.2499999999999991</v>
      </c>
      <c r="D33" s="80">
        <f t="shared" si="14"/>
        <v>9.2433333333333341</v>
      </c>
      <c r="E33" s="80">
        <f t="shared" si="14"/>
        <v>9.1941666666666659</v>
      </c>
      <c r="F33" s="24"/>
      <c r="G33" s="10"/>
      <c r="H33" s="77">
        <f t="shared" si="14"/>
        <v>10.602712799051773</v>
      </c>
      <c r="I33" s="78" t="e">
        <f ca="1">_xludf.STDEV.P(H30:H32)</f>
        <v>#NAME?</v>
      </c>
      <c r="J33" s="35"/>
      <c r="K33" s="36"/>
      <c r="N33" s="44"/>
      <c r="O33" s="10"/>
    </row>
    <row r="34" spans="1:15">
      <c r="A34" s="68" t="s">
        <v>65</v>
      </c>
      <c r="B34" s="2" t="s">
        <v>66</v>
      </c>
      <c r="C34" s="3">
        <v>21.28</v>
      </c>
      <c r="D34" s="4">
        <v>8.2100000000000009</v>
      </c>
      <c r="E34" s="4">
        <v>9.8379999999999992</v>
      </c>
      <c r="F34" s="23" t="s">
        <v>19</v>
      </c>
      <c r="G34" s="8">
        <v>60</v>
      </c>
      <c r="H34" s="18">
        <v>29.193134042384401</v>
      </c>
      <c r="I34" s="30"/>
      <c r="J34" s="31">
        <v>5</v>
      </c>
      <c r="K34" s="32">
        <v>0.88460000000000005</v>
      </c>
      <c r="N34" s="29">
        <f>'[1]10a'!S19</f>
        <v>35.4250999200639</v>
      </c>
      <c r="O34" s="4">
        <f t="shared" ref="O34:O36" si="15">N34/G34</f>
        <v>0.59041833200106497</v>
      </c>
    </row>
    <row r="35" spans="1:15">
      <c r="A35" s="69" t="s">
        <v>67</v>
      </c>
      <c r="B35" s="2" t="s">
        <v>68</v>
      </c>
      <c r="C35" s="3">
        <v>24.274999999999999</v>
      </c>
      <c r="D35" s="4">
        <v>7.96</v>
      </c>
      <c r="E35" s="4">
        <v>9.9149999999999991</v>
      </c>
      <c r="F35" s="23" t="s">
        <v>69</v>
      </c>
      <c r="G35" s="8">
        <v>60</v>
      </c>
      <c r="H35" s="18">
        <v>26.3365695425186</v>
      </c>
      <c r="I35" s="30"/>
      <c r="J35" s="31">
        <v>4</v>
      </c>
      <c r="K35" s="32">
        <v>0.77539999999999998</v>
      </c>
      <c r="N35" s="29">
        <f>'[1]10b'!S19</f>
        <v>32.584920666481104</v>
      </c>
      <c r="O35" s="4">
        <f t="shared" si="15"/>
        <v>0.54308201110801835</v>
      </c>
    </row>
    <row r="36" spans="1:15">
      <c r="A36" s="16"/>
      <c r="B36" s="2" t="s">
        <v>70</v>
      </c>
      <c r="C36" s="3">
        <v>21.74</v>
      </c>
      <c r="D36" s="4">
        <v>8.1199999999999992</v>
      </c>
      <c r="E36" s="4">
        <v>9.7639999999999993</v>
      </c>
      <c r="F36" s="23" t="s">
        <v>71</v>
      </c>
      <c r="G36" s="8">
        <v>60</v>
      </c>
      <c r="H36" s="18">
        <v>28.607716345780101</v>
      </c>
      <c r="I36" s="30"/>
      <c r="J36" s="31">
        <v>5</v>
      </c>
      <c r="K36" s="32">
        <v>0.96460000000000001</v>
      </c>
      <c r="N36" s="29">
        <f>'[1]10c'!S19</f>
        <v>34.517468275105799</v>
      </c>
      <c r="O36" s="4">
        <f t="shared" si="15"/>
        <v>0.57529113791843001</v>
      </c>
    </row>
    <row r="37" spans="1:15">
      <c r="A37" s="72" t="s">
        <v>22</v>
      </c>
      <c r="B37" s="2"/>
      <c r="C37" s="82">
        <f t="shared" ref="C37:H37" si="16">AVERAGE(C34:C36)</f>
        <v>22.431666666666668</v>
      </c>
      <c r="D37" s="81">
        <f t="shared" si="16"/>
        <v>8.0966666666666658</v>
      </c>
      <c r="E37" s="81">
        <f t="shared" si="16"/>
        <v>9.8390000000000004</v>
      </c>
      <c r="F37" s="26"/>
      <c r="G37" s="11"/>
      <c r="H37" s="83">
        <f t="shared" si="16"/>
        <v>28.045806643561036</v>
      </c>
      <c r="I37" s="84" t="e">
        <f ca="1">_xludf.STDEV.P(H34:H36)</f>
        <v>#NAME?</v>
      </c>
      <c r="J37" s="37"/>
      <c r="K37" s="38"/>
      <c r="N37" s="45"/>
      <c r="O37" s="11"/>
    </row>
    <row r="38" spans="1:15">
      <c r="A38" s="12"/>
      <c r="B38" s="13" t="s">
        <v>72</v>
      </c>
      <c r="C38" s="14">
        <v>3.5166666666666702</v>
      </c>
      <c r="D38" s="15">
        <v>8.1999999999999993</v>
      </c>
      <c r="E38" s="15">
        <v>9.8566666666666691</v>
      </c>
      <c r="F38" s="27">
        <v>4.5999999999999996</v>
      </c>
      <c r="G38" s="12">
        <v>60</v>
      </c>
      <c r="H38" s="22">
        <v>93.486001718099104</v>
      </c>
      <c r="I38" s="39"/>
      <c r="J38" s="40">
        <v>6</v>
      </c>
      <c r="K38" s="41">
        <v>0.81030000000000002</v>
      </c>
      <c r="N38" s="46">
        <f>'[1]21a'!S19</f>
        <v>75.256231383069803</v>
      </c>
      <c r="O38" s="15">
        <f t="shared" ref="O38:O40" si="17">N38/G38</f>
        <v>1.2542705230511635</v>
      </c>
    </row>
    <row r="39" spans="1:15">
      <c r="A39" s="8"/>
      <c r="B39" s="2" t="s">
        <v>73</v>
      </c>
      <c r="C39" s="3">
        <v>4.1399999999999997</v>
      </c>
      <c r="D39" s="4">
        <v>8.58</v>
      </c>
      <c r="E39" s="4">
        <v>10.273999999999999</v>
      </c>
      <c r="F39" s="23">
        <v>4.82</v>
      </c>
      <c r="G39" s="8">
        <v>60</v>
      </c>
      <c r="H39" s="18">
        <v>90.077860726749904</v>
      </c>
      <c r="I39" s="30"/>
      <c r="J39" s="31">
        <v>6</v>
      </c>
      <c r="K39" s="32">
        <v>0.78469999999999995</v>
      </c>
      <c r="N39" s="29">
        <f>'[1]21b'!S19</f>
        <v>75.980675523013602</v>
      </c>
      <c r="O39" s="4">
        <f t="shared" si="17"/>
        <v>1.2663445920502268</v>
      </c>
    </row>
    <row r="40" spans="1:15">
      <c r="A40" s="8"/>
      <c r="B40" s="2" t="s">
        <v>74</v>
      </c>
      <c r="C40" s="3">
        <v>2.78</v>
      </c>
      <c r="D40" s="4">
        <v>8.43</v>
      </c>
      <c r="E40" s="4">
        <v>10.26</v>
      </c>
      <c r="F40" s="23">
        <v>4.28</v>
      </c>
      <c r="G40" s="8">
        <v>60</v>
      </c>
      <c r="H40" s="18">
        <v>99.5785947375945</v>
      </c>
      <c r="I40" s="30"/>
      <c r="J40" s="31">
        <v>6</v>
      </c>
      <c r="K40" s="32">
        <v>0.81069999999999998</v>
      </c>
      <c r="N40" s="29">
        <f>'[1]21c'!S19</f>
        <v>74.584367458458303</v>
      </c>
      <c r="O40" s="4">
        <f t="shared" si="17"/>
        <v>1.2430727909743051</v>
      </c>
    </row>
    <row r="41" spans="1:15">
      <c r="A41" s="71" t="s">
        <v>22</v>
      </c>
      <c r="B41" s="9"/>
      <c r="C41" s="79">
        <f t="shared" ref="C41:H41" si="18">AVERAGE(C38:C40)</f>
        <v>3.4788888888888896</v>
      </c>
      <c r="D41" s="80">
        <f t="shared" si="18"/>
        <v>8.4033333333333342</v>
      </c>
      <c r="E41" s="80">
        <f t="shared" si="18"/>
        <v>10.130222222222223</v>
      </c>
      <c r="F41" s="28"/>
      <c r="G41" s="10"/>
      <c r="H41" s="77">
        <f t="shared" si="18"/>
        <v>94.380819060814517</v>
      </c>
      <c r="I41" s="78" t="e">
        <f ca="1">_xludf.STDEV.P(H38:H40)</f>
        <v>#NAME?</v>
      </c>
      <c r="J41" s="35"/>
      <c r="K41" s="36"/>
      <c r="N41" s="44"/>
      <c r="O41" s="10"/>
    </row>
    <row r="42" spans="1:15">
      <c r="A42" s="68" t="s">
        <v>75</v>
      </c>
      <c r="B42" s="2" t="s">
        <v>76</v>
      </c>
      <c r="C42" s="3">
        <v>20.883333333333301</v>
      </c>
      <c r="D42" s="4">
        <v>7.46</v>
      </c>
      <c r="E42" s="4">
        <v>10.0233333333333</v>
      </c>
      <c r="F42" s="23">
        <v>5</v>
      </c>
      <c r="G42" s="8">
        <v>60</v>
      </c>
      <c r="H42" s="18">
        <v>55</v>
      </c>
      <c r="I42" s="30"/>
      <c r="J42" s="31">
        <v>6</v>
      </c>
      <c r="K42" s="32">
        <v>0.60450000000000004</v>
      </c>
      <c r="N42" s="29">
        <f>'[1]9a'!S19</f>
        <v>48.149313268901601</v>
      </c>
      <c r="O42" s="4">
        <f t="shared" ref="O42:O45" si="19">N42/G42</f>
        <v>0.80248855448169332</v>
      </c>
    </row>
    <row r="43" spans="1:15">
      <c r="A43" s="69" t="s">
        <v>77</v>
      </c>
      <c r="B43" s="2" t="s">
        <v>78</v>
      </c>
      <c r="C43" s="3">
        <v>19.18</v>
      </c>
      <c r="D43" s="4">
        <v>7.76</v>
      </c>
      <c r="E43" s="4">
        <v>9.9339999999999993</v>
      </c>
      <c r="F43" s="23">
        <v>5.7</v>
      </c>
      <c r="G43" s="8">
        <v>60</v>
      </c>
      <c r="H43" s="18">
        <v>50.269270197551002</v>
      </c>
      <c r="I43" s="30"/>
      <c r="J43" s="31">
        <v>6</v>
      </c>
      <c r="K43" s="32">
        <v>0.80069999999999997</v>
      </c>
      <c r="N43" s="29">
        <f>'[1]9aR'!S19</f>
        <v>50.495481913439903</v>
      </c>
      <c r="O43" s="4">
        <f t="shared" si="19"/>
        <v>0.84159136522399836</v>
      </c>
    </row>
    <row r="44" spans="1:15">
      <c r="A44" s="8"/>
      <c r="B44" s="2" t="s">
        <v>79</v>
      </c>
      <c r="C44" s="3">
        <v>21.16</v>
      </c>
      <c r="D44" s="4">
        <v>8.24</v>
      </c>
      <c r="E44" s="4">
        <v>10.236000000000001</v>
      </c>
      <c r="F44" s="23" t="s">
        <v>80</v>
      </c>
      <c r="G44" s="8">
        <v>60</v>
      </c>
      <c r="H44" s="18">
        <v>24.045163240357802</v>
      </c>
      <c r="I44" s="30"/>
      <c r="J44" s="31">
        <v>5</v>
      </c>
      <c r="K44" s="32">
        <v>0.81440000000000001</v>
      </c>
      <c r="N44" s="29">
        <f>'[1]9b'!S19</f>
        <v>31.390960610287099</v>
      </c>
      <c r="O44" s="4">
        <f t="shared" si="19"/>
        <v>0.52318267683811837</v>
      </c>
    </row>
    <row r="45" spans="1:15">
      <c r="A45" s="8"/>
      <c r="B45" s="2" t="s">
        <v>81</v>
      </c>
      <c r="C45" s="3">
        <v>19.399999999999999</v>
      </c>
      <c r="D45" s="4">
        <v>7.85</v>
      </c>
      <c r="E45" s="4">
        <v>10.07</v>
      </c>
      <c r="F45" s="23">
        <v>6.3</v>
      </c>
      <c r="G45" s="8">
        <v>60</v>
      </c>
      <c r="H45" s="18">
        <v>40.795982853065901</v>
      </c>
      <c r="I45" s="30"/>
      <c r="J45" s="31">
        <v>5</v>
      </c>
      <c r="K45" s="32">
        <v>0.4425</v>
      </c>
      <c r="N45" s="29">
        <f>'[1]9c'!S18</f>
        <v>44.977571095505198</v>
      </c>
      <c r="O45" s="4">
        <f t="shared" si="19"/>
        <v>0.74962618492508659</v>
      </c>
    </row>
    <row r="46" spans="1:15">
      <c r="A46" s="72" t="s">
        <v>22</v>
      </c>
      <c r="B46" s="2"/>
      <c r="C46" s="82">
        <f t="shared" ref="C46:H46" si="20">AVERAGE(C42:C45)</f>
        <v>20.155833333333327</v>
      </c>
      <c r="D46" s="81">
        <f t="shared" si="20"/>
        <v>7.8275000000000006</v>
      </c>
      <c r="E46" s="81">
        <f t="shared" si="20"/>
        <v>10.065833333333325</v>
      </c>
      <c r="F46" s="26"/>
      <c r="G46" s="11"/>
      <c r="H46" s="83">
        <f t="shared" si="20"/>
        <v>42.527604072743678</v>
      </c>
      <c r="I46" s="84" t="e">
        <f ca="1">_xludf.STDEV.P(H42:H45)</f>
        <v>#NAME?</v>
      </c>
      <c r="J46" s="37"/>
      <c r="K46" s="38"/>
      <c r="N46" s="45"/>
      <c r="O46" s="11"/>
    </row>
    <row r="47" spans="1:15">
      <c r="A47" s="12"/>
      <c r="B47" s="13" t="s">
        <v>82</v>
      </c>
      <c r="C47" s="14">
        <v>4.5</v>
      </c>
      <c r="D47" s="15">
        <v>8.01</v>
      </c>
      <c r="E47" s="15">
        <v>10.362</v>
      </c>
      <c r="F47" s="27" t="s">
        <v>83</v>
      </c>
      <c r="G47" s="12">
        <v>120</v>
      </c>
      <c r="H47" s="22">
        <v>65.063185118956099</v>
      </c>
      <c r="I47" s="39"/>
      <c r="J47" s="40">
        <v>5</v>
      </c>
      <c r="K47" s="41">
        <v>0.92449999999999999</v>
      </c>
      <c r="N47" s="46">
        <f>'[1]20a'!S19</f>
        <v>86.387440209660397</v>
      </c>
      <c r="O47" s="15">
        <f t="shared" ref="O47:O49" si="21">N47/G47</f>
        <v>0.7198953350805033</v>
      </c>
    </row>
    <row r="48" spans="1:15">
      <c r="A48" s="8"/>
      <c r="B48" s="2" t="s">
        <v>84</v>
      </c>
      <c r="C48" s="3">
        <v>4.56666666666667</v>
      </c>
      <c r="D48" s="4">
        <v>7.98</v>
      </c>
      <c r="E48" s="4">
        <v>10.348333333333301</v>
      </c>
      <c r="F48" s="23" t="s">
        <v>54</v>
      </c>
      <c r="G48" s="29">
        <v>180</v>
      </c>
      <c r="H48" s="18">
        <v>97.458326020513596</v>
      </c>
      <c r="I48" s="30"/>
      <c r="J48" s="31">
        <v>6</v>
      </c>
      <c r="K48" s="32">
        <v>0.84299999999999997</v>
      </c>
      <c r="N48" s="29">
        <f>'[1]20b'!S19</f>
        <v>119.512526415933</v>
      </c>
      <c r="O48" s="4">
        <f t="shared" si="21"/>
        <v>0.66395848008851666</v>
      </c>
    </row>
    <row r="49" spans="1:15">
      <c r="A49" s="8"/>
      <c r="B49" s="2" t="s">
        <v>85</v>
      </c>
      <c r="C49" s="3">
        <v>5.0999999999999996</v>
      </c>
      <c r="D49" s="4">
        <v>7.51</v>
      </c>
      <c r="E49" s="4">
        <v>10.093999999999999</v>
      </c>
      <c r="F49" s="23" t="s">
        <v>86</v>
      </c>
      <c r="G49" s="29">
        <v>120</v>
      </c>
      <c r="H49" s="18">
        <v>52.674100013926001</v>
      </c>
      <c r="I49" s="30"/>
      <c r="J49" s="31">
        <v>5</v>
      </c>
      <c r="K49" s="32">
        <v>0.99270000000000003</v>
      </c>
      <c r="N49" s="29">
        <f>'[1]20c'!S19</f>
        <v>72.917425526738299</v>
      </c>
      <c r="O49" s="4">
        <f t="shared" si="21"/>
        <v>0.60764521272281913</v>
      </c>
    </row>
    <row r="50" spans="1:15">
      <c r="A50" s="71" t="s">
        <v>22</v>
      </c>
      <c r="B50" s="9"/>
      <c r="C50" s="79">
        <f t="shared" ref="C50:H50" si="22">AVERAGE(C47:C49)</f>
        <v>4.7222222222222232</v>
      </c>
      <c r="D50" s="80">
        <f t="shared" si="22"/>
        <v>7.833333333333333</v>
      </c>
      <c r="E50" s="80">
        <f t="shared" si="22"/>
        <v>10.268111111111102</v>
      </c>
      <c r="F50" s="28"/>
      <c r="G50" s="10"/>
      <c r="H50" s="77">
        <f t="shared" si="22"/>
        <v>71.731870384465225</v>
      </c>
      <c r="I50" s="78" t="e">
        <f ca="1">_xludf.STDEV.P(H47:H49)</f>
        <v>#NAME?</v>
      </c>
      <c r="J50" s="35"/>
      <c r="K50" s="36"/>
      <c r="N50" s="44"/>
      <c r="O50" s="10"/>
    </row>
    <row r="51" spans="1:15">
      <c r="A51" s="68" t="s">
        <v>87</v>
      </c>
      <c r="B51" s="2" t="s">
        <v>88</v>
      </c>
      <c r="C51" s="3">
        <v>22.574999999999999</v>
      </c>
      <c r="D51" s="4">
        <v>7.4</v>
      </c>
      <c r="E51" s="4">
        <v>10.574999999999999</v>
      </c>
      <c r="F51" s="23">
        <v>4.4000000000000004</v>
      </c>
      <c r="G51" s="8">
        <v>30</v>
      </c>
      <c r="H51" s="18">
        <v>39.899960583448298</v>
      </c>
      <c r="I51" s="30"/>
      <c r="J51" s="31">
        <v>5</v>
      </c>
      <c r="K51" s="32">
        <v>0.93759999999999999</v>
      </c>
      <c r="N51" s="29">
        <f>'[1]11a'!S19</f>
        <v>30.722969649255202</v>
      </c>
      <c r="O51" s="4">
        <f t="shared" ref="O51:O53" si="23">N51/G51</f>
        <v>1.0240989883085068</v>
      </c>
    </row>
    <row r="52" spans="1:15">
      <c r="A52" s="69" t="s">
        <v>89</v>
      </c>
      <c r="B52" s="2" t="s">
        <v>90</v>
      </c>
      <c r="C52" s="3">
        <v>23.2</v>
      </c>
      <c r="D52" s="4">
        <v>7.45</v>
      </c>
      <c r="E52" s="4">
        <v>10.762</v>
      </c>
      <c r="F52" s="23">
        <v>4.3</v>
      </c>
      <c r="G52" s="8">
        <v>30</v>
      </c>
      <c r="H52" s="18">
        <v>40.438961624486403</v>
      </c>
      <c r="I52" s="30"/>
      <c r="J52" s="31">
        <v>5</v>
      </c>
      <c r="K52" s="32">
        <v>0.95779999999999998</v>
      </c>
      <c r="N52" s="29">
        <f>'[1]11b'!S19</f>
        <v>30.430318622426</v>
      </c>
      <c r="O52" s="4">
        <f t="shared" si="23"/>
        <v>1.0143439540808667</v>
      </c>
    </row>
    <row r="53" spans="1:15">
      <c r="A53" s="8"/>
      <c r="B53" s="2" t="s">
        <v>91</v>
      </c>
      <c r="C53" s="3">
        <v>22.65</v>
      </c>
      <c r="D53" s="4">
        <v>7.4</v>
      </c>
      <c r="E53" s="4">
        <v>10.6775</v>
      </c>
      <c r="F53" s="23" t="s">
        <v>36</v>
      </c>
      <c r="G53" s="8">
        <v>30</v>
      </c>
      <c r="H53" s="18">
        <v>44.822224519550304</v>
      </c>
      <c r="I53" s="30"/>
      <c r="J53" s="31">
        <v>4</v>
      </c>
      <c r="K53" s="32">
        <v>0.88009999999999999</v>
      </c>
      <c r="N53" s="29">
        <f>'[1]11c'!S19</f>
        <v>56.083808430087402</v>
      </c>
      <c r="O53" s="4">
        <f t="shared" si="23"/>
        <v>1.8694602810029133</v>
      </c>
    </row>
    <row r="54" spans="1:15">
      <c r="A54" s="72" t="s">
        <v>22</v>
      </c>
      <c r="B54" s="2"/>
      <c r="C54" s="82">
        <f t="shared" ref="C54:H54" si="24">AVERAGE(C51:C53)</f>
        <v>22.808333333333334</v>
      </c>
      <c r="D54" s="81">
        <f t="shared" si="24"/>
        <v>7.416666666666667</v>
      </c>
      <c r="E54" s="81">
        <f t="shared" si="24"/>
        <v>10.6715</v>
      </c>
      <c r="F54" s="26"/>
      <c r="G54" s="11"/>
      <c r="H54" s="83">
        <f t="shared" si="24"/>
        <v>41.720382242494999</v>
      </c>
      <c r="I54" s="84" t="e">
        <f ca="1">_xludf.STDEV.P(H51:H53)</f>
        <v>#NAME?</v>
      </c>
      <c r="J54" s="37"/>
      <c r="K54" s="38"/>
      <c r="N54" s="45"/>
      <c r="O54" s="11"/>
    </row>
    <row r="55" spans="1:15">
      <c r="A55" s="12"/>
      <c r="B55" s="13" t="s">
        <v>92</v>
      </c>
      <c r="C55" s="14">
        <v>4.58</v>
      </c>
      <c r="D55" s="15">
        <v>7.57</v>
      </c>
      <c r="E55" s="15">
        <v>10.997999999999999</v>
      </c>
      <c r="F55" s="27">
        <v>1.1000000000000001</v>
      </c>
      <c r="G55" s="12">
        <v>30</v>
      </c>
      <c r="H55" s="22">
        <v>161.811884899326</v>
      </c>
      <c r="I55" s="39"/>
      <c r="J55" s="40">
        <v>5</v>
      </c>
      <c r="K55" s="41">
        <v>0.95509999999999995</v>
      </c>
      <c r="N55" s="46">
        <f>'[1]22a'!S19</f>
        <v>31.1487878431202</v>
      </c>
      <c r="O55" s="15">
        <f t="shared" ref="O55:O57" si="25">N55/G55</f>
        <v>1.0382929281040068</v>
      </c>
    </row>
    <row r="56" spans="1:15">
      <c r="A56" s="8"/>
      <c r="B56" s="2" t="s">
        <v>93</v>
      </c>
      <c r="C56" s="3">
        <v>4</v>
      </c>
      <c r="D56" s="4">
        <v>7.2</v>
      </c>
      <c r="E56" s="4">
        <v>10.875999999999999</v>
      </c>
      <c r="F56" s="23">
        <v>0.7</v>
      </c>
      <c r="G56" s="8">
        <v>30</v>
      </c>
      <c r="H56" s="18">
        <v>242.858546846005</v>
      </c>
      <c r="I56" s="30"/>
      <c r="J56" s="31">
        <v>5</v>
      </c>
      <c r="K56" s="32">
        <v>0.96399999999999997</v>
      </c>
      <c r="N56" s="29">
        <f>'[1]22b'!S19</f>
        <v>29.7501719886356</v>
      </c>
      <c r="O56" s="4">
        <f t="shared" si="25"/>
        <v>0.9916723996211867</v>
      </c>
    </row>
    <row r="57" spans="1:15">
      <c r="A57" s="8"/>
      <c r="B57" s="2" t="s">
        <v>94</v>
      </c>
      <c r="C57" s="3">
        <v>4</v>
      </c>
      <c r="D57" s="4">
        <v>7.1</v>
      </c>
      <c r="E57" s="4">
        <v>10.88</v>
      </c>
      <c r="F57" s="23">
        <v>0.8</v>
      </c>
      <c r="G57" s="8">
        <v>30</v>
      </c>
      <c r="H57" s="18">
        <v>223.24105269127801</v>
      </c>
      <c r="I57" s="30"/>
      <c r="J57" s="31">
        <v>5</v>
      </c>
      <c r="K57" s="32">
        <v>0.95199999999999996</v>
      </c>
      <c r="N57" s="29">
        <f>'[1]22c'!S19</f>
        <v>31.253747376779</v>
      </c>
      <c r="O57" s="4">
        <f t="shared" si="25"/>
        <v>1.0417915792259667</v>
      </c>
    </row>
    <row r="58" spans="1:15">
      <c r="A58" s="71" t="s">
        <v>22</v>
      </c>
      <c r="B58" s="9"/>
      <c r="C58" s="79">
        <f t="shared" ref="C58:H58" si="26">AVERAGE(C55:C57)</f>
        <v>4.1933333333333334</v>
      </c>
      <c r="D58" s="80">
        <f t="shared" si="26"/>
        <v>7.2899999999999991</v>
      </c>
      <c r="E58" s="80">
        <f t="shared" si="26"/>
        <v>10.917999999999999</v>
      </c>
      <c r="F58" s="28"/>
      <c r="G58" s="10"/>
      <c r="H58" s="77">
        <f t="shared" si="26"/>
        <v>209.30382814553636</v>
      </c>
      <c r="I58" s="78" t="e">
        <f ca="1">_xludf.STDEV.P(H55:H57)</f>
        <v>#NAME?</v>
      </c>
      <c r="J58" s="35"/>
      <c r="K58" s="36"/>
      <c r="N58" s="44"/>
      <c r="O58" s="10"/>
    </row>
    <row r="59" spans="1:15">
      <c r="A59" s="68" t="s">
        <v>95</v>
      </c>
      <c r="B59" s="2" t="s">
        <v>96</v>
      </c>
      <c r="C59" s="3">
        <v>22.4</v>
      </c>
      <c r="D59" s="4">
        <v>8.9600000000000009</v>
      </c>
      <c r="E59" s="4">
        <v>9.07</v>
      </c>
      <c r="F59" s="23" t="s">
        <v>97</v>
      </c>
      <c r="G59" s="8">
        <v>10</v>
      </c>
      <c r="H59" s="18">
        <v>22.6464658748638</v>
      </c>
      <c r="I59" s="30"/>
      <c r="J59" s="31">
        <v>1</v>
      </c>
      <c r="K59" s="32" t="s">
        <v>16</v>
      </c>
      <c r="N59" s="29">
        <f>'[1]27aR'!S19</f>
        <v>28.122449949060002</v>
      </c>
      <c r="O59" s="4">
        <f t="shared" ref="O59:O61" si="27">N59/G59</f>
        <v>2.812244994906</v>
      </c>
    </row>
    <row r="60" spans="1:15">
      <c r="A60" s="69" t="s">
        <v>98</v>
      </c>
      <c r="B60" s="2" t="s">
        <v>99</v>
      </c>
      <c r="C60" s="3">
        <v>22.1</v>
      </c>
      <c r="D60" s="4">
        <v>9.1300000000000008</v>
      </c>
      <c r="E60" s="4">
        <v>9.1</v>
      </c>
      <c r="F60" s="23" t="s">
        <v>100</v>
      </c>
      <c r="G60" s="8">
        <v>10</v>
      </c>
      <c r="H60" s="18">
        <v>20.132798707613301</v>
      </c>
      <c r="I60" s="30"/>
      <c r="J60" s="31">
        <v>1</v>
      </c>
      <c r="K60" s="32" t="s">
        <v>16</v>
      </c>
      <c r="N60" s="29">
        <f>'[1]27bR'!S19</f>
        <v>25.6446268642297</v>
      </c>
      <c r="O60" s="4">
        <f t="shared" si="27"/>
        <v>2.5644626864229698</v>
      </c>
    </row>
    <row r="61" spans="1:15">
      <c r="A61" s="69" t="s">
        <v>101</v>
      </c>
      <c r="B61" s="2" t="s">
        <v>102</v>
      </c>
      <c r="C61" s="3">
        <v>19.899999999999999</v>
      </c>
      <c r="D61" s="4">
        <v>9.14</v>
      </c>
      <c r="E61" s="4">
        <v>9.14</v>
      </c>
      <c r="F61" s="23" t="s">
        <v>103</v>
      </c>
      <c r="G61" s="8">
        <v>10</v>
      </c>
      <c r="H61" s="18">
        <v>25.926298374797302</v>
      </c>
      <c r="I61" s="30"/>
      <c r="J61" s="31">
        <v>1</v>
      </c>
      <c r="K61" s="32" t="s">
        <v>16</v>
      </c>
      <c r="N61" s="29">
        <f>'[1]27c'!S19</f>
        <v>31.933605025499102</v>
      </c>
      <c r="O61" s="4">
        <f t="shared" si="27"/>
        <v>3.1933605025499103</v>
      </c>
    </row>
    <row r="62" spans="1:15">
      <c r="A62" s="72" t="s">
        <v>22</v>
      </c>
      <c r="B62" s="2"/>
      <c r="C62" s="82">
        <f t="shared" ref="C62:H62" si="28">AVERAGE(C59:C61)</f>
        <v>21.466666666666669</v>
      </c>
      <c r="D62" s="81">
        <f t="shared" si="28"/>
        <v>9.076666666666668</v>
      </c>
      <c r="E62" s="81">
        <f t="shared" si="28"/>
        <v>9.1033333333333335</v>
      </c>
      <c r="F62" s="26"/>
      <c r="G62" s="11"/>
      <c r="H62" s="83">
        <f t="shared" si="28"/>
        <v>22.901854319091466</v>
      </c>
      <c r="I62" s="84" t="e">
        <f ca="1">_xludf.STDEV.P(H59:H61)</f>
        <v>#NAME?</v>
      </c>
      <c r="J62" s="37"/>
      <c r="K62" s="38"/>
      <c r="N62" s="45"/>
      <c r="O62" s="11"/>
    </row>
    <row r="63" spans="1:15">
      <c r="A63" s="12"/>
      <c r="B63" s="13" t="s">
        <v>104</v>
      </c>
      <c r="C63" s="14">
        <v>4.3333333333333304</v>
      </c>
      <c r="D63" s="15">
        <v>9.1300000000000008</v>
      </c>
      <c r="E63" s="15">
        <v>9.1633333333333304</v>
      </c>
      <c r="F63" s="27" t="s">
        <v>105</v>
      </c>
      <c r="G63" s="12">
        <v>30</v>
      </c>
      <c r="H63" s="22">
        <v>19.166930925441299</v>
      </c>
      <c r="I63" s="39"/>
      <c r="J63" s="40">
        <v>3</v>
      </c>
      <c r="K63" s="41">
        <v>0.89339999999999997</v>
      </c>
      <c r="N63" s="46">
        <f>'[1]28a'!S19</f>
        <v>23.704798624721001</v>
      </c>
      <c r="O63" s="15">
        <f t="shared" ref="O63:O65" si="29">N63/G63</f>
        <v>0.79015995415736673</v>
      </c>
    </row>
    <row r="64" spans="1:15">
      <c r="A64" s="8"/>
      <c r="B64" s="2" t="s">
        <v>106</v>
      </c>
      <c r="C64" s="3">
        <v>4.5999999999999996</v>
      </c>
      <c r="D64" s="4">
        <v>9.1300000000000008</v>
      </c>
      <c r="E64" s="4">
        <v>9.1266666666666705</v>
      </c>
      <c r="F64" s="23" t="s">
        <v>80</v>
      </c>
      <c r="G64" s="8">
        <v>30</v>
      </c>
      <c r="H64" s="18">
        <v>16.604389789458899</v>
      </c>
      <c r="I64" s="30"/>
      <c r="J64" s="31">
        <v>3</v>
      </c>
      <c r="K64" s="32">
        <v>0.92800000000000005</v>
      </c>
      <c r="N64" s="29">
        <f>'[1]28b'!S19</f>
        <v>20.8428978881227</v>
      </c>
      <c r="O64" s="4">
        <f t="shared" si="29"/>
        <v>0.6947632629374233</v>
      </c>
    </row>
    <row r="65" spans="1:15">
      <c r="A65" s="8"/>
      <c r="B65" s="2" t="s">
        <v>107</v>
      </c>
      <c r="C65" s="3">
        <v>4.9000000000000004</v>
      </c>
      <c r="D65" s="4">
        <v>9.1999999999999993</v>
      </c>
      <c r="E65" s="4">
        <v>9.0733333333333306</v>
      </c>
      <c r="F65" s="23" t="s">
        <v>108</v>
      </c>
      <c r="G65" s="8">
        <v>30</v>
      </c>
      <c r="H65" s="18">
        <v>17.139859474984799</v>
      </c>
      <c r="I65" s="30"/>
      <c r="J65" s="31">
        <v>3</v>
      </c>
      <c r="K65" s="32">
        <v>0.95630000000000004</v>
      </c>
      <c r="N65" s="29">
        <f>'[1]27c'!S19</f>
        <v>31.933605025499102</v>
      </c>
      <c r="O65" s="4">
        <f t="shared" si="29"/>
        <v>1.06445350084997</v>
      </c>
    </row>
    <row r="66" spans="1:15">
      <c r="A66" s="70" t="s">
        <v>22</v>
      </c>
      <c r="B66" s="6"/>
      <c r="C66" s="73">
        <f t="shared" ref="C66:H66" si="30">AVERAGE(C63:C65)</f>
        <v>4.6111111111111098</v>
      </c>
      <c r="D66" s="74">
        <f t="shared" si="30"/>
        <v>9.1533333333333342</v>
      </c>
      <c r="E66" s="74">
        <f t="shared" si="30"/>
        <v>9.1211111111111105</v>
      </c>
      <c r="F66" s="50"/>
      <c r="G66" s="7"/>
      <c r="H66" s="75">
        <f t="shared" si="30"/>
        <v>17.637060063294999</v>
      </c>
      <c r="I66" s="76" t="e">
        <f ca="1">_xludf.STDEV.P(H63:H65)</f>
        <v>#NAME?</v>
      </c>
      <c r="J66" s="52"/>
      <c r="K66" s="53"/>
      <c r="N66" s="58"/>
      <c r="O66" s="7"/>
    </row>
    <row r="67" spans="1:15">
      <c r="A67" s="47"/>
      <c r="B67" s="47"/>
      <c r="C67" s="48"/>
      <c r="D67" s="47"/>
      <c r="E67" s="51"/>
      <c r="F67" s="51"/>
      <c r="G67" s="51"/>
      <c r="H67" s="48"/>
      <c r="I67" s="51"/>
      <c r="J67" s="54"/>
      <c r="K67" s="55"/>
      <c r="L67" s="56"/>
      <c r="M67" s="47"/>
      <c r="N67" s="18"/>
      <c r="O67" s="51">
        <f>AVERAGE(O2:O65)</f>
        <v>1.0964119063783462</v>
      </c>
    </row>
    <row r="68" spans="1:15">
      <c r="C68" s="49"/>
      <c r="L68" s="57"/>
      <c r="N68" s="59"/>
      <c r="O68" s="60"/>
    </row>
    <row r="69" spans="1:15">
      <c r="C69" s="49"/>
      <c r="L69" s="57"/>
      <c r="N69" s="59"/>
    </row>
    <row r="70" spans="1:15">
      <c r="C70" s="49"/>
      <c r="L70" s="57"/>
    </row>
    <row r="71" spans="1:15">
      <c r="L71" s="57"/>
    </row>
    <row r="72" spans="1:15">
      <c r="L72" s="57"/>
    </row>
    <row r="73" spans="1:15">
      <c r="L73" s="57"/>
    </row>
    <row r="74" spans="1:15">
      <c r="L74" s="57"/>
    </row>
    <row r="75" spans="1:15">
      <c r="L75" s="57"/>
    </row>
    <row r="76" spans="1:15">
      <c r="L76" s="57"/>
    </row>
    <row r="77" spans="1:15">
      <c r="L77" s="57"/>
    </row>
    <row r="78" spans="1:15">
      <c r="L78" s="57"/>
    </row>
    <row r="79" spans="1:15">
      <c r="L79" s="57"/>
    </row>
    <row r="80" spans="1:15">
      <c r="L80" s="57"/>
    </row>
    <row r="81" spans="12:12">
      <c r="L81" s="57"/>
    </row>
  </sheetData>
  <pageMargins left="0.7" right="0.7" top="0.75" bottom="0.75" header="0.3" footer="0.3"/>
  <pageSetup scale="66" orientation="portrait" verticalDpi="5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2024-12-23T18:45:00Z</dcterms:created>
  <dcterms:modified xsi:type="dcterms:W3CDTF">2025-12-08T06:49:35Z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32E25D482CC8744A3ECF6867DAB467BA_43</vt:lpwstr>
  </property>
  <property fmtid="{D5CDD505-2E9C-101B-9397-08002B2CF9AE}" pid="3" name="KSOProductBuildVer">
    <vt:lpwstr>2052-6.11.0.8885</vt:lpwstr>
  </property>
</Properties>
</file>