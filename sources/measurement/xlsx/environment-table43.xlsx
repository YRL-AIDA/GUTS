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B67D983B-CF3D-4F07-A193-148922AE4317}" xr6:coauthVersionLast="47" xr6:coauthVersionMax="47" xr10:uidLastSave="{00000000-0000-0000-0000-000000000000}"/>
  <bookViews>
    <workbookView xWindow="156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E90" i="1"/>
  <c r="E89" i="1"/>
  <c r="E78" i="1"/>
  <c r="E77" i="1"/>
  <c r="E76" i="1"/>
  <c r="E66" i="1"/>
  <c r="E65" i="1"/>
  <c r="E64" i="1"/>
  <c r="E48" i="1"/>
  <c r="E47" i="1"/>
  <c r="E46" i="1"/>
  <c r="E28" i="1"/>
  <c r="E27" i="1"/>
  <c r="E26" i="1"/>
  <c r="E14" i="1"/>
  <c r="E13" i="1"/>
  <c r="E12" i="1"/>
</calcChain>
</file>

<file path=xl/sharedStrings.xml><?xml version="1.0" encoding="utf-8"?>
<sst xmlns="http://schemas.openxmlformats.org/spreadsheetml/2006/main" count="254" uniqueCount="44">
  <si>
    <t>Animal</t>
  </si>
  <si>
    <t>Genotype</t>
  </si>
  <si>
    <t>Group</t>
  </si>
  <si>
    <t>Treatment</t>
  </si>
  <si>
    <t>Emotionality Index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</si>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</sst>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E10" sqref="E10"/>
    </sheetView>
  </sheetViews>
  <sheetFormatPr defaultColWidth="13" defaultRowHeight="15.75"/>
  <cols>
    <col min="1" max="4" width="13" style="1"/>
    <col min="5" max="5" width="24.140625" style="1" customWidth="1"/>
    <col min="6" max="6" width="25.42578125" style="1" customWidth="1"/>
    <col min="7" max="16384" width="13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6">
      <c r="A2" s="7" t="s">
        <v>5</v>
      </c>
      <c r="B2" s="7" t="s">
        <v>6</v>
      </c>
      <c r="C2" s="7" t="s">
        <v>7</v>
      </c>
      <c r="D2" s="7" t="s">
        <v>8</v>
      </c>
      <c r="E2" s="1">
        <v>-0.14000000000000001</v>
      </c>
    </row>
    <row r="3" spans="1:6">
      <c r="A3" s="7" t="s">
        <v>9</v>
      </c>
      <c r="B3" s="7" t="s">
        <v>6</v>
      </c>
      <c r="C3" s="7" t="s">
        <v>7</v>
      </c>
      <c r="D3" s="7" t="s">
        <v>8</v>
      </c>
      <c r="E3" s="1">
        <v>-0.26</v>
      </c>
    </row>
    <row r="4" spans="1:6">
      <c r="A4" s="7" t="s">
        <v>10</v>
      </c>
      <c r="B4" s="7" t="s">
        <v>6</v>
      </c>
      <c r="C4" s="7" t="s">
        <v>7</v>
      </c>
      <c r="D4" s="7" t="s">
        <v>8</v>
      </c>
      <c r="E4" s="1">
        <v>-0.68</v>
      </c>
    </row>
    <row r="5" spans="1:6">
      <c r="A5" s="7" t="s">
        <v>11</v>
      </c>
      <c r="B5" s="7" t="s">
        <v>6</v>
      </c>
      <c r="C5" s="7" t="s">
        <v>7</v>
      </c>
      <c r="D5" s="7" t="s">
        <v>8</v>
      </c>
      <c r="E5" s="1">
        <v>-0.28999999999999998</v>
      </c>
    </row>
    <row r="6" spans="1:6">
      <c r="A6" s="7" t="s">
        <v>12</v>
      </c>
      <c r="B6" s="7" t="s">
        <v>6</v>
      </c>
      <c r="C6" s="7" t="s">
        <v>7</v>
      </c>
      <c r="D6" s="7" t="s">
        <v>8</v>
      </c>
      <c r="E6" s="6">
        <v>0.52</v>
      </c>
    </row>
    <row r="7" spans="1:6">
      <c r="A7" s="7" t="s">
        <v>13</v>
      </c>
      <c r="B7" s="7" t="s">
        <v>6</v>
      </c>
      <c r="C7" s="7" t="s">
        <v>7</v>
      </c>
      <c r="D7" s="7" t="s">
        <v>8</v>
      </c>
      <c r="E7" s="6">
        <v>-1.54</v>
      </c>
    </row>
    <row r="8" spans="1:6">
      <c r="A8" s="7" t="s">
        <v>14</v>
      </c>
      <c r="B8" s="7" t="s">
        <v>6</v>
      </c>
      <c r="C8" s="7" t="s">
        <v>7</v>
      </c>
      <c r="D8" s="7" t="s">
        <v>8</v>
      </c>
      <c r="E8" s="6">
        <v>-0.54</v>
      </c>
    </row>
    <row r="9" spans="1:6">
      <c r="A9" s="7" t="s">
        <v>15</v>
      </c>
      <c r="B9" s="7" t="s">
        <v>6</v>
      </c>
      <c r="C9" s="7" t="s">
        <v>7</v>
      </c>
      <c r="D9" s="7" t="s">
        <v>8</v>
      </c>
      <c r="E9" s="6">
        <v>0.3</v>
      </c>
    </row>
    <row r="10" spans="1:6">
      <c r="A10" s="7" t="s">
        <v>16</v>
      </c>
      <c r="B10" s="7" t="s">
        <v>6</v>
      </c>
      <c r="C10" s="7" t="s">
        <v>7</v>
      </c>
      <c r="D10" s="7" t="s">
        <v>8</v>
      </c>
      <c r="E10" s="6">
        <v>1.81</v>
      </c>
    </row>
    <row r="11" spans="1:6">
      <c r="A11" s="7" t="s">
        <v>17</v>
      </c>
      <c r="B11" s="7" t="s">
        <v>6</v>
      </c>
      <c r="C11" s="7" t="s">
        <v>7</v>
      </c>
      <c r="D11" s="7" t="s">
        <v>8</v>
      </c>
      <c r="E11" s="6">
        <v>1.98</v>
      </c>
    </row>
    <row r="12" spans="1:6">
      <c r="A12" s="8" t="s">
        <v>18</v>
      </c>
      <c r="B12" s="8"/>
      <c r="C12" s="8"/>
      <c r="D12" s="8"/>
      <c r="E12" s="9">
        <f>AVERAGE(E2:E11)</f>
        <v>0.11600000000000001</v>
      </c>
      <c r="F12" s="3"/>
    </row>
    <row r="13" spans="1:6">
      <c r="A13" s="8" t="s">
        <v>19</v>
      </c>
      <c r="B13" s="8"/>
      <c r="C13" s="8"/>
      <c r="D13" s="8"/>
      <c r="E13" s="9">
        <f>STDEV(E2:E11)</f>
        <v>1.09134168190657</v>
      </c>
      <c r="F13" s="3"/>
    </row>
    <row r="14" spans="1:6">
      <c r="A14" s="8" t="s">
        <v>20</v>
      </c>
      <c r="B14" s="8"/>
      <c r="C14" s="8"/>
      <c r="D14" s="8"/>
      <c r="E14" s="9">
        <f>E13/SQRT(10)</f>
        <v>0.345112542030374</v>
      </c>
      <c r="F14" s="3"/>
    </row>
    <row r="15" spans="1:6">
      <c r="A15" s="2"/>
      <c r="B15" s="2"/>
      <c r="C15" s="2"/>
      <c r="D15" s="5"/>
      <c r="E15" s="6"/>
    </row>
    <row r="16" spans="1:6">
      <c r="A16" s="7" t="s">
        <v>21</v>
      </c>
      <c r="B16" s="7" t="s">
        <v>6</v>
      </c>
      <c r="C16" s="7" t="s">
        <v>7</v>
      </c>
      <c r="D16" s="7" t="s">
        <v>22</v>
      </c>
      <c r="E16" s="6">
        <v>1.1000000000000001</v>
      </c>
    </row>
    <row r="17" spans="1:5">
      <c r="A17" s="7" t="s">
        <v>23</v>
      </c>
      <c r="B17" s="7" t="s">
        <v>6</v>
      </c>
      <c r="C17" s="7" t="s">
        <v>7</v>
      </c>
      <c r="D17" s="7" t="s">
        <v>22</v>
      </c>
      <c r="E17" s="6">
        <v>0.39</v>
      </c>
    </row>
    <row r="18" spans="1:5">
      <c r="A18" s="7" t="s">
        <v>24</v>
      </c>
      <c r="B18" s="7" t="s">
        <v>6</v>
      </c>
      <c r="C18" s="7" t="s">
        <v>7</v>
      </c>
      <c r="D18" s="7" t="s">
        <v>22</v>
      </c>
      <c r="E18" s="6">
        <v>3.72</v>
      </c>
    </row>
    <row r="19" spans="1:5">
      <c r="A19" s="7" t="s">
        <v>25</v>
      </c>
      <c r="B19" s="7" t="s">
        <v>6</v>
      </c>
      <c r="C19" s="7" t="s">
        <v>7</v>
      </c>
      <c r="D19" s="7" t="s">
        <v>22</v>
      </c>
      <c r="E19" s="6">
        <v>2.14</v>
      </c>
    </row>
    <row r="20" spans="1:5">
      <c r="A20" s="7" t="s">
        <v>26</v>
      </c>
      <c r="B20" s="7" t="s">
        <v>6</v>
      </c>
      <c r="C20" s="7" t="s">
        <v>7</v>
      </c>
      <c r="D20" s="7" t="s">
        <v>22</v>
      </c>
      <c r="E20" s="6">
        <v>2.42</v>
      </c>
    </row>
    <row r="21" spans="1:5">
      <c r="A21" s="7" t="s">
        <v>27</v>
      </c>
      <c r="B21" s="7" t="s">
        <v>6</v>
      </c>
      <c r="C21" s="7" t="s">
        <v>7</v>
      </c>
      <c r="D21" s="7" t="s">
        <v>22</v>
      </c>
      <c r="E21" s="6">
        <v>2.48</v>
      </c>
    </row>
    <row r="22" spans="1:5">
      <c r="A22" s="7" t="s">
        <v>28</v>
      </c>
      <c r="B22" s="7" t="s">
        <v>6</v>
      </c>
      <c r="C22" s="7" t="s">
        <v>7</v>
      </c>
      <c r="D22" s="7" t="s">
        <v>22</v>
      </c>
      <c r="E22" s="6">
        <v>3.74</v>
      </c>
    </row>
    <row r="23" spans="1:5">
      <c r="A23" s="7" t="s">
        <v>29</v>
      </c>
      <c r="B23" s="7" t="s">
        <v>6</v>
      </c>
      <c r="C23" s="7" t="s">
        <v>7</v>
      </c>
      <c r="D23" s="7" t="s">
        <v>22</v>
      </c>
      <c r="E23" s="6">
        <v>1.88</v>
      </c>
    </row>
    <row r="24" spans="1:5">
      <c r="A24" s="7" t="s">
        <v>30</v>
      </c>
      <c r="B24" s="7" t="s">
        <v>6</v>
      </c>
      <c r="C24" s="7" t="s">
        <v>7</v>
      </c>
      <c r="D24" s="7" t="s">
        <v>22</v>
      </c>
      <c r="E24" s="6">
        <v>2.21</v>
      </c>
    </row>
    <row r="25" spans="1:5">
      <c r="A25" s="7" t="s">
        <v>31</v>
      </c>
      <c r="B25" s="7" t="s">
        <v>6</v>
      </c>
      <c r="C25" s="7" t="s">
        <v>7</v>
      </c>
      <c r="D25" s="7" t="s">
        <v>22</v>
      </c>
      <c r="E25" s="6">
        <v>2.84</v>
      </c>
    </row>
    <row r="26" spans="1:5">
      <c r="A26" s="8" t="s">
        <v>18</v>
      </c>
      <c r="B26" s="8"/>
      <c r="C26" s="8"/>
      <c r="D26" s="8"/>
      <c r="E26" s="9">
        <f>AVERAGE(E16:E25)</f>
        <v>2.2919999999999998</v>
      </c>
    </row>
    <row r="27" spans="1:5">
      <c r="A27" s="8" t="s">
        <v>19</v>
      </c>
      <c r="B27" s="8"/>
      <c r="C27" s="8"/>
      <c r="D27" s="8"/>
      <c r="E27" s="9">
        <f>STDEV(E16:E25)</f>
        <v>1.03954904753081</v>
      </c>
    </row>
    <row r="28" spans="1:5">
      <c r="A28" s="8" t="s">
        <v>20</v>
      </c>
      <c r="B28" s="8"/>
      <c r="C28" s="8"/>
      <c r="D28" s="8"/>
      <c r="E28" s="9">
        <f>E27/SQRT(10)</f>
        <v>0.32873427296560098</v>
      </c>
    </row>
    <row r="29" spans="1:5">
      <c r="A29" s="2"/>
      <c r="B29" s="2"/>
      <c r="C29" s="2"/>
      <c r="D29" s="5"/>
      <c r="E29" s="6"/>
    </row>
    <row r="30" spans="1:5">
      <c r="A30" s="7">
        <v>351</v>
      </c>
      <c r="B30" s="7" t="s">
        <v>6</v>
      </c>
      <c r="C30" s="7" t="s">
        <v>32</v>
      </c>
      <c r="D30" s="7" t="s">
        <v>8</v>
      </c>
      <c r="E30" s="6">
        <v>4.62</v>
      </c>
    </row>
    <row r="31" spans="1:5">
      <c r="A31" s="7">
        <v>191</v>
      </c>
      <c r="B31" s="7" t="s">
        <v>6</v>
      </c>
      <c r="C31" s="7" t="s">
        <v>32</v>
      </c>
      <c r="D31" s="7" t="s">
        <v>8</v>
      </c>
      <c r="E31" s="6">
        <v>4.8899999999999997</v>
      </c>
    </row>
    <row r="32" spans="1:5">
      <c r="A32" s="7">
        <v>251</v>
      </c>
      <c r="B32" s="7" t="s">
        <v>6</v>
      </c>
      <c r="C32" s="7" t="s">
        <v>32</v>
      </c>
      <c r="D32" s="7" t="s">
        <v>8</v>
      </c>
      <c r="E32" s="6">
        <v>5.82</v>
      </c>
    </row>
    <row r="33" spans="1:5">
      <c r="A33" s="7">
        <v>361</v>
      </c>
      <c r="B33" s="7" t="s">
        <v>6</v>
      </c>
      <c r="C33" s="7" t="s">
        <v>32</v>
      </c>
      <c r="D33" s="7" t="s">
        <v>8</v>
      </c>
      <c r="E33" s="6">
        <v>4.3099999999999996</v>
      </c>
    </row>
    <row r="34" spans="1:5">
      <c r="A34" s="7">
        <v>541</v>
      </c>
      <c r="B34" s="7" t="s">
        <v>6</v>
      </c>
      <c r="C34" s="7" t="s">
        <v>32</v>
      </c>
      <c r="D34" s="7" t="s">
        <v>8</v>
      </c>
      <c r="E34" s="6">
        <v>6.66</v>
      </c>
    </row>
    <row r="35" spans="1:5">
      <c r="A35" s="7">
        <v>852</v>
      </c>
      <c r="B35" s="7" t="s">
        <v>6</v>
      </c>
      <c r="C35" s="7" t="s">
        <v>32</v>
      </c>
      <c r="D35" s="7" t="s">
        <v>8</v>
      </c>
      <c r="E35" s="6">
        <v>4.34</v>
      </c>
    </row>
    <row r="36" spans="1:5">
      <c r="A36" s="7">
        <v>4163</v>
      </c>
      <c r="B36" s="7" t="s">
        <v>6</v>
      </c>
      <c r="C36" s="7" t="s">
        <v>32</v>
      </c>
      <c r="D36" s="7" t="s">
        <v>8</v>
      </c>
      <c r="E36" s="6">
        <v>3.87</v>
      </c>
    </row>
    <row r="37" spans="1:5">
      <c r="A37" s="7">
        <v>4213</v>
      </c>
      <c r="B37" s="7" t="s">
        <v>6</v>
      </c>
      <c r="C37" s="7" t="s">
        <v>32</v>
      </c>
      <c r="D37" s="7" t="s">
        <v>8</v>
      </c>
      <c r="E37" s="6">
        <v>5.33</v>
      </c>
    </row>
    <row r="38" spans="1:5">
      <c r="A38" s="7">
        <v>4223</v>
      </c>
      <c r="B38" s="7" t="s">
        <v>6</v>
      </c>
      <c r="C38" s="7" t="s">
        <v>32</v>
      </c>
      <c r="D38" s="7" t="s">
        <v>8</v>
      </c>
      <c r="E38" s="6">
        <v>4.16</v>
      </c>
    </row>
    <row r="39" spans="1:5">
      <c r="A39" s="7">
        <v>4303</v>
      </c>
      <c r="B39" s="7" t="s">
        <v>6</v>
      </c>
      <c r="C39" s="7" t="s">
        <v>32</v>
      </c>
      <c r="D39" s="7" t="s">
        <v>8</v>
      </c>
      <c r="E39" s="6">
        <v>3.16</v>
      </c>
    </row>
    <row r="40" spans="1:5">
      <c r="A40" s="7">
        <v>4323</v>
      </c>
      <c r="B40" s="7" t="s">
        <v>6</v>
      </c>
      <c r="C40" s="7" t="s">
        <v>32</v>
      </c>
      <c r="D40" s="7" t="s">
        <v>8</v>
      </c>
      <c r="E40" s="6">
        <v>4.3499999999999996</v>
      </c>
    </row>
    <row r="41" spans="1:5">
      <c r="A41" s="7" t="s">
        <v>33</v>
      </c>
      <c r="B41" s="7" t="s">
        <v>6</v>
      </c>
      <c r="C41" s="7" t="s">
        <v>32</v>
      </c>
      <c r="D41" s="7" t="s">
        <v>8</v>
      </c>
      <c r="E41" s="6">
        <v>5.21</v>
      </c>
    </row>
    <row r="42" spans="1:5">
      <c r="A42" s="7" t="s">
        <v>34</v>
      </c>
      <c r="B42" s="7" t="s">
        <v>6</v>
      </c>
      <c r="C42" s="7" t="s">
        <v>32</v>
      </c>
      <c r="D42" s="7" t="s">
        <v>8</v>
      </c>
      <c r="E42" s="6">
        <v>6.78</v>
      </c>
    </row>
    <row r="43" spans="1:5">
      <c r="A43" s="7" t="s">
        <v>35</v>
      </c>
      <c r="B43" s="7" t="s">
        <v>6</v>
      </c>
      <c r="C43" s="7" t="s">
        <v>32</v>
      </c>
      <c r="D43" s="7" t="s">
        <v>8</v>
      </c>
      <c r="E43" s="6">
        <v>6.38</v>
      </c>
    </row>
    <row r="44" spans="1:5">
      <c r="A44" s="7" t="s">
        <v>36</v>
      </c>
      <c r="B44" s="7" t="s">
        <v>6</v>
      </c>
      <c r="C44" s="7" t="s">
        <v>32</v>
      </c>
      <c r="D44" s="7" t="s">
        <v>8</v>
      </c>
      <c r="E44" s="6">
        <v>4.41</v>
      </c>
    </row>
    <row r="45" spans="1:5">
      <c r="A45" s="7" t="s">
        <v>37</v>
      </c>
      <c r="B45" s="7" t="s">
        <v>6</v>
      </c>
      <c r="C45" s="7" t="s">
        <v>32</v>
      </c>
      <c r="D45" s="7" t="s">
        <v>8</v>
      </c>
      <c r="E45" s="6">
        <v>2.81</v>
      </c>
    </row>
    <row r="46" spans="1:5">
      <c r="A46" s="8" t="s">
        <v>18</v>
      </c>
      <c r="B46" s="8"/>
      <c r="C46" s="8"/>
      <c r="D46" s="8"/>
      <c r="E46" s="9">
        <f>AVERAGE(E30:E45)</f>
        <v>4.8187499999999996</v>
      </c>
    </row>
    <row r="47" spans="1:5">
      <c r="A47" s="8" t="s">
        <v>19</v>
      </c>
      <c r="B47" s="8"/>
      <c r="C47" s="8"/>
      <c r="D47" s="8"/>
      <c r="E47" s="9">
        <f>STDEV(E30:E45)</f>
        <v>1.15848104573762</v>
      </c>
    </row>
    <row r="48" spans="1:5">
      <c r="A48" s="8" t="s">
        <v>20</v>
      </c>
      <c r="B48" s="8"/>
      <c r="C48" s="8"/>
      <c r="D48" s="8"/>
      <c r="E48" s="9">
        <f>E47/SQRT(16)</f>
        <v>0.289620261434405</v>
      </c>
    </row>
    <row r="49" spans="1:5">
      <c r="A49" s="2"/>
      <c r="B49" s="2"/>
      <c r="C49" s="2"/>
      <c r="D49" s="5"/>
      <c r="E49" s="6"/>
    </row>
    <row r="50" spans="1:5">
      <c r="A50" s="7">
        <v>211</v>
      </c>
      <c r="B50" s="7" t="s">
        <v>6</v>
      </c>
      <c r="C50" s="7" t="s">
        <v>32</v>
      </c>
      <c r="D50" s="7" t="s">
        <v>22</v>
      </c>
      <c r="E50" s="6">
        <v>5.26</v>
      </c>
    </row>
    <row r="51" spans="1:5">
      <c r="A51" s="7">
        <v>291</v>
      </c>
      <c r="B51" s="7" t="s">
        <v>6</v>
      </c>
      <c r="C51" s="7" t="s">
        <v>32</v>
      </c>
      <c r="D51" s="7" t="s">
        <v>22</v>
      </c>
      <c r="E51" s="6">
        <v>3.49</v>
      </c>
    </row>
    <row r="52" spans="1:5">
      <c r="A52" s="7">
        <v>111</v>
      </c>
      <c r="B52" s="7" t="s">
        <v>6</v>
      </c>
      <c r="C52" s="7" t="s">
        <v>32</v>
      </c>
      <c r="D52" s="7" t="s">
        <v>22</v>
      </c>
      <c r="E52" s="6">
        <v>3.17</v>
      </c>
    </row>
    <row r="53" spans="1:5">
      <c r="A53" s="7">
        <v>11</v>
      </c>
      <c r="B53" s="7" t="s">
        <v>6</v>
      </c>
      <c r="C53" s="7" t="s">
        <v>32</v>
      </c>
      <c r="D53" s="7" t="s">
        <v>22</v>
      </c>
      <c r="E53" s="6">
        <v>3.98</v>
      </c>
    </row>
    <row r="54" spans="1:5">
      <c r="A54" s="7">
        <v>672</v>
      </c>
      <c r="B54" s="7" t="s">
        <v>6</v>
      </c>
      <c r="C54" s="7" t="s">
        <v>32</v>
      </c>
      <c r="D54" s="7" t="s">
        <v>22</v>
      </c>
      <c r="E54" s="6">
        <v>3.37</v>
      </c>
    </row>
    <row r="55" spans="1:5">
      <c r="A55" s="7">
        <v>4333</v>
      </c>
      <c r="B55" s="7" t="s">
        <v>6</v>
      </c>
      <c r="C55" s="7" t="s">
        <v>32</v>
      </c>
      <c r="D55" s="7" t="s">
        <v>22</v>
      </c>
      <c r="E55" s="6">
        <v>4.67</v>
      </c>
    </row>
    <row r="56" spans="1:5">
      <c r="A56" s="7">
        <v>4353</v>
      </c>
      <c r="B56" s="7" t="s">
        <v>6</v>
      </c>
      <c r="C56" s="7" t="s">
        <v>32</v>
      </c>
      <c r="D56" s="7" t="s">
        <v>22</v>
      </c>
      <c r="E56" s="6">
        <v>5.5</v>
      </c>
    </row>
    <row r="57" spans="1:5">
      <c r="A57" s="7">
        <v>4383</v>
      </c>
      <c r="B57" s="7" t="s">
        <v>6</v>
      </c>
      <c r="C57" s="7" t="s">
        <v>32</v>
      </c>
      <c r="D57" s="7" t="s">
        <v>22</v>
      </c>
      <c r="E57" s="6">
        <v>1.63</v>
      </c>
    </row>
    <row r="58" spans="1:5">
      <c r="A58" s="7">
        <v>4393</v>
      </c>
      <c r="B58" s="7" t="s">
        <v>6</v>
      </c>
      <c r="C58" s="7" t="s">
        <v>32</v>
      </c>
      <c r="D58" s="7" t="s">
        <v>22</v>
      </c>
      <c r="E58" s="6">
        <v>3.22</v>
      </c>
    </row>
    <row r="59" spans="1:5">
      <c r="A59" s="7" t="s">
        <v>38</v>
      </c>
      <c r="B59" s="7" t="s">
        <v>6</v>
      </c>
      <c r="C59" s="7" t="s">
        <v>32</v>
      </c>
      <c r="D59" s="7" t="s">
        <v>22</v>
      </c>
      <c r="E59" s="6">
        <v>0.94</v>
      </c>
    </row>
    <row r="60" spans="1:5">
      <c r="A60" s="7" t="s">
        <v>39</v>
      </c>
      <c r="B60" s="7" t="s">
        <v>6</v>
      </c>
      <c r="C60" s="7" t="s">
        <v>32</v>
      </c>
      <c r="D60" s="7" t="s">
        <v>22</v>
      </c>
      <c r="E60" s="6">
        <v>3.49</v>
      </c>
    </row>
    <row r="61" spans="1:5">
      <c r="A61" s="7" t="s">
        <v>40</v>
      </c>
      <c r="B61" s="7" t="s">
        <v>6</v>
      </c>
      <c r="C61" s="7" t="s">
        <v>32</v>
      </c>
      <c r="D61" s="7" t="s">
        <v>22</v>
      </c>
      <c r="E61" s="6">
        <v>4.74</v>
      </c>
    </row>
    <row r="62" spans="1:5">
      <c r="A62" s="7" t="s">
        <v>41</v>
      </c>
      <c r="B62" s="7" t="s">
        <v>6</v>
      </c>
      <c r="C62" s="7" t="s">
        <v>32</v>
      </c>
      <c r="D62" s="7" t="s">
        <v>22</v>
      </c>
      <c r="E62" s="6">
        <v>0.98</v>
      </c>
    </row>
    <row r="63" spans="1:5">
      <c r="A63" s="7" t="s">
        <v>42</v>
      </c>
      <c r="B63" s="7" t="s">
        <v>6</v>
      </c>
      <c r="C63" s="7" t="s">
        <v>32</v>
      </c>
      <c r="D63" s="7" t="s">
        <v>22</v>
      </c>
      <c r="E63" s="6">
        <v>0.56999999999999995</v>
      </c>
    </row>
    <row r="64" spans="1:5">
      <c r="A64" s="8" t="s">
        <v>18</v>
      </c>
      <c r="B64" s="8"/>
      <c r="C64" s="8"/>
      <c r="D64" s="8"/>
      <c r="E64" s="9">
        <f>AVERAGE(E50:E63)</f>
        <v>3.2149999999999999</v>
      </c>
    </row>
    <row r="65" spans="1:5">
      <c r="A65" s="8" t="s">
        <v>19</v>
      </c>
      <c r="B65" s="8"/>
      <c r="C65" s="8"/>
      <c r="D65" s="8"/>
      <c r="E65" s="9">
        <f>STDEV(E50:E63)</f>
        <v>1.6240393610235699</v>
      </c>
    </row>
    <row r="66" spans="1:5">
      <c r="A66" s="8" t="s">
        <v>20</v>
      </c>
      <c r="B66" s="8"/>
      <c r="C66" s="8"/>
      <c r="D66" s="8"/>
      <c r="E66" s="9">
        <f>E65/SQRT(14)</f>
        <v>0.434042776541819</v>
      </c>
    </row>
    <row r="67" spans="1:5">
      <c r="A67" s="2"/>
      <c r="B67" s="2"/>
      <c r="C67" s="2"/>
      <c r="D67" s="5"/>
      <c r="E67" s="6"/>
    </row>
    <row r="68" spans="1:5">
      <c r="A68" s="7">
        <v>411</v>
      </c>
      <c r="B68" s="7" t="s">
        <v>43</v>
      </c>
      <c r="C68" s="7" t="s">
        <v>32</v>
      </c>
      <c r="D68" s="7" t="s">
        <v>8</v>
      </c>
      <c r="E68" s="6">
        <v>5.4</v>
      </c>
    </row>
    <row r="69" spans="1:5">
      <c r="A69" s="7">
        <v>131</v>
      </c>
      <c r="B69" s="7" t="s">
        <v>43</v>
      </c>
      <c r="C69" s="7" t="s">
        <v>32</v>
      </c>
      <c r="D69" s="7" t="s">
        <v>8</v>
      </c>
      <c r="E69" s="6">
        <v>6.59</v>
      </c>
    </row>
    <row r="70" spans="1:5">
      <c r="A70" s="7">
        <v>141</v>
      </c>
      <c r="B70" s="7" t="s">
        <v>43</v>
      </c>
      <c r="C70" s="7" t="s">
        <v>32</v>
      </c>
      <c r="D70" s="7" t="s">
        <v>8</v>
      </c>
      <c r="E70" s="6">
        <v>6.49</v>
      </c>
    </row>
    <row r="71" spans="1:5">
      <c r="A71" s="7">
        <v>151</v>
      </c>
      <c r="B71" s="7" t="s">
        <v>43</v>
      </c>
      <c r="C71" s="7" t="s">
        <v>32</v>
      </c>
      <c r="D71" s="7" t="s">
        <v>8</v>
      </c>
      <c r="E71" s="6">
        <v>6.37</v>
      </c>
    </row>
    <row r="72" spans="1:5">
      <c r="A72" s="7">
        <v>802</v>
      </c>
      <c r="B72" s="7" t="s">
        <v>43</v>
      </c>
      <c r="C72" s="7" t="s">
        <v>32</v>
      </c>
      <c r="D72" s="7" t="s">
        <v>8</v>
      </c>
      <c r="E72" s="6">
        <v>6.2</v>
      </c>
    </row>
    <row r="73" spans="1:5">
      <c r="A73" s="7">
        <v>812</v>
      </c>
      <c r="B73" s="7" t="s">
        <v>43</v>
      </c>
      <c r="C73" s="7" t="s">
        <v>32</v>
      </c>
      <c r="D73" s="7" t="s">
        <v>8</v>
      </c>
      <c r="E73" s="6">
        <v>5.95</v>
      </c>
    </row>
    <row r="74" spans="1:5">
      <c r="A74" s="7">
        <v>4043</v>
      </c>
      <c r="B74" s="7" t="s">
        <v>43</v>
      </c>
      <c r="C74" s="7" t="s">
        <v>32</v>
      </c>
      <c r="D74" s="7" t="s">
        <v>8</v>
      </c>
      <c r="E74" s="6">
        <v>5.57</v>
      </c>
    </row>
    <row r="75" spans="1:5">
      <c r="A75" s="7">
        <v>4113</v>
      </c>
      <c r="B75" s="7" t="s">
        <v>43</v>
      </c>
      <c r="C75" s="7" t="s">
        <v>32</v>
      </c>
      <c r="D75" s="7" t="s">
        <v>8</v>
      </c>
      <c r="E75" s="6">
        <v>4.13</v>
      </c>
    </row>
    <row r="76" spans="1:5">
      <c r="A76" s="8" t="s">
        <v>18</v>
      </c>
      <c r="B76" s="8"/>
      <c r="C76" s="8"/>
      <c r="D76" s="8"/>
      <c r="E76" s="9">
        <f>AVERAGE(E68:E75)</f>
        <v>5.8375000000000004</v>
      </c>
    </row>
    <row r="77" spans="1:5">
      <c r="A77" s="8" t="s">
        <v>19</v>
      </c>
      <c r="B77" s="8"/>
      <c r="C77" s="8"/>
      <c r="D77" s="8"/>
      <c r="E77" s="9">
        <f>STDEV(E68:E75)</f>
        <v>0.81048045715400896</v>
      </c>
    </row>
    <row r="78" spans="1:5">
      <c r="A78" s="8" t="s">
        <v>20</v>
      </c>
      <c r="B78" s="8"/>
      <c r="C78" s="8"/>
      <c r="D78" s="8"/>
      <c r="E78" s="9">
        <f>E77/SQRT(8)</f>
        <v>0.28654811363638599</v>
      </c>
    </row>
    <row r="79" spans="1:5">
      <c r="A79" s="2"/>
      <c r="B79" s="2"/>
      <c r="C79" s="2"/>
      <c r="D79" s="5"/>
      <c r="E79" s="6"/>
    </row>
    <row r="80" spans="1:5">
      <c r="A80" s="7">
        <v>121</v>
      </c>
      <c r="B80" s="7" t="s">
        <v>43</v>
      </c>
      <c r="C80" s="7" t="s">
        <v>32</v>
      </c>
      <c r="D80" s="7" t="s">
        <v>22</v>
      </c>
      <c r="E80" s="6">
        <v>6.68</v>
      </c>
    </row>
    <row r="81" spans="1:5">
      <c r="A81" s="7">
        <v>201</v>
      </c>
      <c r="B81" s="7" t="s">
        <v>43</v>
      </c>
      <c r="C81" s="7" t="s">
        <v>32</v>
      </c>
      <c r="D81" s="7" t="s">
        <v>22</v>
      </c>
      <c r="E81" s="6">
        <v>2.96</v>
      </c>
    </row>
    <row r="82" spans="1:5">
      <c r="A82" s="7">
        <v>181</v>
      </c>
      <c r="B82" s="7" t="s">
        <v>43</v>
      </c>
      <c r="C82" s="7" t="s">
        <v>32</v>
      </c>
      <c r="D82" s="7" t="s">
        <v>22</v>
      </c>
      <c r="E82" s="6">
        <v>3.63</v>
      </c>
    </row>
    <row r="83" spans="1:5">
      <c r="A83" s="7">
        <v>391</v>
      </c>
      <c r="B83" s="7" t="s">
        <v>43</v>
      </c>
      <c r="C83" s="7" t="s">
        <v>32</v>
      </c>
      <c r="D83" s="7" t="s">
        <v>22</v>
      </c>
      <c r="E83" s="6">
        <v>5.79</v>
      </c>
    </row>
    <row r="84" spans="1:5">
      <c r="A84" s="7">
        <v>702</v>
      </c>
      <c r="B84" s="7" t="s">
        <v>43</v>
      </c>
      <c r="C84" s="7" t="s">
        <v>32</v>
      </c>
      <c r="D84" s="7" t="s">
        <v>22</v>
      </c>
      <c r="E84" s="6">
        <v>5.9</v>
      </c>
    </row>
    <row r="85" spans="1:5">
      <c r="A85" s="7">
        <v>642</v>
      </c>
      <c r="B85" s="7" t="s">
        <v>43</v>
      </c>
      <c r="C85" s="7" t="s">
        <v>32</v>
      </c>
      <c r="D85" s="7" t="s">
        <v>22</v>
      </c>
      <c r="E85" s="6">
        <v>5.37</v>
      </c>
    </row>
    <row r="86" spans="1:5">
      <c r="A86" s="7">
        <v>4153</v>
      </c>
      <c r="B86" s="7" t="s">
        <v>43</v>
      </c>
      <c r="C86" s="7" t="s">
        <v>32</v>
      </c>
      <c r="D86" s="7" t="s">
        <v>22</v>
      </c>
      <c r="E86" s="6">
        <v>6.61</v>
      </c>
    </row>
    <row r="87" spans="1:5">
      <c r="A87" s="7">
        <v>4313</v>
      </c>
      <c r="B87" s="7" t="s">
        <v>43</v>
      </c>
      <c r="C87" s="7" t="s">
        <v>32</v>
      </c>
      <c r="D87" s="7" t="s">
        <v>22</v>
      </c>
      <c r="E87" s="6">
        <v>6.35</v>
      </c>
    </row>
    <row r="88" spans="1:5">
      <c r="A88" s="7">
        <v>4783</v>
      </c>
      <c r="B88" s="7" t="s">
        <v>43</v>
      </c>
      <c r="C88" s="7" t="s">
        <v>32</v>
      </c>
      <c r="D88" s="7" t="s">
        <v>22</v>
      </c>
      <c r="E88" s="6">
        <v>5.07</v>
      </c>
    </row>
    <row r="89" spans="1:5">
      <c r="A89" s="8" t="s">
        <v>18</v>
      </c>
      <c r="B89" s="9"/>
      <c r="C89" s="9"/>
      <c r="D89" s="9"/>
      <c r="E89" s="9">
        <f>AVERAGE(E80:E88)</f>
        <v>5.3733333333333304</v>
      </c>
    </row>
    <row r="90" spans="1:5">
      <c r="A90" s="8" t="s">
        <v>19</v>
      </c>
      <c r="B90" s="9"/>
      <c r="C90" s="9"/>
      <c r="D90" s="9"/>
      <c r="E90" s="9">
        <f>STDEV(E80:E88)</f>
        <v>1.30369666717377</v>
      </c>
    </row>
    <row r="91" spans="1:5">
      <c r="A91" s="8" t="s">
        <v>20</v>
      </c>
      <c r="B91" s="9"/>
      <c r="C91" s="9"/>
      <c r="D91" s="9"/>
      <c r="E91" s="9">
        <f>E90/SQRT(9)</f>
        <v>0.43456555572459099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2024-11-23T11:44:00Z</dcterms:created>
  <dcterms:modified xsi:type="dcterms:W3CDTF">2025-12-08T09:06:34Z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C189FD2545D14543A26C052A951A85A0_11</vt:lpwstr>
  </property>
  <property fmtid="{D5CDD505-2E9C-101B-9397-08002B2CF9AE}" pid="3" name="KSOProductBuildVer">
    <vt:lpwstr>2052-12.1.0.19302</vt:lpwstr>
  </property>
</Properties>
</file>