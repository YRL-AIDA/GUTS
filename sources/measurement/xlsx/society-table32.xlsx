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B90F04B-600E-43A7-A278-B3757F1D84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Days_Individuals_Are_Infectious">'[1]Detailed COVID Calculations - 1'!$C$11</definedName>
    <definedName name="Fatality_Rate_Child">'[1]Detailed COVID Calculations - 1'!$C$51</definedName>
    <definedName name="Fatality_Rate_Over_60">'[1]Detailed COVID Calculations - 1'!$C$53</definedName>
    <definedName name="Infection_Rate_within_HH">'[1]Detailed COVID Calculations - 1'!$C$48</definedName>
    <definedName name="Number_of_Visits_per_Patient">'[1]Detailed COVID Calculations - 1'!$C$6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  <c r="H92" i="1"/>
  <c r="G92" i="1"/>
  <c r="A92" i="1"/>
  <c r="I91" i="1"/>
  <c r="H91" i="1"/>
  <c r="G91" i="1"/>
  <c r="A91" i="1"/>
  <c r="I90" i="1"/>
  <c r="H90" i="1"/>
  <c r="G90" i="1"/>
  <c r="I89" i="1"/>
  <c r="H89" i="1"/>
  <c r="G89" i="1"/>
  <c r="A89" i="1"/>
  <c r="I88" i="1"/>
  <c r="H88" i="1"/>
  <c r="G88" i="1"/>
  <c r="A88" i="1"/>
  <c r="I87" i="1"/>
  <c r="H87" i="1"/>
  <c r="G87" i="1"/>
  <c r="A87" i="1"/>
  <c r="I86" i="1"/>
  <c r="H86" i="1"/>
  <c r="G86" i="1"/>
  <c r="I85" i="1"/>
  <c r="H85" i="1"/>
  <c r="G85" i="1"/>
  <c r="A85" i="1"/>
  <c r="I84" i="1"/>
  <c r="H84" i="1"/>
  <c r="G84" i="1"/>
  <c r="A84" i="1"/>
  <c r="I83" i="1"/>
  <c r="H83" i="1"/>
  <c r="G83" i="1"/>
  <c r="A83" i="1"/>
  <c r="I82" i="1"/>
  <c r="H82" i="1"/>
  <c r="G82" i="1"/>
  <c r="I81" i="1"/>
  <c r="H81" i="1"/>
  <c r="G81" i="1"/>
  <c r="A81" i="1"/>
  <c r="I80" i="1"/>
  <c r="H80" i="1"/>
  <c r="G80" i="1"/>
  <c r="A80" i="1"/>
  <c r="I79" i="1"/>
  <c r="H79" i="1"/>
  <c r="G79" i="1"/>
  <c r="A79" i="1"/>
  <c r="I78" i="1"/>
  <c r="H78" i="1"/>
  <c r="G78" i="1"/>
  <c r="I77" i="1"/>
  <c r="H77" i="1"/>
  <c r="G77" i="1"/>
  <c r="A77" i="1"/>
  <c r="I76" i="1"/>
  <c r="H76" i="1"/>
  <c r="G76" i="1"/>
  <c r="A76" i="1"/>
  <c r="I75" i="1"/>
  <c r="H75" i="1"/>
  <c r="G75" i="1"/>
  <c r="I74" i="1"/>
  <c r="H74" i="1"/>
  <c r="G74" i="1"/>
  <c r="I73" i="1"/>
  <c r="H73" i="1"/>
  <c r="G73" i="1"/>
  <c r="A73" i="1"/>
  <c r="I72" i="1"/>
  <c r="H72" i="1"/>
  <c r="G72" i="1"/>
  <c r="I71" i="1"/>
  <c r="H71" i="1"/>
  <c r="G71" i="1"/>
  <c r="A71" i="1"/>
  <c r="I70" i="1"/>
  <c r="H70" i="1"/>
  <c r="G70" i="1"/>
  <c r="A70" i="1"/>
  <c r="I69" i="1"/>
  <c r="H69" i="1"/>
  <c r="G69" i="1"/>
  <c r="A69" i="1"/>
  <c r="I68" i="1"/>
  <c r="H68" i="1"/>
  <c r="G68" i="1"/>
  <c r="A68" i="1"/>
  <c r="I67" i="1"/>
  <c r="H67" i="1"/>
  <c r="G67" i="1"/>
  <c r="A67" i="1"/>
  <c r="I66" i="1"/>
  <c r="H66" i="1"/>
  <c r="G66" i="1"/>
  <c r="A66" i="1"/>
  <c r="I65" i="1"/>
  <c r="H65" i="1"/>
  <c r="G65" i="1"/>
  <c r="A65" i="1"/>
  <c r="I64" i="1"/>
  <c r="H64" i="1"/>
  <c r="G64" i="1"/>
  <c r="A64" i="1"/>
  <c r="I63" i="1"/>
  <c r="H63" i="1"/>
  <c r="G63" i="1"/>
  <c r="I62" i="1"/>
  <c r="H62" i="1"/>
  <c r="G62" i="1"/>
  <c r="A62" i="1"/>
  <c r="I61" i="1"/>
  <c r="H61" i="1"/>
  <c r="G61" i="1"/>
  <c r="A61" i="1"/>
  <c r="I60" i="1"/>
  <c r="H60" i="1"/>
  <c r="G60" i="1"/>
  <c r="A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A52" i="1"/>
  <c r="I51" i="1"/>
  <c r="H51" i="1"/>
  <c r="G51" i="1"/>
  <c r="A51" i="1"/>
  <c r="I50" i="1"/>
  <c r="H50" i="1"/>
  <c r="G50" i="1"/>
  <c r="A50" i="1"/>
  <c r="I49" i="1"/>
  <c r="H49" i="1"/>
  <c r="G49" i="1"/>
  <c r="A49" i="1"/>
  <c r="I48" i="1"/>
  <c r="H48" i="1"/>
  <c r="G48" i="1"/>
  <c r="I46" i="1"/>
  <c r="H46" i="1"/>
  <c r="G46" i="1"/>
  <c r="A46" i="1"/>
  <c r="I45" i="1"/>
  <c r="H45" i="1"/>
  <c r="G45" i="1"/>
  <c r="A45" i="1"/>
  <c r="I44" i="1"/>
  <c r="H44" i="1"/>
  <c r="G44" i="1"/>
  <c r="I43" i="1"/>
  <c r="H43" i="1"/>
  <c r="G43" i="1"/>
  <c r="A43" i="1"/>
  <c r="I42" i="1"/>
  <c r="H42" i="1"/>
  <c r="G42" i="1"/>
  <c r="A42" i="1"/>
  <c r="I41" i="1"/>
  <c r="H41" i="1"/>
  <c r="G41" i="1"/>
  <c r="A41" i="1"/>
  <c r="I40" i="1"/>
  <c r="H40" i="1"/>
  <c r="G40" i="1"/>
  <c r="A40" i="1"/>
  <c r="I39" i="1"/>
  <c r="H39" i="1"/>
  <c r="G39" i="1"/>
  <c r="A39" i="1"/>
  <c r="I38" i="1"/>
  <c r="H38" i="1"/>
  <c r="G38" i="1"/>
  <c r="A38" i="1"/>
  <c r="I37" i="1"/>
  <c r="H37" i="1"/>
  <c r="G37" i="1"/>
  <c r="A37" i="1"/>
  <c r="I36" i="1"/>
  <c r="H36" i="1"/>
  <c r="G36" i="1"/>
  <c r="A36" i="1"/>
  <c r="I35" i="1"/>
  <c r="H35" i="1"/>
  <c r="G35" i="1"/>
  <c r="I34" i="1"/>
  <c r="H34" i="1"/>
  <c r="G34" i="1"/>
  <c r="I33" i="1"/>
  <c r="H33" i="1"/>
  <c r="G33" i="1"/>
  <c r="A33" i="1"/>
  <c r="I32" i="1"/>
  <c r="H32" i="1"/>
  <c r="G32" i="1"/>
  <c r="A32" i="1"/>
  <c r="I31" i="1"/>
  <c r="H31" i="1"/>
  <c r="G31" i="1"/>
  <c r="A31" i="1"/>
  <c r="I30" i="1"/>
  <c r="H30" i="1"/>
  <c r="G30" i="1"/>
  <c r="A30" i="1"/>
  <c r="I29" i="1"/>
  <c r="H29" i="1"/>
  <c r="G29" i="1"/>
  <c r="A29" i="1"/>
  <c r="I28" i="1"/>
  <c r="H28" i="1"/>
  <c r="G28" i="1"/>
  <c r="I27" i="1"/>
  <c r="H27" i="1"/>
  <c r="G27" i="1"/>
  <c r="A27" i="1"/>
  <c r="I26" i="1"/>
  <c r="H26" i="1"/>
  <c r="G26" i="1"/>
  <c r="A26" i="1"/>
  <c r="I25" i="1"/>
  <c r="H25" i="1"/>
  <c r="G25" i="1"/>
  <c r="A25" i="1"/>
  <c r="I24" i="1"/>
  <c r="H24" i="1"/>
  <c r="G24" i="1"/>
  <c r="A24" i="1"/>
  <c r="I23" i="1"/>
  <c r="H23" i="1"/>
  <c r="G23" i="1"/>
  <c r="A23" i="1"/>
  <c r="I22" i="1"/>
  <c r="H22" i="1"/>
  <c r="G22" i="1"/>
  <c r="I21" i="1"/>
  <c r="H21" i="1"/>
  <c r="G21" i="1"/>
  <c r="A21" i="1"/>
  <c r="I20" i="1"/>
  <c r="H20" i="1"/>
  <c r="G20" i="1"/>
  <c r="A20" i="1"/>
  <c r="I19" i="1"/>
  <c r="H19" i="1"/>
  <c r="G19" i="1"/>
  <c r="A19" i="1"/>
  <c r="I18" i="1"/>
  <c r="H18" i="1"/>
  <c r="G18" i="1"/>
  <c r="I17" i="1"/>
  <c r="H17" i="1"/>
  <c r="G17" i="1"/>
  <c r="A17" i="1"/>
  <c r="I16" i="1"/>
  <c r="H16" i="1"/>
  <c r="G16" i="1"/>
  <c r="I15" i="1"/>
  <c r="H15" i="1"/>
  <c r="G15" i="1"/>
  <c r="A15" i="1"/>
  <c r="I14" i="1"/>
  <c r="H14" i="1"/>
  <c r="G14" i="1"/>
  <c r="A14" i="1"/>
  <c r="I13" i="1"/>
  <c r="H13" i="1"/>
  <c r="G13" i="1"/>
  <c r="A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A8" i="1"/>
  <c r="I7" i="1"/>
  <c r="H7" i="1"/>
  <c r="G7" i="1"/>
  <c r="A7" i="1"/>
  <c r="I6" i="1"/>
  <c r="H6" i="1"/>
  <c r="G6" i="1"/>
  <c r="A6" i="1"/>
  <c r="I5" i="1"/>
  <c r="H5" i="1"/>
  <c r="G5" i="1"/>
  <c r="B4" i="1"/>
</calcChain>
</file>

<file path=xl/sharedStrings.xml><?xml version="1.0" encoding="utf-8"?>
<sst xmlns="http://schemas.openxmlformats.org/spreadsheetml/2006/main" count="106" uniqueCount="103">
  <si>
    <t>d</t>
  </si>
  <si>
    <t>LiST Input Data - MNH Coverage Data WITH Mitigation Measures</t>
  </si>
  <si>
    <t>HIDDEN</t>
  </si>
  <si>
    <t>2. Data to be Entered into LiST Module</t>
  </si>
  <si>
    <t>Selected</t>
  </si>
  <si>
    <t>Int# in LiST</t>
  </si>
  <si>
    <t>2019 Pre-COVID</t>
  </si>
  <si>
    <t>2020 With COVID</t>
  </si>
  <si>
    <t>2021 WITH Mitigation</t>
  </si>
  <si>
    <t>Periconceptual</t>
  </si>
  <si>
    <t>Folic acid supplementation/fortification</t>
  </si>
  <si>
    <t>Safe abortion services</t>
  </si>
  <si>
    <t>Post abortion case management</t>
  </si>
  <si>
    <t>Ectopic pregnancy case management</t>
  </si>
  <si>
    <t>Blanket iron supplementation/fortification</t>
  </si>
  <si>
    <t>x</t>
  </si>
  <si>
    <t>Pregnancy/ Antenatal Care</t>
  </si>
  <si>
    <t>Antenatal care (at least 1 visit)</t>
  </si>
  <si>
    <t>Antenatal care (at least 4 visits)</t>
  </si>
  <si>
    <t>Routine</t>
  </si>
  <si>
    <t>TT - Tetanus toxoid vaccination</t>
  </si>
  <si>
    <t>IPTp - Intermittent preventive treatment of malaria during pregnancy</t>
  </si>
  <si>
    <t>Syphilis detection and treatment</t>
  </si>
  <si>
    <t>Nutritional</t>
  </si>
  <si>
    <t>Calcium supplementation</t>
  </si>
  <si>
    <t>Micronutrient supplementation (iron and multiple m.)</t>
  </si>
  <si>
    <t>Iron supplementation in pregnancy</t>
  </si>
  <si>
    <t>Multiple micronutrient supplementation in pregnancy</t>
  </si>
  <si>
    <t>Balanced energy supplementation</t>
  </si>
  <si>
    <t>Case Management</t>
  </si>
  <si>
    <t>Hypertensive disorder case management</t>
  </si>
  <si>
    <t>Diabetes case management</t>
  </si>
  <si>
    <t>Malaria case management</t>
  </si>
  <si>
    <t>MgSO4 management of pre-eclampsia</t>
  </si>
  <si>
    <t>Childbirth/ 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</si>
  <si>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</si>
  <si>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</si>
  <si>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</si>
  <si>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</si>
  <si>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</si>
  <si>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</si>
  <si>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Basic emergency care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</si>
  <si>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</si>
  <si>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</si>
  <si>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</si>
  <si>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</si>
  <si>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</si>
  <si>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</si>
  <si>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</si>
  <si>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</si>
  <si>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</si>
  <si>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Comprehensive emergency care</t>
  </si>
  <si>
    <t>Cesarean delivery</t>
  </si>
  <si>
    <t>Blood transfusion</t>
  </si>
  <si>
    <t>Breastfeeding see below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</si>
  <si>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</si>
  <si>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</si>
  <si>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</si>
  <si>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</si>
  <si>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</si>
  <si>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</si>
  <si>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</si>
  <si>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Basis sanitation</t>
  </si>
  <si>
    <t>Point-of-use filtered water</t>
  </si>
  <si>
    <t>Piped water</t>
  </si>
  <si>
    <t>Hand washing with soap</t>
  </si>
  <si>
    <t>Hygienic disposal of children's stool</t>
  </si>
  <si>
    <t>Other</t>
  </si>
  <si>
    <t>ITN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</si>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</sst>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21">
    <font>
      <sz val="11"/>
      <color theme="1"/>
      <name val="Calibri"/>
      <charset val="134"/>
      <scheme val="minor"/>
    </font>
    <font>
      <sz val="14"/>
      <color theme="1"/>
      <name val="Britannic Bold"/>
      <charset val="134"/>
    </font>
    <font>
      <sz val="10"/>
      <color theme="1"/>
      <name val="Century Gothic"/>
      <charset val="134"/>
    </font>
    <font>
      <sz val="9"/>
      <color rgb="FFC00000"/>
      <name val="Calibri"/>
      <charset val="134"/>
      <scheme val="minor"/>
    </font>
    <font>
      <b/>
      <sz val="11"/>
      <color theme="1"/>
      <name val="Century Gothic"/>
      <charset val="134"/>
    </font>
    <font>
      <b/>
      <sz val="9"/>
      <color theme="0"/>
      <name val="Arial Narrow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b/>
      <sz val="9"/>
      <color theme="0"/>
      <name val="Century Gothic"/>
      <charset val="134"/>
    </font>
    <font>
      <sz val="10"/>
      <name val="Century Gothic"/>
      <charset val="134"/>
    </font>
    <font>
      <b/>
      <sz val="10"/>
      <color theme="1"/>
      <name val="Century Gothic"/>
      <charset val="134"/>
    </font>
    <font>
      <b/>
      <i/>
      <sz val="9"/>
      <name val="Century Gothic"/>
      <charset val="134"/>
    </font>
    <font>
      <u/>
      <sz val="10"/>
      <name val="Century Gothic"/>
      <charset val="134"/>
    </font>
    <font>
      <b/>
      <i/>
      <sz val="10"/>
      <name val="Century Gothic"/>
      <charset val="134"/>
    </font>
    <font>
      <b/>
      <i/>
      <sz val="9"/>
      <color theme="1"/>
      <name val="Century Gothic"/>
      <charset val="134"/>
    </font>
    <font>
      <u/>
      <sz val="10"/>
      <color theme="1"/>
      <name val="Century Gothic"/>
      <charset val="134"/>
    </font>
    <font>
      <b/>
      <sz val="11"/>
      <color rgb="FFC00000"/>
      <name val="Arial Narrow"/>
      <charset val="134"/>
    </font>
    <font>
      <sz val="11"/>
      <color rgb="FFFF0000"/>
      <name val="Calibri"/>
      <charset val="134"/>
      <scheme val="minor"/>
    </font>
    <font>
      <b/>
      <i/>
      <sz val="10"/>
      <color theme="1"/>
      <name val="Century Gothic"/>
      <charset val="134"/>
    </font>
    <font>
      <sz val="11"/>
      <color rgb="FF7030A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>
      <alignment vertical="center"/>
    </xf>
    <xf numFmtId="0" fontId="20" fillId="0" borderId="0"/>
    <xf numFmtId="0" fontId="2" fillId="0" borderId="0"/>
  </cellStyleXfs>
  <cellXfs count="52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centerContinuous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/>
    <xf numFmtId="0" fontId="7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9" fillId="3" borderId="2" xfId="1" applyFont="1" applyFill="1" applyBorder="1"/>
    <xf numFmtId="168" fontId="2" fillId="0" borderId="2" xfId="0" applyNumberFormat="1" applyFont="1" applyBorder="1" applyAlignment="1"/>
    <xf numFmtId="0" fontId="9" fillId="4" borderId="2" xfId="1" applyFont="1" applyFill="1" applyBorder="1"/>
    <xf numFmtId="0" fontId="9" fillId="5" borderId="2" xfId="1" applyFont="1" applyFill="1" applyBorder="1"/>
    <xf numFmtId="0" fontId="0" fillId="6" borderId="0" xfId="0" applyFill="1" applyAlignment="1"/>
    <xf numFmtId="0" fontId="2" fillId="7" borderId="2" xfId="0" applyFont="1" applyFill="1" applyBorder="1" applyAlignment="1"/>
    <xf numFmtId="0" fontId="2" fillId="7" borderId="7" xfId="0" applyFont="1" applyFill="1" applyBorder="1" applyAlignment="1">
      <alignment vertical="top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/>
    <xf numFmtId="0" fontId="16" fillId="0" borderId="0" xfId="0" applyFont="1" applyAlignment="1"/>
    <xf numFmtId="0" fontId="17" fillId="0" borderId="0" xfId="0" applyFont="1" applyAlignment="1"/>
    <xf numFmtId="0" fontId="2" fillId="9" borderId="2" xfId="0" applyFont="1" applyFill="1" applyBorder="1" applyAlignment="1"/>
    <xf numFmtId="0" fontId="19" fillId="0" borderId="0" xfId="0" applyFont="1" applyAlignment="1"/>
    <xf numFmtId="0" fontId="1" fillId="10" borderId="0" xfId="0" applyFont="1" applyFill="1" applyAlignment="1"/>
    <xf numFmtId="0" fontId="4" fillId="10" borderId="0" xfId="0" applyFont="1" applyFill="1" applyAlignment="1"/>
    <xf numFmtId="0" fontId="8" fillId="11" borderId="1" xfId="0" applyFont="1" applyFill="1" applyBorder="1" applyAlignment="1">
      <alignment horizontal="center" vertical="center" wrapText="1"/>
    </xf>
    <xf numFmtId="168" fontId="8" fillId="11" borderId="10" xfId="0" applyNumberFormat="1" applyFont="1" applyFill="1" applyBorder="1" applyAlignment="1">
      <alignment horizontal="center" vertical="center" wrapText="1"/>
    </xf>
    <xf numFmtId="0" fontId="10" fillId="12" borderId="2" xfId="2" applyFont="1" applyFill="1" applyBorder="1" applyAlignment="1">
      <alignment horizontal="center" vertical="center"/>
    </xf>
    <xf numFmtId="0" fontId="9" fillId="12" borderId="2" xfId="1" applyFont="1" applyFill="1" applyBorder="1"/>
    <xf numFmtId="0" fontId="10" fillId="12" borderId="2" xfId="2" applyFont="1" applyFill="1" applyBorder="1" applyAlignment="1">
      <alignment horizontal="center" vertical="center" wrapText="1"/>
    </xf>
    <xf numFmtId="0" fontId="11" fillId="12" borderId="2" xfId="1" applyFont="1" applyFill="1" applyBorder="1"/>
    <xf numFmtId="0" fontId="12" fillId="12" borderId="2" xfId="1" applyFont="1" applyFill="1" applyBorder="1"/>
    <xf numFmtId="0" fontId="9" fillId="12" borderId="2" xfId="1" applyFont="1" applyFill="1" applyBorder="1" applyAlignment="1">
      <alignment horizontal="left" indent="1"/>
    </xf>
    <xf numFmtId="0" fontId="10" fillId="12" borderId="3" xfId="2" applyFont="1" applyFill="1" applyBorder="1" applyAlignment="1">
      <alignment horizontal="center" vertical="center" wrapText="1"/>
    </xf>
    <xf numFmtId="0" fontId="10" fillId="12" borderId="4" xfId="2" applyFont="1" applyFill="1" applyBorder="1" applyAlignment="1">
      <alignment horizontal="center" vertical="center" wrapText="1"/>
    </xf>
    <xf numFmtId="0" fontId="10" fillId="12" borderId="5" xfId="2" applyFont="1" applyFill="1" applyBorder="1" applyAlignment="1">
      <alignment horizontal="center" vertical="center" wrapText="1"/>
    </xf>
    <xf numFmtId="0" fontId="10" fillId="12" borderId="6" xfId="2" applyFont="1" applyFill="1" applyBorder="1" applyAlignment="1">
      <alignment horizontal="center" vertical="center" wrapText="1"/>
    </xf>
    <xf numFmtId="0" fontId="13" fillId="12" borderId="2" xfId="1" applyFont="1" applyFill="1" applyBorder="1"/>
    <xf numFmtId="0" fontId="2" fillId="12" borderId="7" xfId="0" applyFont="1" applyFill="1" applyBorder="1" applyAlignment="1"/>
    <xf numFmtId="0" fontId="10" fillId="12" borderId="8" xfId="2" applyFont="1" applyFill="1" applyBorder="1" applyAlignment="1">
      <alignment horizontal="center" vertical="center" wrapText="1"/>
    </xf>
    <xf numFmtId="0" fontId="10" fillId="12" borderId="9" xfId="2" applyFont="1" applyFill="1" applyBorder="1" applyAlignment="1">
      <alignment horizontal="center" vertical="center" wrapText="1"/>
    </xf>
    <xf numFmtId="0" fontId="10" fillId="12" borderId="0" xfId="0" applyFont="1" applyFill="1" applyAlignment="1"/>
    <xf numFmtId="0" fontId="0" fillId="12" borderId="0" xfId="0" applyFill="1" applyAlignment="1"/>
    <xf numFmtId="0" fontId="10" fillId="12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/>
    <xf numFmtId="0" fontId="2" fillId="12" borderId="2" xfId="0" applyFont="1" applyFill="1" applyBorder="1" applyAlignment="1"/>
    <xf numFmtId="0" fontId="10" fillId="12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/>
    <xf numFmtId="0" fontId="2" fillId="12" borderId="2" xfId="0" applyFont="1" applyFill="1" applyBorder="1" applyAlignment="1">
      <alignment horizontal="left" indent="1"/>
    </xf>
    <xf numFmtId="0" fontId="18" fillId="12" borderId="2" xfId="0" applyFont="1" applyFill="1" applyBorder="1" applyAlignment="1"/>
    <xf numFmtId="0" fontId="2" fillId="12" borderId="2" xfId="0" applyFont="1" applyFill="1" applyBorder="1" applyAlignment="1">
      <alignment horizontal="left"/>
    </xf>
    <xf numFmtId="0" fontId="18" fillId="12" borderId="2" xfId="0" applyFont="1" applyFill="1" applyBorder="1">
      <alignment vertical="center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</row>
        <row r="9">
          <cell r="A9">
            <v>4</v>
          </cell>
          <cell r="D9" t="str">
            <v>FP - Implants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</row>
        <row r="36">
          <cell r="A36">
            <v>33</v>
          </cell>
          <cell r="D36" t="str">
            <v>Maternal sepsis case management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</row>
        <row r="54">
          <cell r="A54">
            <v>49</v>
          </cell>
          <cell r="D54" t="str">
            <v>Complementary feeding - Education only</v>
          </cell>
        </row>
        <row r="55">
          <cell r="A55">
            <v>50</v>
          </cell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</row>
        <row r="71">
          <cell r="A71">
            <v>65</v>
          </cell>
          <cell r="D71" t="str">
            <v>Zinc for treatment of diarrhea</v>
          </cell>
        </row>
        <row r="72">
          <cell r="A72">
            <v>66</v>
          </cell>
          <cell r="D72" t="str">
            <v>Oral antibiotics for pneumonia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B4">
            <v>0</v>
          </cell>
          <cell r="C4">
            <v>0</v>
          </cell>
          <cell r="D4" t="str">
            <v>Family Planning</v>
          </cell>
          <cell r="E4" t="str">
            <v>Contraceptive Use</v>
          </cell>
          <cell r="F4">
            <v>0.65735509000000003</v>
          </cell>
          <cell r="G4">
            <v>0.46039818999999998</v>
          </cell>
          <cell r="H4">
            <v>0.46039818999999998</v>
          </cell>
          <cell r="I4">
            <v>0.51862653780000001</v>
          </cell>
          <cell r="J4">
            <v>0.59161958100000001</v>
          </cell>
          <cell r="K4">
            <v>0.68627871395999995</v>
          </cell>
        </row>
        <row r="5">
          <cell r="B5">
            <v>1</v>
          </cell>
          <cell r="C5">
            <v>7</v>
          </cell>
          <cell r="E5" t="str">
            <v>FP - Pills</v>
          </cell>
          <cell r="F5">
            <v>0.50341753</v>
          </cell>
          <cell r="G5">
            <v>0.32218721919999999</v>
          </cell>
          <cell r="H5">
            <v>0.32218721919999999</v>
          </cell>
          <cell r="I5">
            <v>0.37373717427199998</v>
          </cell>
          <cell r="J5">
            <v>0.45307577700000001</v>
          </cell>
          <cell r="K5">
            <v>0.52556790131999997</v>
          </cell>
        </row>
        <row r="6">
          <cell r="B6">
            <v>2</v>
          </cell>
          <cell r="C6">
            <v>1</v>
          </cell>
          <cell r="E6" t="str">
            <v>FP - Condoms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>
            <v>3</v>
          </cell>
          <cell r="C7">
            <v>4</v>
          </cell>
          <cell r="E7" t="str">
            <v>FP - Injectables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>
            <v>4</v>
          </cell>
          <cell r="C8">
            <v>5</v>
          </cell>
          <cell r="E8" t="str">
            <v>FP - Implants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>
            <v>5</v>
          </cell>
          <cell r="C9">
            <v>6</v>
          </cell>
          <cell r="E9" t="str">
            <v>FP - IUD</v>
          </cell>
          <cell r="F9">
            <v>4.3684969999999997E-2</v>
          </cell>
          <cell r="G9">
            <v>2.7958380800000002E-2</v>
          </cell>
          <cell r="H9">
            <v>2.7958380800000002E-2</v>
          </cell>
          <cell r="I9">
            <v>3.2431721727999997E-2</v>
          </cell>
          <cell r="J9">
            <v>3.9316472999999998E-2</v>
          </cell>
          <cell r="K9">
            <v>4.5607108680000001E-2</v>
          </cell>
        </row>
        <row r="10">
          <cell r="B10">
            <v>6</v>
          </cell>
          <cell r="C10">
            <v>2</v>
          </cell>
          <cell r="E10" t="str">
            <v>FP - Female Sterilization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7</v>
          </cell>
          <cell r="C11">
            <v>3</v>
          </cell>
          <cell r="E11" t="str">
            <v>FP - Male Sterilization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8</v>
          </cell>
          <cell r="C12">
            <v>8</v>
          </cell>
          <cell r="E12" t="str">
            <v>FP - Traditional Methods + Other</v>
          </cell>
          <cell r="F12">
            <v>0.11025259</v>
          </cell>
          <cell r="G12">
            <v>0.11025259</v>
          </cell>
          <cell r="H12">
            <v>0.11025259</v>
          </cell>
          <cell r="I12">
            <v>0.11245764179999999</v>
          </cell>
          <cell r="J12">
            <v>9.9227331000000002E-2</v>
          </cell>
          <cell r="K12">
            <v>0.11510370396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0.67500000000000004</v>
          </cell>
          <cell r="G13">
            <v>0.53325</v>
          </cell>
          <cell r="H13">
            <v>0.53325</v>
          </cell>
          <cell r="I13">
            <v>0.61856999999999995</v>
          </cell>
          <cell r="J13">
            <v>0.60750000000000004</v>
          </cell>
          <cell r="K13">
            <v>0.70469999999999999</v>
          </cell>
        </row>
        <row r="14">
          <cell r="B14">
            <v>10</v>
          </cell>
          <cell r="C14">
            <v>15</v>
          </cell>
          <cell r="E14" t="str">
            <v>Antenatal care (at least 4 visits)</v>
          </cell>
          <cell r="F14">
            <v>0.30099999999999999</v>
          </cell>
          <cell r="G14">
            <v>0.23779</v>
          </cell>
          <cell r="H14">
            <v>0.23779</v>
          </cell>
          <cell r="I14">
            <v>0.27583639999999998</v>
          </cell>
          <cell r="J14">
            <v>0.27089999999999997</v>
          </cell>
          <cell r="K14">
            <v>0.31424400000000002</v>
          </cell>
        </row>
        <row r="15">
          <cell r="B15">
            <v>11</v>
          </cell>
          <cell r="C15">
            <v>16</v>
          </cell>
          <cell r="E15" t="str">
            <v>TT - Tetanus toxoid vaccination</v>
          </cell>
          <cell r="F15">
            <v>0.88</v>
          </cell>
          <cell r="G15">
            <v>0.69520000000000004</v>
          </cell>
          <cell r="H15">
            <v>0.69520000000000004</v>
          </cell>
          <cell r="I15">
            <v>0.80643200000000004</v>
          </cell>
          <cell r="J15">
            <v>0.79200000000000004</v>
          </cell>
          <cell r="K15">
            <v>0.91871999999999998</v>
          </cell>
        </row>
        <row r="16">
          <cell r="B16">
            <v>12</v>
          </cell>
          <cell r="C16">
            <v>17</v>
          </cell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13</v>
          </cell>
          <cell r="C17">
            <v>18</v>
          </cell>
          <cell r="E17" t="str">
            <v>Syphilis detection and treatment</v>
          </cell>
          <cell r="F17">
            <v>0.16700000000000001</v>
          </cell>
          <cell r="G17">
            <v>0.13192999999999999</v>
          </cell>
          <cell r="H17">
            <v>0.13192999999999999</v>
          </cell>
          <cell r="I17">
            <v>0.1530388</v>
          </cell>
          <cell r="J17">
            <v>0.15029999999999999</v>
          </cell>
          <cell r="K17">
            <v>0.174348</v>
          </cell>
        </row>
        <row r="18">
          <cell r="B18">
            <v>14</v>
          </cell>
          <cell r="C18">
            <v>19</v>
          </cell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>
            <v>15</v>
          </cell>
          <cell r="C19">
            <v>20</v>
          </cell>
          <cell r="E19" t="str">
            <v>Iron and folate supplementation in pregnancy</v>
          </cell>
          <cell r="F19">
            <v>5.1999999999999998E-2</v>
          </cell>
          <cell r="G19">
            <v>4.1079999999999998E-2</v>
          </cell>
          <cell r="H19">
            <v>4.1079999999999998E-2</v>
          </cell>
          <cell r="I19">
            <v>4.7652800000000002E-2</v>
          </cell>
          <cell r="J19">
            <v>4.6800000000000001E-2</v>
          </cell>
          <cell r="K19">
            <v>5.4288000000000003E-2</v>
          </cell>
        </row>
        <row r="20">
          <cell r="B20">
            <v>16</v>
          </cell>
          <cell r="C20">
            <v>21</v>
          </cell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>
            <v>17</v>
          </cell>
          <cell r="C21">
            <v>22</v>
          </cell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>
            <v>18</v>
          </cell>
          <cell r="C22">
            <v>23</v>
          </cell>
          <cell r="E22" t="str">
            <v>Hypertensive disorder case management</v>
          </cell>
          <cell r="F22">
            <v>7.1999999999999995E-2</v>
          </cell>
          <cell r="G22">
            <v>5.688E-2</v>
          </cell>
          <cell r="H22">
            <v>5.688E-2</v>
          </cell>
          <cell r="I22">
            <v>6.5980800000000006E-2</v>
          </cell>
          <cell r="J22">
            <v>6.4799999999999996E-2</v>
          </cell>
          <cell r="K22">
            <v>7.5167999999999999E-2</v>
          </cell>
        </row>
        <row r="23">
          <cell r="B23">
            <v>19</v>
          </cell>
          <cell r="C23">
            <v>24</v>
          </cell>
          <cell r="E23" t="str">
            <v>Diabetes case management</v>
          </cell>
          <cell r="F23">
            <v>5.6000000000000001E-2</v>
          </cell>
          <cell r="G23">
            <v>4.4240000000000002E-2</v>
          </cell>
          <cell r="H23">
            <v>4.4240000000000002E-2</v>
          </cell>
          <cell r="I23">
            <v>5.13184E-2</v>
          </cell>
          <cell r="J23">
            <v>5.04E-2</v>
          </cell>
          <cell r="K23">
            <v>5.8464000000000002E-2</v>
          </cell>
        </row>
        <row r="24">
          <cell r="B24">
            <v>20</v>
          </cell>
          <cell r="C24">
            <v>25</v>
          </cell>
          <cell r="E24" t="str">
            <v>Malaria case management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>
            <v>21</v>
          </cell>
          <cell r="C25">
            <v>26</v>
          </cell>
          <cell r="E25" t="str">
            <v>MgSO4 management of pre-eclampsia</v>
          </cell>
          <cell r="F25">
            <v>0.14299999999999999</v>
          </cell>
          <cell r="G25">
            <v>0.11297</v>
          </cell>
          <cell r="H25">
            <v>0.11297</v>
          </cell>
          <cell r="I25">
            <v>0.1310452</v>
          </cell>
          <cell r="J25">
            <v>0.12870000000000001</v>
          </cell>
          <cell r="K25">
            <v>0.14929200000000001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0.72699999999999998</v>
          </cell>
          <cell r="G26">
            <v>0.62522</v>
          </cell>
          <cell r="H26">
            <v>0.62522</v>
          </cell>
          <cell r="I26">
            <v>0.72525519999999999</v>
          </cell>
          <cell r="J26">
            <v>0.65429999999999999</v>
          </cell>
          <cell r="K26">
            <v>0.758988</v>
          </cell>
        </row>
        <row r="27">
          <cell r="B27">
            <v>23</v>
          </cell>
          <cell r="C27">
            <v>28</v>
          </cell>
          <cell r="E27" t="str">
            <v>Clean birth environment</v>
          </cell>
          <cell r="F27">
            <v>0.59599999999999997</v>
          </cell>
          <cell r="G27">
            <v>0.51256000000000002</v>
          </cell>
          <cell r="H27">
            <v>0.51256000000000002</v>
          </cell>
          <cell r="I27">
            <v>0.59456960000000003</v>
          </cell>
          <cell r="J27">
            <v>0.53639999999999999</v>
          </cell>
          <cell r="K27">
            <v>0.622224</v>
          </cell>
        </row>
        <row r="28">
          <cell r="B28">
            <v>24</v>
          </cell>
          <cell r="C28">
            <v>32</v>
          </cell>
          <cell r="E28" t="str">
            <v>Manual removal of placenta</v>
          </cell>
          <cell r="F28">
            <v>0.27200000000000002</v>
          </cell>
          <cell r="G28">
            <v>0.23391999999999999</v>
          </cell>
          <cell r="H28">
            <v>0.23391999999999999</v>
          </cell>
          <cell r="I28">
            <v>0.27134720000000001</v>
          </cell>
          <cell r="J28">
            <v>0.24479999999999999</v>
          </cell>
          <cell r="K28">
            <v>0.283968</v>
          </cell>
        </row>
        <row r="29">
          <cell r="B29">
            <v>25</v>
          </cell>
          <cell r="C29">
            <v>33</v>
          </cell>
          <cell r="E29" t="str">
            <v>MgSO4 management of eclampsia</v>
          </cell>
          <cell r="F29">
            <v>0.52</v>
          </cell>
          <cell r="G29">
            <v>0.44719999999999999</v>
          </cell>
          <cell r="H29">
            <v>0.44719999999999999</v>
          </cell>
          <cell r="I29">
            <v>0.51875199999999999</v>
          </cell>
          <cell r="J29">
            <v>0.46800000000000003</v>
          </cell>
          <cell r="K29">
            <v>0.54288000000000003</v>
          </cell>
        </row>
        <row r="30">
          <cell r="B30">
            <v>26</v>
          </cell>
          <cell r="C30">
            <v>34</v>
          </cell>
          <cell r="E30" t="str">
            <v>Antibiotics for preterm or prolonged PROM</v>
          </cell>
          <cell r="F30">
            <v>0.54400000000000004</v>
          </cell>
          <cell r="G30">
            <v>0.46783999999999998</v>
          </cell>
          <cell r="H30">
            <v>0.46783999999999998</v>
          </cell>
          <cell r="I30">
            <v>0.54269440000000002</v>
          </cell>
          <cell r="J30">
            <v>0.48959999999999998</v>
          </cell>
          <cell r="K30">
            <v>0.567936</v>
          </cell>
        </row>
        <row r="31">
          <cell r="B31">
            <v>27</v>
          </cell>
          <cell r="C31">
            <v>35</v>
          </cell>
          <cell r="E31" t="str">
            <v>Parenteral administration of antibiotics</v>
          </cell>
          <cell r="F31">
            <v>0.54400000000000004</v>
          </cell>
          <cell r="G31">
            <v>0.46783999999999998</v>
          </cell>
          <cell r="H31">
            <v>0.46783999999999998</v>
          </cell>
          <cell r="I31">
            <v>0.54269440000000002</v>
          </cell>
          <cell r="J31">
            <v>0.48959999999999998</v>
          </cell>
          <cell r="K31">
            <v>0.567936</v>
          </cell>
        </row>
        <row r="32">
          <cell r="B32">
            <v>28</v>
          </cell>
          <cell r="C32">
            <v>36</v>
          </cell>
          <cell r="E32" t="str">
            <v>Assisted vaginal delivery</v>
          </cell>
          <cell r="F32">
            <v>0.184</v>
          </cell>
          <cell r="G32">
            <v>0.15823999999999999</v>
          </cell>
          <cell r="H32">
            <v>0.15823999999999999</v>
          </cell>
          <cell r="I32">
            <v>0.18355840000000001</v>
          </cell>
          <cell r="J32">
            <v>0.1656</v>
          </cell>
          <cell r="K32">
            <v>0.19209599999999999</v>
          </cell>
        </row>
        <row r="33">
          <cell r="B33">
            <v>29</v>
          </cell>
          <cell r="C33">
            <v>38</v>
          </cell>
          <cell r="E33" t="str">
            <v>Active management of third stage of labor (AMTSL)</v>
          </cell>
          <cell r="F33">
            <v>0.65</v>
          </cell>
          <cell r="G33">
            <v>0.55900000000000005</v>
          </cell>
          <cell r="H33">
            <v>0.55900000000000005</v>
          </cell>
          <cell r="I33">
            <v>0.64844000000000002</v>
          </cell>
          <cell r="J33">
            <v>0.58499999999999996</v>
          </cell>
          <cell r="K33">
            <v>0.67859999999999998</v>
          </cell>
        </row>
        <row r="34">
          <cell r="B34">
            <v>30</v>
          </cell>
          <cell r="C34">
            <v>39</v>
          </cell>
          <cell r="E34" t="str">
            <v>Removal of retained products of conception</v>
          </cell>
          <cell r="F34">
            <v>0.24099999999999999</v>
          </cell>
          <cell r="G34">
            <v>0.20726</v>
          </cell>
          <cell r="H34">
            <v>0.20726</v>
          </cell>
          <cell r="I34">
            <v>0.24042160000000001</v>
          </cell>
          <cell r="J34">
            <v>0.21690000000000001</v>
          </cell>
          <cell r="K34">
            <v>0.25160399999999999</v>
          </cell>
        </row>
        <row r="35">
          <cell r="B35">
            <v>31</v>
          </cell>
          <cell r="C35">
            <v>40</v>
          </cell>
          <cell r="E35" t="str">
            <v>Induction of labor for pregnancies lasting 41+ weeks</v>
          </cell>
          <cell r="F35">
            <v>1.2999999999999999E-2</v>
          </cell>
          <cell r="G35">
            <v>1.1180000000000001E-2</v>
          </cell>
          <cell r="H35">
            <v>1.1180000000000001E-2</v>
          </cell>
          <cell r="I35">
            <v>1.2968800000000001E-2</v>
          </cell>
          <cell r="J35">
            <v>1.17E-2</v>
          </cell>
          <cell r="K35">
            <v>1.3572000000000001E-2</v>
          </cell>
        </row>
        <row r="36">
          <cell r="B36">
            <v>32</v>
          </cell>
          <cell r="C36">
            <v>41</v>
          </cell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B37">
            <v>33</v>
          </cell>
          <cell r="C37">
            <v>65</v>
          </cell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B38">
            <v>34</v>
          </cell>
          <cell r="C38">
            <v>10</v>
          </cell>
          <cell r="E38" t="str">
            <v>Safe abortion services</v>
          </cell>
          <cell r="F38">
            <v>2.1999999999999999E-2</v>
          </cell>
          <cell r="G38">
            <v>1.8919999999999999E-2</v>
          </cell>
          <cell r="H38">
            <v>1.8919999999999999E-2</v>
          </cell>
          <cell r="I38">
            <v>2.19472E-2</v>
          </cell>
          <cell r="J38">
            <v>1.9800000000000002E-2</v>
          </cell>
          <cell r="K38">
            <v>2.2967999999999999E-2</v>
          </cell>
        </row>
        <row r="39">
          <cell r="B39">
            <v>35</v>
          </cell>
          <cell r="C39">
            <v>11</v>
          </cell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B40">
            <v>36</v>
          </cell>
          <cell r="C40">
            <v>42</v>
          </cell>
          <cell r="E40" t="str">
            <v>Cesarean delivery</v>
          </cell>
          <cell r="F40">
            <v>6.3E-2</v>
          </cell>
          <cell r="G40">
            <v>5.4179999999999999E-2</v>
          </cell>
          <cell r="H40">
            <v>5.4179999999999999E-2</v>
          </cell>
          <cell r="I40">
            <v>6.2848799999999996E-2</v>
          </cell>
          <cell r="J40">
            <v>5.67E-2</v>
          </cell>
          <cell r="K40">
            <v>6.5771999999999997E-2</v>
          </cell>
        </row>
        <row r="41">
          <cell r="B41">
            <v>37</v>
          </cell>
          <cell r="C41">
            <v>43</v>
          </cell>
          <cell r="E41" t="str">
            <v>Blood transfusion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B42">
            <v>38</v>
          </cell>
          <cell r="C42">
            <v>12</v>
          </cell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0.66600000000000004</v>
          </cell>
          <cell r="G43">
            <v>0.55944000000000005</v>
          </cell>
          <cell r="H43">
            <v>0.55944000000000005</v>
          </cell>
          <cell r="I43">
            <v>0.64895040000000004</v>
          </cell>
          <cell r="J43">
            <v>0.59940000000000004</v>
          </cell>
          <cell r="K43">
            <v>0.69530400000000003</v>
          </cell>
        </row>
        <row r="44">
          <cell r="B44">
            <v>40</v>
          </cell>
          <cell r="C44">
            <v>30</v>
          </cell>
          <cell r="E44" t="str">
            <v>Thermal protection</v>
          </cell>
          <cell r="F44">
            <v>0.71899999999999997</v>
          </cell>
          <cell r="G44">
            <v>0.60396000000000005</v>
          </cell>
          <cell r="H44">
            <v>0.60396000000000005</v>
          </cell>
          <cell r="I44">
            <v>0.70059360000000004</v>
          </cell>
          <cell r="J44">
            <v>0.64710000000000001</v>
          </cell>
          <cell r="K44">
            <v>0.75063599999999997</v>
          </cell>
        </row>
        <row r="45">
          <cell r="B45">
            <v>41</v>
          </cell>
          <cell r="C45">
            <v>31</v>
          </cell>
          <cell r="E45" t="str">
            <v>Clean cord care</v>
          </cell>
          <cell r="F45">
            <v>0.69399999999999995</v>
          </cell>
          <cell r="G45">
            <v>0.58296000000000003</v>
          </cell>
          <cell r="H45">
            <v>0.58296000000000003</v>
          </cell>
          <cell r="I45">
            <v>0.67623359999999999</v>
          </cell>
          <cell r="J45">
            <v>0.62460000000000004</v>
          </cell>
          <cell r="K45">
            <v>0.72453599999999996</v>
          </cell>
        </row>
        <row r="46">
          <cell r="B46">
            <v>42</v>
          </cell>
          <cell r="C46">
            <v>37</v>
          </cell>
          <cell r="E46" t="str">
            <v>Neonatal resuscitation</v>
          </cell>
          <cell r="F46">
            <v>0.4</v>
          </cell>
          <cell r="G46">
            <v>0.33600000000000002</v>
          </cell>
          <cell r="H46">
            <v>0.33600000000000002</v>
          </cell>
          <cell r="I46">
            <v>0.38976</v>
          </cell>
          <cell r="J46">
            <v>0.36</v>
          </cell>
          <cell r="K46">
            <v>0.41760000000000003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B49">
            <v>44</v>
          </cell>
          <cell r="C49">
            <v>67</v>
          </cell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</row>
        <row r="52">
          <cell r="B52">
            <v>46</v>
          </cell>
          <cell r="C52">
            <v>69</v>
          </cell>
          <cell r="E52" t="str">
            <v>Injectable antibiotics for neonatal sepsis</v>
          </cell>
          <cell r="F52">
            <v>0.72699999999999998</v>
          </cell>
          <cell r="G52">
            <v>0.61068</v>
          </cell>
          <cell r="H52">
            <v>0.61068</v>
          </cell>
          <cell r="I52">
            <v>0.70838880000000004</v>
          </cell>
          <cell r="J52">
            <v>0.65429999999999999</v>
          </cell>
          <cell r="K52">
            <v>0.758988</v>
          </cell>
        </row>
        <row r="53">
          <cell r="B53">
            <v>47</v>
          </cell>
          <cell r="C53">
            <v>70</v>
          </cell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0.48</v>
          </cell>
          <cell r="G54">
            <v>0.48</v>
          </cell>
          <cell r="H54">
            <v>0.48</v>
          </cell>
          <cell r="I54">
            <v>0.48959999999999998</v>
          </cell>
          <cell r="J54">
            <v>0.432</v>
          </cell>
          <cell r="K54">
            <v>0.50112000000000001</v>
          </cell>
        </row>
        <row r="55">
          <cell r="B55">
            <v>49</v>
          </cell>
          <cell r="C55">
            <v>45</v>
          </cell>
          <cell r="E55" t="str">
            <v>Complementary feeding - Education only</v>
          </cell>
          <cell r="F55">
            <v>0.223</v>
          </cell>
          <cell r="G55">
            <v>0.223</v>
          </cell>
          <cell r="H55">
            <v>0.223</v>
          </cell>
          <cell r="I55">
            <v>0.22746</v>
          </cell>
          <cell r="J55">
            <v>0.20069999999999999</v>
          </cell>
          <cell r="K55">
            <v>0.23281199999999999</v>
          </cell>
        </row>
        <row r="56">
          <cell r="B56">
            <v>50</v>
          </cell>
          <cell r="C56">
            <v>46</v>
          </cell>
          <cell r="E56" t="str">
            <v>Complementary feeding - Supplementary feeding + Education</v>
          </cell>
          <cell r="F56">
            <v>0.223</v>
          </cell>
          <cell r="G56">
            <v>0.223</v>
          </cell>
          <cell r="H56">
            <v>0.223</v>
          </cell>
          <cell r="I56">
            <v>0.22746</v>
          </cell>
          <cell r="J56">
            <v>0.20069999999999999</v>
          </cell>
          <cell r="K56">
            <v>0.23281199999999999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0.99</v>
          </cell>
          <cell r="G57">
            <v>0.82169999999999999</v>
          </cell>
          <cell r="H57">
            <v>0.82169999999999999</v>
          </cell>
          <cell r="I57">
            <v>0.95317200000000002</v>
          </cell>
          <cell r="J57">
            <v>0.89100000000000001</v>
          </cell>
          <cell r="K57">
            <v>1</v>
          </cell>
        </row>
        <row r="58">
          <cell r="B58">
            <v>52</v>
          </cell>
          <cell r="C58">
            <v>56</v>
          </cell>
          <cell r="E58" t="str">
            <v>Polio - Three doses</v>
          </cell>
          <cell r="F58">
            <v>0.99</v>
          </cell>
          <cell r="G58">
            <v>0.82169999999999999</v>
          </cell>
          <cell r="H58">
            <v>0.82169999999999999</v>
          </cell>
          <cell r="I58">
            <v>0.95317200000000002</v>
          </cell>
          <cell r="J58">
            <v>0.89100000000000001</v>
          </cell>
          <cell r="K58">
            <v>1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  <cell r="E60" t="str">
            <v>DPT - Three doses</v>
          </cell>
          <cell r="F60">
            <v>0.99</v>
          </cell>
          <cell r="G60">
            <v>0.82169999999999999</v>
          </cell>
          <cell r="H60">
            <v>0.82169999999999999</v>
          </cell>
          <cell r="I60">
            <v>0.95317200000000002</v>
          </cell>
          <cell r="J60">
            <v>0.89100000000000001</v>
          </cell>
          <cell r="K60">
            <v>1</v>
          </cell>
        </row>
        <row r="61">
          <cell r="B61">
            <v>54</v>
          </cell>
          <cell r="C61">
            <v>58</v>
          </cell>
          <cell r="E61" t="str">
            <v>Hib - Three doses</v>
          </cell>
          <cell r="F61">
            <v>0.99</v>
          </cell>
          <cell r="G61">
            <v>0.82169999999999999</v>
          </cell>
          <cell r="H61">
            <v>0.82169999999999999</v>
          </cell>
          <cell r="I61">
            <v>0.95317200000000002</v>
          </cell>
          <cell r="J61">
            <v>0.89100000000000001</v>
          </cell>
          <cell r="K61">
            <v>1</v>
          </cell>
        </row>
        <row r="62">
          <cell r="B62">
            <v>55</v>
          </cell>
          <cell r="C62">
            <v>59</v>
          </cell>
          <cell r="E62" t="str">
            <v>HepB - Three doses</v>
          </cell>
          <cell r="F62">
            <v>0.99</v>
          </cell>
          <cell r="G62">
            <v>0.82169999999999999</v>
          </cell>
          <cell r="H62">
            <v>0.82169999999999999</v>
          </cell>
          <cell r="I62">
            <v>0.95317200000000002</v>
          </cell>
          <cell r="J62">
            <v>0.89100000000000001</v>
          </cell>
          <cell r="K62">
            <v>1</v>
          </cell>
        </row>
        <row r="63">
          <cell r="B63">
            <v>56</v>
          </cell>
          <cell r="C63">
            <v>60</v>
          </cell>
          <cell r="E63" t="str">
            <v>Pneumococcal - Three doses</v>
          </cell>
          <cell r="F63">
            <v>0.99</v>
          </cell>
          <cell r="G63">
            <v>0.82169999999999999</v>
          </cell>
          <cell r="H63">
            <v>0.82169999999999999</v>
          </cell>
          <cell r="I63">
            <v>0.95317200000000002</v>
          </cell>
          <cell r="J63">
            <v>0.89100000000000001</v>
          </cell>
          <cell r="K63">
            <v>1</v>
          </cell>
        </row>
        <row r="64">
          <cell r="B64">
            <v>57</v>
          </cell>
          <cell r="C64">
            <v>61</v>
          </cell>
          <cell r="E64" t="str">
            <v>Rotavirus - Two doses</v>
          </cell>
          <cell r="F64">
            <v>0.99</v>
          </cell>
          <cell r="G64">
            <v>0.82169999999999999</v>
          </cell>
          <cell r="H64">
            <v>0.82169999999999999</v>
          </cell>
          <cell r="I64">
            <v>0.95317200000000002</v>
          </cell>
          <cell r="J64">
            <v>0.89100000000000001</v>
          </cell>
          <cell r="K64">
            <v>1</v>
          </cell>
        </row>
        <row r="65">
          <cell r="B65">
            <v>58</v>
          </cell>
          <cell r="C65">
            <v>62</v>
          </cell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B66">
            <v>59</v>
          </cell>
          <cell r="C66">
            <v>63</v>
          </cell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B67">
            <v>60</v>
          </cell>
          <cell r="C67">
            <v>64</v>
          </cell>
          <cell r="E67" t="str">
            <v>Measles - Single dose</v>
          </cell>
          <cell r="F67">
            <v>0.99</v>
          </cell>
          <cell r="G67">
            <v>0.82169999999999999</v>
          </cell>
          <cell r="H67">
            <v>0.82169999999999999</v>
          </cell>
          <cell r="I67">
            <v>0.95317200000000002</v>
          </cell>
          <cell r="J67">
            <v>0.89100000000000001</v>
          </cell>
          <cell r="K67">
            <v>1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0.99</v>
          </cell>
          <cell r="G68">
            <v>0.82169999999999999</v>
          </cell>
          <cell r="H68">
            <v>0.82169999999999999</v>
          </cell>
          <cell r="I68">
            <v>0.95317200000000002</v>
          </cell>
          <cell r="J68">
            <v>0.89100000000000001</v>
          </cell>
          <cell r="K68">
            <v>1</v>
          </cell>
        </row>
        <row r="69">
          <cell r="B69">
            <v>62</v>
          </cell>
          <cell r="C69">
            <v>48</v>
          </cell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>
            <v>63</v>
          </cell>
          <cell r="C70">
            <v>71</v>
          </cell>
          <cell r="E70" t="str">
            <v>ORS - Oral Rehydration Solution</v>
          </cell>
          <cell r="F70">
            <v>0.22900000000000001</v>
          </cell>
          <cell r="G70">
            <v>0.19006999999999999</v>
          </cell>
          <cell r="H70">
            <v>0.19006999999999999</v>
          </cell>
          <cell r="I70">
            <v>0.22048119999999999</v>
          </cell>
          <cell r="J70">
            <v>0.20610000000000001</v>
          </cell>
          <cell r="K70">
            <v>0.23907600000000001</v>
          </cell>
        </row>
        <row r="71">
          <cell r="B71">
            <v>64</v>
          </cell>
          <cell r="C71">
            <v>72</v>
          </cell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B72">
            <v>65</v>
          </cell>
          <cell r="C72">
            <v>73</v>
          </cell>
          <cell r="E72" t="str">
            <v>Zinc for treatment of diarrhea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B73">
            <v>66</v>
          </cell>
          <cell r="C73">
            <v>74</v>
          </cell>
          <cell r="E73" t="str">
            <v>Oral antibiotics for pneumonia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B74">
            <v>67</v>
          </cell>
          <cell r="C74">
            <v>75</v>
          </cell>
          <cell r="E74" t="str">
            <v>Vitamin A for treatment of measles</v>
          </cell>
          <cell r="F74">
            <v>0.99</v>
          </cell>
          <cell r="G74">
            <v>0.82169999999999999</v>
          </cell>
          <cell r="H74">
            <v>0.82169999999999999</v>
          </cell>
          <cell r="I74">
            <v>0.95317200000000002</v>
          </cell>
          <cell r="J74">
            <v>0.89100000000000001</v>
          </cell>
          <cell r="K74">
            <v>1</v>
          </cell>
        </row>
        <row r="75">
          <cell r="B75">
            <v>68</v>
          </cell>
          <cell r="C75">
            <v>76</v>
          </cell>
          <cell r="E75" t="str">
            <v>ACTs - Artemisinin compounds for treatment of malaria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>
            <v>70</v>
          </cell>
          <cell r="C77">
            <v>78</v>
          </cell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topLeftCell="D1" workbookViewId="0">
      <selection activeCell="D5" sqref="D5:F92"/>
    </sheetView>
  </sheetViews>
  <sheetFormatPr defaultColWidth="9.85546875" defaultRowHeight="15"/>
  <cols>
    <col min="1" max="1" width="5.42578125" style="1" hidden="1" customWidth="1"/>
    <col min="2" max="3" width="4.42578125" style="1" hidden="1" customWidth="1"/>
    <col min="4" max="4" width="81.42578125" style="1" customWidth="1"/>
    <col min="5" max="5" width="9.85546875" style="1"/>
    <col min="6" max="6" width="69.28515625" style="1" customWidth="1"/>
    <col min="7" max="8" width="8" style="1" customWidth="1"/>
    <col min="9" max="9" width="8.42578125" style="1" customWidth="1"/>
    <col min="10" max="16384" width="9.85546875" style="1"/>
  </cols>
  <sheetData>
    <row r="1" spans="1:11" ht="18">
      <c r="A1" s="1" t="s">
        <v>0</v>
      </c>
      <c r="D1" s="23" t="s">
        <v>1</v>
      </c>
      <c r="E1" s="2"/>
      <c r="F1" s="3"/>
      <c r="G1" s="3"/>
      <c r="H1" s="3"/>
    </row>
    <row r="3" spans="1:11">
      <c r="A3" s="4" t="s">
        <v>2</v>
      </c>
      <c r="B3" s="4"/>
      <c r="C3" s="4"/>
      <c r="D3" s="24" t="s">
        <v>3</v>
      </c>
    </row>
    <row r="4" spans="1:11" ht="54">
      <c r="A4" s="5" t="s">
        <v>4</v>
      </c>
      <c r="B4" s="5" t="str">
        <f>IF('[1]1. Select Services'!$E$13="x","x","")</f>
        <v>x</v>
      </c>
      <c r="C4" s="6" t="s">
        <v>5</v>
      </c>
      <c r="D4" s="7"/>
      <c r="E4" s="7"/>
      <c r="F4" s="8"/>
      <c r="G4" s="25" t="s">
        <v>6</v>
      </c>
      <c r="H4" s="25" t="s">
        <v>7</v>
      </c>
      <c r="I4" s="26" t="s">
        <v>8</v>
      </c>
    </row>
    <row r="5" spans="1:11">
      <c r="A5" s="9"/>
      <c r="B5" s="10">
        <v>68</v>
      </c>
      <c r="C5" s="10">
        <v>9</v>
      </c>
      <c r="D5" s="27" t="s">
        <v>9</v>
      </c>
      <c r="E5" s="27"/>
      <c r="F5" s="28" t="s">
        <v>10</v>
      </c>
      <c r="G5" s="11" t="str">
        <f>IF($A5="x",VLOOKUP($B5,'[1]4. Coverage Review'!$B$4:$K$78,5,FALSE)*100,"")</f>
        <v/>
      </c>
      <c r="H5" s="11" t="str">
        <f>IF($A5="x",VLOOKUP($B5,'[1]4. Coverage Review'!$B$4:$K$78,6,FALSE)*100,"")</f>
        <v/>
      </c>
      <c r="I5" s="11" t="str">
        <f>IF($A5="x",IF(Chosen_Scenario="Mitigation Impact Only",VLOOKUP($B5,'[1]4. Coverage Review'!$B$4:$K$78,8,FALSE)*100,VLOOKUP($B5,'[1]4. Coverage Review'!$B$4:$K$78,10,FALSE)*100),"")</f>
        <v/>
      </c>
    </row>
    <row r="6" spans="1:11">
      <c r="A6" s="9" t="str">
        <f>IF(VLOOKUP(B6,'[1]1. Select Services'!$A$6:$E$77,5,FALSE)="x","x","")</f>
        <v>x</v>
      </c>
      <c r="B6" s="10">
        <v>34</v>
      </c>
      <c r="C6" s="10">
        <v>10</v>
      </c>
      <c r="D6" s="27"/>
      <c r="E6" s="27"/>
      <c r="F6" s="28" t="s">
        <v>11</v>
      </c>
      <c r="G6" s="11">
        <f>IF($A6="x",VLOOKUP($B6,'[1]4. Coverage Review'!$B$4:$K$78,5,FALSE)*100,"")</f>
        <v>2.2000000000000002</v>
      </c>
      <c r="H6" s="11">
        <f>IF($A6="x",VLOOKUP($B6,'[1]4. Coverage Review'!$B$4:$K$78,6,FALSE)*100,"")</f>
        <v>1.8919999999999999</v>
      </c>
      <c r="I6" s="11">
        <f>IF($A6="x",IF(Chosen_Scenario="Mitigation Impact Only",VLOOKUP($B6,'[1]4. Coverage Review'!$B$4:$K$78,8,FALSE)*100,VLOOKUP($B6,'[1]4. Coverage Review'!$B$4:$K$78,10,FALSE)*100),"")</f>
        <v>2.1947199999999998</v>
      </c>
    </row>
    <row r="7" spans="1:11">
      <c r="A7" s="9" t="str">
        <f>IF(VLOOKUP(B7,'[1]1. Select Services'!$A$6:$E$77,5,FALSE)="x","x","")</f>
        <v/>
      </c>
      <c r="B7" s="10">
        <v>35</v>
      </c>
      <c r="C7" s="10">
        <v>11</v>
      </c>
      <c r="D7" s="27"/>
      <c r="E7" s="27"/>
      <c r="F7" s="28" t="s">
        <v>12</v>
      </c>
      <c r="G7" s="11" t="str">
        <f>IF($A7="x",VLOOKUP($B7,'[1]4. Coverage Review'!$B$4:$K$78,5,FALSE)*100,"")</f>
        <v/>
      </c>
      <c r="H7" s="11" t="str">
        <f>IF($A7="x",VLOOKUP($B7,'[1]4. Coverage Review'!$B$4:$K$78,6,FALSE)*100,"")</f>
        <v/>
      </c>
      <c r="I7" s="11" t="str">
        <f>IF($A7="x",IF(Chosen_Scenario="Mitigation Impact Only",VLOOKUP($B7,'[1]4. Coverage Review'!$B$4:$K$78,8,FALSE)*100,VLOOKUP($B7,'[1]4. Coverage Review'!$B$4:$K$78,10,FALSE)*100),"")</f>
        <v/>
      </c>
    </row>
    <row r="8" spans="1:11">
      <c r="A8" s="9" t="str">
        <f>IF(VLOOKUP(B8,'[1]1. Select Services'!$A$6:$E$77,5,FALSE)="x","x","")</f>
        <v/>
      </c>
      <c r="B8" s="10">
        <v>38</v>
      </c>
      <c r="C8" s="10">
        <v>12</v>
      </c>
      <c r="D8" s="27"/>
      <c r="E8" s="27"/>
      <c r="F8" s="28" t="s">
        <v>13</v>
      </c>
      <c r="G8" s="11" t="str">
        <f>IF($A8="x",VLOOKUP($B8,'[1]4. Coverage Review'!$B$4:$K$78,5,FALSE)*100,"")</f>
        <v/>
      </c>
      <c r="H8" s="11" t="str">
        <f>IF($A8="x",VLOOKUP($B8,'[1]4. Coverage Review'!$B$4:$K$78,6,FALSE)*100,"")</f>
        <v/>
      </c>
      <c r="I8" s="11" t="str">
        <f>IF($A8="x",IF(Chosen_Scenario="Mitigation Impact Only",VLOOKUP($B8,'[1]4. Coverage Review'!$B$4:$K$78,8,FALSE)*100,VLOOKUP($B8,'[1]4. Coverage Review'!$B$4:$K$78,10,FALSE)*100),"")</f>
        <v/>
      </c>
    </row>
    <row r="9" spans="1:11">
      <c r="A9" s="9"/>
      <c r="B9" s="10">
        <v>72</v>
      </c>
      <c r="C9" s="10">
        <v>13</v>
      </c>
      <c r="D9" s="27"/>
      <c r="E9" s="27"/>
      <c r="F9" s="28" t="s">
        <v>14</v>
      </c>
      <c r="G9" s="11" t="str">
        <f>IF($A9="x",VLOOKUP($B9,'[1]4. Coverage Review'!$B$4:$K$78,5,FALSE)*100,"")</f>
        <v/>
      </c>
      <c r="H9" s="11" t="str">
        <f>IF($A9="x",VLOOKUP($B9,'[1]4. Coverage Review'!$B$4:$K$78,6,FALSE)*100,"")</f>
        <v/>
      </c>
      <c r="I9" s="11" t="str">
        <f>IF($A9="x",IF(Chosen_Scenario="Mitigation Impact Only",VLOOKUP($B9,'[1]4. Coverage Review'!$B$4:$K$78,8,FALSE)*100,VLOOKUP($B9,'[1]4. Coverage Review'!$B$4:$K$78,10,FALSE)*100),"")</f>
        <v/>
      </c>
    </row>
    <row r="10" spans="1:11" ht="13.9" customHeight="1">
      <c r="A10" s="9" t="s">
        <v>15</v>
      </c>
      <c r="B10" s="12">
        <v>9</v>
      </c>
      <c r="C10" s="12">
        <v>14</v>
      </c>
      <c r="D10" s="29" t="s">
        <v>16</v>
      </c>
      <c r="E10" s="29"/>
      <c r="F10" s="28" t="s">
        <v>17</v>
      </c>
      <c r="G10" s="11">
        <f>IF($A10="x",VLOOKUP($B10,'[1]4. Coverage Review'!$B$4:$K$78,5,FALSE)*100,"")</f>
        <v>67.5</v>
      </c>
      <c r="H10" s="11">
        <f>IF($A10="x",VLOOKUP($B10,'[1]4. Coverage Review'!$B$4:$K$78,6,FALSE)*100,"")</f>
        <v>53.325000000000003</v>
      </c>
      <c r="I10" s="11">
        <f>IF($A10="x",IF(Chosen_Scenario="Mitigation Impact Only",VLOOKUP($B10,'[1]4. Coverage Review'!$B$4:$K$78,8,FALSE)*100,VLOOKUP($B10,'[1]4. Coverage Review'!$B$4:$K$78,10,FALSE)*100),"")</f>
        <v>61.856999999999999</v>
      </c>
    </row>
    <row r="11" spans="1:11" ht="14.25" customHeight="1">
      <c r="A11" s="9" t="s">
        <v>15</v>
      </c>
      <c r="B11" s="12">
        <v>10</v>
      </c>
      <c r="C11" s="12">
        <v>15</v>
      </c>
      <c r="D11" s="29"/>
      <c r="E11" s="29"/>
      <c r="F11" s="28" t="s">
        <v>18</v>
      </c>
      <c r="G11" s="11">
        <f>IF($A11="x",VLOOKUP($B11,'[1]4. Coverage Review'!$B$4:$K$78,5,FALSE)*100,"")</f>
        <v>30.1</v>
      </c>
      <c r="H11" s="11">
        <f>IF($A11="x",VLOOKUP($B11,'[1]4. Coverage Review'!$B$4:$K$78,6,FALSE)*100,"")</f>
        <v>23.779</v>
      </c>
      <c r="I11" s="11">
        <f>IF($A11="x",IF(Chosen_Scenario="Mitigation Impact Only",VLOOKUP($B11,'[1]4. Coverage Review'!$B$4:$K$78,8,FALSE)*100,VLOOKUP($B11,'[1]4. Coverage Review'!$B$4:$K$78,10,FALSE)*100),"")</f>
        <v>27.583639999999999</v>
      </c>
    </row>
    <row r="12" spans="1:11" ht="14.25" customHeight="1">
      <c r="A12" s="9"/>
      <c r="B12" s="12"/>
      <c r="C12" s="12"/>
      <c r="D12" s="29"/>
      <c r="E12" s="29"/>
      <c r="F12" s="30" t="s">
        <v>19</v>
      </c>
      <c r="G12" s="11" t="str">
        <f>IF($A12="x",VLOOKUP($B12,'[1]4. Coverage Review'!$B$4:$K$78,5,FALSE)*100,"")</f>
        <v/>
      </c>
      <c r="H12" s="11" t="str">
        <f>IF($A12="x",VLOOKUP($B12,'[1]4. Coverage Review'!$B$4:$K$78,6,FALSE)*100,"")</f>
        <v/>
      </c>
      <c r="I12" s="11" t="str">
        <f>IF($A12="x",IF(Chosen_Scenario="Mitigation Impact Only",VLOOKUP($B12,'[1]4. Coverage Review'!$B$4:$K$78,8,FALSE)*100,VLOOKUP($B12,'[1]4. Coverage Review'!$B$4:$K$78,10,FALSE)*100),"")</f>
        <v/>
      </c>
    </row>
    <row r="13" spans="1:11">
      <c r="A13" s="9" t="str">
        <f>IF(VLOOKUP(B13,'[1]1. Select Services'!$A$6:$E$77,5,FALSE)="x","x","")</f>
        <v>x</v>
      </c>
      <c r="B13" s="12">
        <v>11</v>
      </c>
      <c r="C13" s="12">
        <v>16</v>
      </c>
      <c r="D13" s="29"/>
      <c r="E13" s="29"/>
      <c r="F13" s="28" t="s">
        <v>20</v>
      </c>
      <c r="G13" s="11">
        <f>IF($A13="x",VLOOKUP($B13,'[1]4. Coverage Review'!$B$4:$K$78,5,FALSE)*100,"")</f>
        <v>88</v>
      </c>
      <c r="H13" s="11">
        <f>IF($A13="x",VLOOKUP($B13,'[1]4. Coverage Review'!$B$4:$K$78,6,FALSE)*100,"")</f>
        <v>69.52</v>
      </c>
      <c r="I13" s="11">
        <f>IF($A13="x",IF(Chosen_Scenario="Mitigation Impact Only",VLOOKUP($B13,'[1]4. Coverage Review'!$B$4:$K$78,8,FALSE)*100,VLOOKUP($B13,'[1]4. Coverage Review'!$B$4:$K$78,10,FALSE)*100),"")</f>
        <v>80.643199999999993</v>
      </c>
    </row>
    <row r="14" spans="1:11" ht="16.5">
      <c r="A14" s="9" t="str">
        <f>IF(VLOOKUP(B14,'[1]1. Select Services'!$A$6:$E$77,5,FALSE)="x","x","")</f>
        <v/>
      </c>
      <c r="B14" s="12">
        <v>12</v>
      </c>
      <c r="C14" s="12">
        <v>17</v>
      </c>
      <c r="D14" s="29"/>
      <c r="E14" s="29"/>
      <c r="F14" s="28" t="s">
        <v>21</v>
      </c>
      <c r="G14" s="11" t="str">
        <f>IF($A14="x",VLOOKUP($B14,'[1]4. Coverage Review'!$B$4:$K$78,5,FALSE)*100,"")</f>
        <v/>
      </c>
      <c r="H14" s="11" t="str">
        <f>IF($A14="x",VLOOKUP($B14,'[1]4. Coverage Review'!$B$4:$K$78,6,FALSE)*100,"")</f>
        <v/>
      </c>
      <c r="I14" s="11" t="str">
        <f>IF($A14="x",IF(Chosen_Scenario="Mitigation Impact Only",VLOOKUP($B14,'[1]4. Coverage Review'!$B$4:$K$78,8,FALSE)*100,VLOOKUP($B14,'[1]4. Coverage Review'!$B$4:$K$78,10,FALSE)*100),"")</f>
        <v/>
      </c>
      <c r="K14" s="19"/>
    </row>
    <row r="15" spans="1:11">
      <c r="A15" s="9" t="str">
        <f>IF(VLOOKUP(B15,'[1]1. Select Services'!$A$6:$E$77,5,FALSE)="x","x","")</f>
        <v>x</v>
      </c>
      <c r="B15" s="12">
        <v>13</v>
      </c>
      <c r="C15" s="12">
        <v>18</v>
      </c>
      <c r="D15" s="29"/>
      <c r="E15" s="29"/>
      <c r="F15" s="28" t="s">
        <v>22</v>
      </c>
      <c r="G15" s="11">
        <f>IF($A15="x",VLOOKUP($B15,'[1]4. Coverage Review'!$B$4:$K$78,5,FALSE)*100,"")</f>
        <v>16.7</v>
      </c>
      <c r="H15" s="11">
        <f>IF($A15="x",VLOOKUP($B15,'[1]4. Coverage Review'!$B$4:$K$78,6,FALSE)*100,"")</f>
        <v>13.193</v>
      </c>
      <c r="I15" s="11">
        <f>IF($A15="x",IF(Chosen_Scenario="Mitigation Impact Only",VLOOKUP($B15,'[1]4. Coverage Review'!$B$4:$K$78,8,FALSE)*100,VLOOKUP($B15,'[1]4. Coverage Review'!$B$4:$K$78,10,FALSE)*100),"")</f>
        <v>15.303879999999999</v>
      </c>
    </row>
    <row r="16" spans="1:11">
      <c r="A16" s="9"/>
      <c r="B16" s="12"/>
      <c r="C16" s="12"/>
      <c r="D16" s="29"/>
      <c r="E16" s="29"/>
      <c r="F16" s="30" t="s">
        <v>23</v>
      </c>
      <c r="G16" s="11" t="str">
        <f>IF($A16="x",VLOOKUP($B16,'[1]4. Coverage Review'!$B$4:$K$78,5,FALSE)*100,"")</f>
        <v/>
      </c>
      <c r="H16" s="11" t="str">
        <f>IF($A16="x",VLOOKUP($B16,'[1]4. Coverage Review'!$B$4:$K$78,6,FALSE)*100,"")</f>
        <v/>
      </c>
      <c r="I16" s="11" t="str">
        <f>IF($A16="x",IF(Chosen_Scenario="Mitigation Impact Only",VLOOKUP($B16,'[1]4. Coverage Review'!$B$4:$K$78,8,FALSE)*100,VLOOKUP($B16,'[1]4. Coverage Review'!$B$4:$K$78,10,FALSE)*100),"")</f>
        <v/>
      </c>
    </row>
    <row r="17" spans="1:9">
      <c r="A17" s="9" t="str">
        <f>IF(VLOOKUP(B17,'[1]1. Select Services'!$A$6:$E$77,5,FALSE)="x","x","")</f>
        <v/>
      </c>
      <c r="B17" s="12">
        <v>14</v>
      </c>
      <c r="C17" s="12">
        <v>19</v>
      </c>
      <c r="D17" s="29"/>
      <c r="E17" s="29"/>
      <c r="F17" s="28" t="s">
        <v>24</v>
      </c>
      <c r="G17" s="11" t="str">
        <f>IF($A17="x",VLOOKUP($B17,'[1]4. Coverage Review'!$B$4:$K$78,5,FALSE)*100,"")</f>
        <v/>
      </c>
      <c r="H17" s="11" t="str">
        <f>IF($A17="x",VLOOKUP($B17,'[1]4. Coverage Review'!$B$4:$K$78,6,FALSE)*100,"")</f>
        <v/>
      </c>
      <c r="I17" s="11" t="str">
        <f>IF($A17="x",IF(Chosen_Scenario="Mitigation Impact Only",VLOOKUP($B17,'[1]4. Coverage Review'!$B$4:$K$78,8,FALSE)*100,VLOOKUP($B17,'[1]4. Coverage Review'!$B$4:$K$78,10,FALSE)*100),"")</f>
        <v/>
      </c>
    </row>
    <row r="18" spans="1:9">
      <c r="A18" s="9"/>
      <c r="B18" s="12"/>
      <c r="C18" s="12"/>
      <c r="D18" s="29"/>
      <c r="E18" s="29"/>
      <c r="F18" s="31" t="s">
        <v>25</v>
      </c>
      <c r="G18" s="11" t="str">
        <f>IF($A18="x",VLOOKUP($B18,'[1]4. Coverage Review'!$B$4:$K$78,5,FALSE)*100,"")</f>
        <v/>
      </c>
      <c r="H18" s="11" t="str">
        <f>IF($A18="x",VLOOKUP($B18,'[1]4. Coverage Review'!$B$4:$K$78,6,FALSE)*100,"")</f>
        <v/>
      </c>
      <c r="I18" s="11" t="str">
        <f>IF($A18="x",IF(Chosen_Scenario="Mitigation Impact Only",VLOOKUP($B18,'[1]4. Coverage Review'!$B$4:$K$78,8,FALSE)*100,VLOOKUP($B18,'[1]4. Coverage Review'!$B$4:$K$78,10,FALSE)*100),"")</f>
        <v/>
      </c>
    </row>
    <row r="19" spans="1:9">
      <c r="A19" s="9" t="str">
        <f>IF(VLOOKUP(B19,'[1]1. Select Services'!$A$6:$E$77,5,FALSE)="x","x","")</f>
        <v>x</v>
      </c>
      <c r="B19" s="12">
        <v>15</v>
      </c>
      <c r="C19" s="12">
        <v>20</v>
      </c>
      <c r="D19" s="29"/>
      <c r="E19" s="29"/>
      <c r="F19" s="32" t="s">
        <v>26</v>
      </c>
      <c r="G19" s="11">
        <f>IF($A19="x",VLOOKUP($B19,'[1]4. Coverage Review'!$B$4:$K$78,5,FALSE)*100,"")</f>
        <v>5.2</v>
      </c>
      <c r="H19" s="11">
        <f>IF($A19="x",VLOOKUP($B19,'[1]4. Coverage Review'!$B$4:$K$78,6,FALSE)*100,"")</f>
        <v>4.1079999999999997</v>
      </c>
      <c r="I19" s="11">
        <f>IF($A19="x",IF(Chosen_Scenario="Mitigation Impact Only",VLOOKUP($B19,'[1]4. Coverage Review'!$B$4:$K$78,8,FALSE)*100,VLOOKUP($B19,'[1]4. Coverage Review'!$B$4:$K$78,10,FALSE)*100),"")</f>
        <v>4.7652799999999997</v>
      </c>
    </row>
    <row r="20" spans="1:9">
      <c r="A20" s="9" t="str">
        <f>IF(VLOOKUP(B20,'[1]1. Select Services'!$A$6:$E$77,5,FALSE)="x","x","")</f>
        <v/>
      </c>
      <c r="B20" s="12">
        <v>16</v>
      </c>
      <c r="C20" s="12">
        <v>21</v>
      </c>
      <c r="D20" s="29"/>
      <c r="E20" s="29"/>
      <c r="F20" s="32" t="s">
        <v>27</v>
      </c>
      <c r="G20" s="11" t="str">
        <f>IF($A20="x",VLOOKUP($B20,'[1]4. Coverage Review'!$B$4:$K$78,5,FALSE)*100,"")</f>
        <v/>
      </c>
      <c r="H20" s="11" t="str">
        <f>IF($A20="x",VLOOKUP($B20,'[1]4. Coverage Review'!$B$4:$K$78,6,FALSE)*100,"")</f>
        <v/>
      </c>
      <c r="I20" s="11" t="str">
        <f>IF($A20="x",IF(Chosen_Scenario="Mitigation Impact Only",VLOOKUP($B20,'[1]4. Coverage Review'!$B$4:$K$78,8,FALSE)*100,VLOOKUP($B20,'[1]4. Coverage Review'!$B$4:$K$78,10,FALSE)*100),"")</f>
        <v/>
      </c>
    </row>
    <row r="21" spans="1:9">
      <c r="A21" s="9" t="str">
        <f>IF(VLOOKUP(B21,'[1]1. Select Services'!$A$6:$E$77,5,FALSE)="x","x","")</f>
        <v/>
      </c>
      <c r="B21" s="12">
        <v>17</v>
      </c>
      <c r="C21" s="12">
        <v>22</v>
      </c>
      <c r="D21" s="29"/>
      <c r="E21" s="29"/>
      <c r="F21" s="28" t="s">
        <v>28</v>
      </c>
      <c r="G21" s="11" t="str">
        <f>IF($A21="x",VLOOKUP($B21,'[1]4. Coverage Review'!$B$4:$K$78,5,FALSE)*100,"")</f>
        <v/>
      </c>
      <c r="H21" s="11" t="str">
        <f>IF($A21="x",VLOOKUP($B21,'[1]4. Coverage Review'!$B$4:$K$78,6,FALSE)*100,"")</f>
        <v/>
      </c>
      <c r="I21" s="11" t="str">
        <f>IF($A21="x",IF(Chosen_Scenario="Mitigation Impact Only",VLOOKUP($B21,'[1]4. Coverage Review'!$B$4:$K$78,8,FALSE)*100,VLOOKUP($B21,'[1]4. Coverage Review'!$B$4:$K$78,10,FALSE)*100),"")</f>
        <v/>
      </c>
    </row>
    <row r="22" spans="1:9">
      <c r="A22" s="9"/>
      <c r="B22" s="12"/>
      <c r="C22" s="12"/>
      <c r="D22" s="29"/>
      <c r="E22" s="29"/>
      <c r="F22" s="30" t="s">
        <v>29</v>
      </c>
      <c r="G22" s="11" t="str">
        <f>IF($A22="x",VLOOKUP($B22,'[1]4. Coverage Review'!$B$4:$K$78,5,FALSE)*100,"")</f>
        <v/>
      </c>
      <c r="H22" s="11" t="str">
        <f>IF($A22="x",VLOOKUP($B22,'[1]4. Coverage Review'!$B$4:$K$78,6,FALSE)*100,"")</f>
        <v/>
      </c>
      <c r="I22" s="11" t="str">
        <f>IF($A22="x",IF(Chosen_Scenario="Mitigation Impact Only",VLOOKUP($B22,'[1]4. Coverage Review'!$B$4:$K$78,8,FALSE)*100,VLOOKUP($B22,'[1]4. Coverage Review'!$B$4:$K$78,10,FALSE)*100),"")</f>
        <v/>
      </c>
    </row>
    <row r="23" spans="1:9">
      <c r="A23" s="9" t="str">
        <f>IF(VLOOKUP(B23,'[1]1. Select Services'!$A$6:$E$77,5,FALSE)="x","x","")</f>
        <v>x</v>
      </c>
      <c r="B23" s="12">
        <v>18</v>
      </c>
      <c r="C23" s="12">
        <v>23</v>
      </c>
      <c r="D23" s="29"/>
      <c r="E23" s="29"/>
      <c r="F23" s="28" t="s">
        <v>30</v>
      </c>
      <c r="G23" s="11">
        <f>IF($A23="x",VLOOKUP($B23,'[1]4. Coverage Review'!$B$4:$K$78,5,FALSE)*100,"")</f>
        <v>7.2</v>
      </c>
      <c r="H23" s="11">
        <f>IF($A23="x",VLOOKUP($B23,'[1]4. Coverage Review'!$B$4:$K$78,6,FALSE)*100,"")</f>
        <v>5.6879999999999997</v>
      </c>
      <c r="I23" s="11">
        <f>IF($A23="x",IF(Chosen_Scenario="Mitigation Impact Only",VLOOKUP($B23,'[1]4. Coverage Review'!$B$4:$K$78,8,FALSE)*100,VLOOKUP($B23,'[1]4. Coverage Review'!$B$4:$K$78,10,FALSE)*100),"")</f>
        <v>6.5980800000000004</v>
      </c>
    </row>
    <row r="24" spans="1:9">
      <c r="A24" s="9" t="str">
        <f>IF(VLOOKUP(B24,'[1]1. Select Services'!$A$6:$E$77,5,FALSE)="x","x","")</f>
        <v>x</v>
      </c>
      <c r="B24" s="12">
        <v>19</v>
      </c>
      <c r="C24" s="12">
        <v>24</v>
      </c>
      <c r="D24" s="29"/>
      <c r="E24" s="29"/>
      <c r="F24" s="28" t="s">
        <v>31</v>
      </c>
      <c r="G24" s="11">
        <f>IF($A24="x",VLOOKUP($B24,'[1]4. Coverage Review'!$B$4:$K$78,5,FALSE)*100,"")</f>
        <v>5.6</v>
      </c>
      <c r="H24" s="11">
        <f>IF($A24="x",VLOOKUP($B24,'[1]4. Coverage Review'!$B$4:$K$78,6,FALSE)*100,"")</f>
        <v>4.4240000000000004</v>
      </c>
      <c r="I24" s="11">
        <f>IF($A24="x",IF(Chosen_Scenario="Mitigation Impact Only",VLOOKUP($B24,'[1]4. Coverage Review'!$B$4:$K$78,8,FALSE)*100,VLOOKUP($B24,'[1]4. Coverage Review'!$B$4:$K$78,10,FALSE)*100),"")</f>
        <v>5.1318400000000004</v>
      </c>
    </row>
    <row r="25" spans="1:9">
      <c r="A25" s="9" t="str">
        <f>IF(VLOOKUP(B25,'[1]1. Select Services'!$A$6:$E$77,5,FALSE)="x","x","")</f>
        <v>x</v>
      </c>
      <c r="B25" s="12">
        <v>20</v>
      </c>
      <c r="C25" s="12">
        <v>25</v>
      </c>
      <c r="D25" s="29"/>
      <c r="E25" s="29"/>
      <c r="F25" s="28" t="s">
        <v>32</v>
      </c>
      <c r="G25" s="11">
        <f>IF($A25="x",VLOOKUP($B25,'[1]4. Coverage Review'!$B$4:$K$78,5,FALSE)*100,"")</f>
        <v>0</v>
      </c>
      <c r="H25" s="11">
        <f>IF($A25="x",VLOOKUP($B25,'[1]4. Coverage Review'!$B$4:$K$78,6,FALSE)*100,"")</f>
        <v>0</v>
      </c>
      <c r="I25" s="11">
        <f>IF($A25="x",IF(Chosen_Scenario="Mitigation Impact Only",VLOOKUP($B25,'[1]4. Coverage Review'!$B$4:$K$78,8,FALSE)*100,VLOOKUP($B25,'[1]4. Coverage Review'!$B$4:$K$78,10,FALSE)*100),"")</f>
        <v>0</v>
      </c>
    </row>
    <row r="26" spans="1:9">
      <c r="A26" s="9" t="str">
        <f>IF(VLOOKUP(B26,'[1]1. Select Services'!$A$6:$E$77,5,FALSE)="x","x","")</f>
        <v>x</v>
      </c>
      <c r="B26" s="12">
        <v>21</v>
      </c>
      <c r="C26" s="12">
        <v>26</v>
      </c>
      <c r="D26" s="29"/>
      <c r="E26" s="29"/>
      <c r="F26" s="28" t="s">
        <v>33</v>
      </c>
      <c r="G26" s="11">
        <f>IF($A26="x",VLOOKUP($B26,'[1]4. Coverage Review'!$B$4:$K$78,5,FALSE)*100,"")</f>
        <v>14.3</v>
      </c>
      <c r="H26" s="11">
        <f>IF($A26="x",VLOOKUP($B26,'[1]4. Coverage Review'!$B$4:$K$78,6,FALSE)*100,"")</f>
        <v>11.297000000000001</v>
      </c>
      <c r="I26" s="11">
        <f>IF($A26="x",IF(Chosen_Scenario="Mitigation Impact Only",VLOOKUP($B26,'[1]4. Coverage Review'!$B$4:$K$78,8,FALSE)*100,VLOOKUP($B26,'[1]4. Coverage Review'!$B$4:$K$78,10,FALSE)*100),"")</f>
        <v>13.104520000000001</v>
      </c>
    </row>
    <row r="27" spans="1:9" ht="12.75" customHeight="1">
      <c r="A27" s="9" t="str">
        <f>IF(VLOOKUP(B27,'[1]1. Select Services'!$A$6:$E$77,5,FALSE)="x","x","")</f>
        <v>x</v>
      </c>
      <c r="B27" s="13">
        <v>22</v>
      </c>
      <c r="C27" s="13">
        <v>27</v>
      </c>
      <c r="D27" s="33" t="s">
        <v>34</v>
      </c>
      <c r="E27" s="34"/>
      <c r="F27" s="28" t="s">
        <v>35</v>
      </c>
      <c r="G27" s="11">
        <f>IF($A27="x",VLOOKUP($B27,'[1]4. Coverage Review'!$B$4:$K$78,5,FALSE)*100,"")</f>
        <v>72.7</v>
      </c>
      <c r="H27" s="11">
        <f>IF($A27="x",VLOOKUP($B27,'[1]4. Coverage Review'!$B$4:$K$78,6,FALSE)*100,"")</f>
        <v>62.521999999999998</v>
      </c>
      <c r="I27" s="11">
        <f>IF($A27="x",IF(Chosen_Scenario="Mitigation Impact Only",VLOOKUP($B27,'[1]4. Coverage Review'!$B$4:$K$78,8,FALSE)*100,VLOOKUP($B27,'[1]4. Coverage Review'!$B$4:$K$78,10,FALSE)*100),"")</f>
        <v>72.52552</v>
      </c>
    </row>
    <row r="28" spans="1:9">
      <c r="A28" s="9"/>
      <c r="B28" s="13"/>
      <c r="C28" s="13"/>
      <c r="D28" s="35"/>
      <c r="E28" s="36"/>
      <c r="F28" s="37" t="s">
        <v>19</v>
      </c>
      <c r="G28" s="11" t="str">
        <f>IF($A28="x",VLOOKUP($B28,'[1]4. Coverage Review'!$B$4:$K$78,5,FALSE)*100,"")</f>
        <v/>
      </c>
      <c r="H28" s="11" t="str">
        <f>IF($A28="x",VLOOKUP($B28,'[1]4. Coverage Review'!$B$4:$K$78,6,FALSE)*100,"")</f>
        <v/>
      </c>
      <c r="I28" s="11" t="str">
        <f>IF($A28="x",IF(Chosen_Scenario="Mitigation Impact Only",VLOOKUP($B28,'[1]4. Coverage Review'!$B$4:$K$78,8,FALSE)*100,VLOOKUP($B28,'[1]4. Coverage Review'!$B$4:$K$78,10,FALSE)*100),"")</f>
        <v/>
      </c>
    </row>
    <row r="29" spans="1:9">
      <c r="A29" s="9" t="str">
        <f>IF(VLOOKUP(B29,'[1]1. Select Services'!$A$6:$E$77,5,FALSE)="x","x","")</f>
        <v>x</v>
      </c>
      <c r="B29" s="13">
        <v>23</v>
      </c>
      <c r="C29" s="13">
        <v>28</v>
      </c>
      <c r="D29" s="35"/>
      <c r="E29" s="36"/>
      <c r="F29" s="28" t="s">
        <v>36</v>
      </c>
      <c r="G29" s="11">
        <f>IF($A29="x",VLOOKUP($B29,'[1]4. Coverage Review'!$B$4:$K$78,5,FALSE)*100,"")</f>
        <v>59.6</v>
      </c>
      <c r="H29" s="11">
        <f>IF($A29="x",VLOOKUP($B29,'[1]4. Coverage Review'!$B$4:$K$78,6,FALSE)*100,"")</f>
        <v>51.256</v>
      </c>
      <c r="I29" s="11">
        <f>IF($A29="x",IF(Chosen_Scenario="Mitigation Impact Only",VLOOKUP($B29,'[1]4. Coverage Review'!$B$4:$K$78,8,FALSE)*100,VLOOKUP($B29,'[1]4. Coverage Review'!$B$4:$K$78,10,FALSE)*100),"")</f>
        <v>59.456960000000002</v>
      </c>
    </row>
    <row r="30" spans="1:9">
      <c r="A30" s="9" t="str">
        <f>IF(VLOOKUP(B30,'[1]1. Select Services'!$A$6:$E$77,5,FALSE)="x","x","")</f>
        <v>x</v>
      </c>
      <c r="B30" s="13">
        <v>39</v>
      </c>
      <c r="C30" s="13">
        <v>29</v>
      </c>
      <c r="D30" s="35"/>
      <c r="E30" s="36"/>
      <c r="F30" s="28" t="s">
        <v>37</v>
      </c>
      <c r="G30" s="11">
        <f>IF($A30="x",VLOOKUP($B30,'[1]4. Coverage Review'!$B$4:$K$78,5,FALSE)*100,"")</f>
        <v>66.599999999999994</v>
      </c>
      <c r="H30" s="11">
        <f>IF($A30="x",VLOOKUP($B30,'[1]4. Coverage Review'!$B$4:$K$78,6,FALSE)*100,"")</f>
        <v>55.944000000000003</v>
      </c>
      <c r="I30" s="11">
        <f>IF($A30="x",IF(Chosen_Scenario="Mitigation Impact Only",VLOOKUP($B30,'[1]4. Coverage Review'!$B$4:$K$78,8,FALSE)*100,VLOOKUP($B30,'[1]4. Coverage Review'!$B$4:$K$78,10,FALSE)*100),"")</f>
        <v>64.895039999999995</v>
      </c>
    </row>
    <row r="31" spans="1:9">
      <c r="A31" s="9" t="str">
        <f>IF(VLOOKUP(B31,'[1]1. Select Services'!$A$6:$E$77,5,FALSE)="x","x","")</f>
        <v>x</v>
      </c>
      <c r="B31" s="13">
        <v>40</v>
      </c>
      <c r="C31" s="13">
        <v>30</v>
      </c>
      <c r="D31" s="35"/>
      <c r="E31" s="36"/>
      <c r="F31" s="28" t="s">
        <v>38</v>
      </c>
      <c r="G31" s="11">
        <f>IF($A31="x",VLOOKUP($B31,'[1]4. Coverage Review'!$B$4:$K$78,5,FALSE)*100,"")</f>
        <v>71.900000000000006</v>
      </c>
      <c r="H31" s="11">
        <f>IF($A31="x",VLOOKUP($B31,'[1]4. Coverage Review'!$B$4:$K$78,6,FALSE)*100,"")</f>
        <v>60.396000000000001</v>
      </c>
      <c r="I31" s="11">
        <f>IF($A31="x",IF(Chosen_Scenario="Mitigation Impact Only",VLOOKUP($B31,'[1]4. Coverage Review'!$B$4:$K$78,8,FALSE)*100,VLOOKUP($B31,'[1]4. Coverage Review'!$B$4:$K$78,10,FALSE)*100),"")</f>
        <v>70.059359999999998</v>
      </c>
    </row>
    <row r="32" spans="1:9">
      <c r="A32" s="9" t="str">
        <f>IF(VLOOKUP(B32,'[1]1. Select Services'!$A$6:$E$77,5,FALSE)="x","x","")</f>
        <v>x</v>
      </c>
      <c r="B32" s="13">
        <v>41</v>
      </c>
      <c r="C32" s="13">
        <v>31</v>
      </c>
      <c r="D32" s="35"/>
      <c r="E32" s="36"/>
      <c r="F32" s="28" t="s">
        <v>39</v>
      </c>
      <c r="G32" s="11">
        <f>IF($A32="x",VLOOKUP($B32,'[1]4. Coverage Review'!$B$4:$K$78,5,FALSE)*100,"")</f>
        <v>69.400000000000006</v>
      </c>
      <c r="H32" s="11">
        <f>IF($A32="x",VLOOKUP($B32,'[1]4. Coverage Review'!$B$4:$K$78,6,FALSE)*100,"")</f>
        <v>58.295999999999999</v>
      </c>
      <c r="I32" s="11">
        <f>IF($A32="x",IF(Chosen_Scenario="Mitigation Impact Only",VLOOKUP($B32,'[1]4. Coverage Review'!$B$4:$K$78,8,FALSE)*100,VLOOKUP($B32,'[1]4. Coverage Review'!$B$4:$K$78,10,FALSE)*100),"")</f>
        <v>67.623360000000005</v>
      </c>
    </row>
    <row r="33" spans="1:9">
      <c r="A33" s="9" t="str">
        <f>IF(VLOOKUP(B33,'[1]1. Select Services'!$A$6:$E$77,5,FALSE)="x","x","")</f>
        <v>x</v>
      </c>
      <c r="B33" s="13">
        <v>24</v>
      </c>
      <c r="C33" s="13">
        <v>32</v>
      </c>
      <c r="D33" s="35"/>
      <c r="E33" s="36"/>
      <c r="F33" s="28" t="s">
        <v>40</v>
      </c>
      <c r="G33" s="11">
        <f>IF($A33="x",VLOOKUP($B33,'[1]4. Coverage Review'!$B$4:$K$78,5,FALSE)*100,"")</f>
        <v>27.2</v>
      </c>
      <c r="H33" s="11">
        <f>IF($A33="x",VLOOKUP($B33,'[1]4. Coverage Review'!$B$4:$K$78,6,FALSE)*100,"")</f>
        <v>23.391999999999999</v>
      </c>
      <c r="I33" s="11">
        <f>IF($A33="x",IF(Chosen_Scenario="Mitigation Impact Only",VLOOKUP($B33,'[1]4. Coverage Review'!$B$4:$K$78,8,FALSE)*100,VLOOKUP($B33,'[1]4. Coverage Review'!$B$4:$K$78,10,FALSE)*100),"")</f>
        <v>27.134720000000002</v>
      </c>
    </row>
    <row r="34" spans="1:9">
      <c r="A34" s="9"/>
      <c r="B34" s="13"/>
      <c r="C34" s="13"/>
      <c r="D34" s="35"/>
      <c r="E34" s="36"/>
      <c r="F34" s="37" t="s">
        <v>41</v>
      </c>
      <c r="G34" s="11" t="str">
        <f>IF($A34="x",VLOOKUP($B34,'[1]4. Coverage Review'!$B$4:$K$78,5,FALSE)*100,"")</f>
        <v/>
      </c>
      <c r="H34" s="11" t="str">
        <f>IF($A34="x",VLOOKUP($B34,'[1]4. Coverage Review'!$B$4:$K$78,6,FALSE)*100,"")</f>
        <v/>
      </c>
      <c r="I34" s="11" t="str">
        <f>IF($A34="x",IF(Chosen_Scenario="Mitigation Impact Only",VLOOKUP($B34,'[1]4. Coverage Review'!$B$4:$K$78,8,FALSE)*100,VLOOKUP($B34,'[1]4. Coverage Review'!$B$4:$K$78,10,FALSE)*100),"")</f>
        <v/>
      </c>
    </row>
    <row r="35" spans="1:9">
      <c r="A35" s="9" t="s">
        <v>15</v>
      </c>
      <c r="B35" s="13">
        <v>25</v>
      </c>
      <c r="C35" s="13">
        <v>33</v>
      </c>
      <c r="D35" s="35"/>
      <c r="E35" s="36"/>
      <c r="F35" s="28" t="s">
        <v>42</v>
      </c>
      <c r="G35" s="11">
        <f>IF($A35="x",VLOOKUP($B35,'[1]4. Coverage Review'!$B$4:$K$78,5,FALSE)*100,"")</f>
        <v>52</v>
      </c>
      <c r="H35" s="11">
        <f>IF($A35="x",VLOOKUP($B35,'[1]4. Coverage Review'!$B$4:$K$78,6,FALSE)*100,"")</f>
        <v>44.72</v>
      </c>
      <c r="I35" s="11">
        <f>IF($A35="x",IF(Chosen_Scenario="Mitigation Impact Only",VLOOKUP($B35,'[1]4. Coverage Review'!$B$4:$K$78,8,FALSE)*100,VLOOKUP($B35,'[1]4. Coverage Review'!$B$4:$K$78,10,FALSE)*100),"")</f>
        <v>51.8752</v>
      </c>
    </row>
    <row r="36" spans="1:9">
      <c r="A36" s="9" t="str">
        <f>IF(VLOOKUP(B36,'[1]1. Select Services'!$A$6:$E$77,5,FALSE)="x","x","")</f>
        <v>x</v>
      </c>
      <c r="B36" s="13">
        <v>26</v>
      </c>
      <c r="C36" s="13">
        <v>34</v>
      </c>
      <c r="D36" s="35"/>
      <c r="E36" s="36"/>
      <c r="F36" s="28" t="s">
        <v>43</v>
      </c>
      <c r="G36" s="11">
        <f>IF($A36="x",VLOOKUP($B36,'[1]4. Coverage Review'!$B$4:$K$78,5,FALSE)*100,"")</f>
        <v>54.4</v>
      </c>
      <c r="H36" s="11">
        <f>IF($A36="x",VLOOKUP($B36,'[1]4. Coverage Review'!$B$4:$K$78,6,FALSE)*100,"")</f>
        <v>46.783999999999999</v>
      </c>
      <c r="I36" s="11">
        <f>IF($A36="x",IF(Chosen_Scenario="Mitigation Impact Only",VLOOKUP($B36,'[1]4. Coverage Review'!$B$4:$K$78,8,FALSE)*100,VLOOKUP($B36,'[1]4. Coverage Review'!$B$4:$K$78,10,FALSE)*100),"")</f>
        <v>54.269440000000003</v>
      </c>
    </row>
    <row r="37" spans="1:9">
      <c r="A37" s="9" t="str">
        <f>IF(VLOOKUP(B37,'[1]1. Select Services'!$A$6:$E$77,5,FALSE)="x","x","")</f>
        <v>x</v>
      </c>
      <c r="B37" s="13">
        <v>27</v>
      </c>
      <c r="C37" s="13">
        <v>35</v>
      </c>
      <c r="D37" s="35"/>
      <c r="E37" s="36"/>
      <c r="F37" s="28" t="s">
        <v>44</v>
      </c>
      <c r="G37" s="11">
        <f>IF($A37="x",VLOOKUP($B37,'[1]4. Coverage Review'!$B$4:$K$78,5,FALSE)*100,"")</f>
        <v>54.4</v>
      </c>
      <c r="H37" s="11">
        <f>IF($A37="x",VLOOKUP($B37,'[1]4. Coverage Review'!$B$4:$K$78,6,FALSE)*100,"")</f>
        <v>46.783999999999999</v>
      </c>
      <c r="I37" s="11">
        <f>IF($A37="x",IF(Chosen_Scenario="Mitigation Impact Only",VLOOKUP($B37,'[1]4. Coverage Review'!$B$4:$K$78,8,FALSE)*100,VLOOKUP($B37,'[1]4. Coverage Review'!$B$4:$K$78,10,FALSE)*100),"")</f>
        <v>54.269440000000003</v>
      </c>
    </row>
    <row r="38" spans="1:9">
      <c r="A38" s="9" t="str">
        <f>IF(VLOOKUP(B38,'[1]1. Select Services'!$A$6:$E$77,5,FALSE)="x","x","")</f>
        <v>x</v>
      </c>
      <c r="B38" s="13">
        <v>28</v>
      </c>
      <c r="C38" s="13">
        <v>36</v>
      </c>
      <c r="D38" s="35"/>
      <c r="E38" s="36"/>
      <c r="F38" s="28" t="s">
        <v>45</v>
      </c>
      <c r="G38" s="11">
        <f>IF($A38="x",VLOOKUP($B38,'[1]4. Coverage Review'!$B$4:$K$78,5,FALSE)*100,"")</f>
        <v>18.399999999999999</v>
      </c>
      <c r="H38" s="11">
        <f>IF($A38="x",VLOOKUP($B38,'[1]4. Coverage Review'!$B$4:$K$78,6,FALSE)*100,"")</f>
        <v>15.824</v>
      </c>
      <c r="I38" s="11">
        <f>IF($A38="x",IF(Chosen_Scenario="Mitigation Impact Only",VLOOKUP($B38,'[1]4. Coverage Review'!$B$4:$K$78,8,FALSE)*100,VLOOKUP($B38,'[1]4. Coverage Review'!$B$4:$K$78,10,FALSE)*100),"")</f>
        <v>18.355840000000001</v>
      </c>
    </row>
    <row r="39" spans="1:9">
      <c r="A39" s="9" t="str">
        <f>IF(VLOOKUP(B39,'[1]1. Select Services'!$A$6:$E$77,5,FALSE)="x","x","")</f>
        <v>x</v>
      </c>
      <c r="B39" s="13">
        <v>42</v>
      </c>
      <c r="C39" s="13">
        <v>37</v>
      </c>
      <c r="D39" s="35"/>
      <c r="E39" s="36"/>
      <c r="F39" s="28" t="s">
        <v>46</v>
      </c>
      <c r="G39" s="11">
        <f>IF($A39="x",VLOOKUP($B39,'[1]4. Coverage Review'!$B$4:$K$78,5,FALSE)*100,"")</f>
        <v>40</v>
      </c>
      <c r="H39" s="11">
        <f>IF($A39="x",VLOOKUP($B39,'[1]4. Coverage Review'!$B$4:$K$78,6,FALSE)*100,"")</f>
        <v>33.6</v>
      </c>
      <c r="I39" s="11">
        <f>IF($A39="x",IF(Chosen_Scenario="Mitigation Impact Only",VLOOKUP($B39,'[1]4. Coverage Review'!$B$4:$K$78,8,FALSE)*100,VLOOKUP($B39,'[1]4. Coverage Review'!$B$4:$K$78,10,FALSE)*100),"")</f>
        <v>38.975999999999999</v>
      </c>
    </row>
    <row r="40" spans="1:9">
      <c r="A40" s="9" t="str">
        <f>IF(VLOOKUP(B40,'[1]1. Select Services'!$A$6:$E$77,5,FALSE)="x","x","")</f>
        <v>x</v>
      </c>
      <c r="B40" s="13">
        <v>29</v>
      </c>
      <c r="C40" s="13">
        <v>38</v>
      </c>
      <c r="D40" s="35"/>
      <c r="E40" s="36"/>
      <c r="F40" s="28" t="s">
        <v>47</v>
      </c>
      <c r="G40" s="11">
        <f>IF($A40="x",VLOOKUP($B40,'[1]4. Coverage Review'!$B$4:$K$78,5,FALSE)*100,"")</f>
        <v>65</v>
      </c>
      <c r="H40" s="11">
        <f>IF($A40="x",VLOOKUP($B40,'[1]4. Coverage Review'!$B$4:$K$78,6,FALSE)*100,"")</f>
        <v>55.9</v>
      </c>
      <c r="I40" s="11">
        <f>IF($A40="x",IF(Chosen_Scenario="Mitigation Impact Only",VLOOKUP($B40,'[1]4. Coverage Review'!$B$4:$K$78,8,FALSE)*100,VLOOKUP($B40,'[1]4. Coverage Review'!$B$4:$K$78,10,FALSE)*100),"")</f>
        <v>64.843999999999994</v>
      </c>
    </row>
    <row r="41" spans="1:9">
      <c r="A41" s="9" t="str">
        <f>IF(VLOOKUP(B41,'[1]1. Select Services'!$A$6:$E$77,5,FALSE)="x","x","")</f>
        <v>x</v>
      </c>
      <c r="B41" s="13">
        <v>30</v>
      </c>
      <c r="C41" s="13">
        <v>39</v>
      </c>
      <c r="D41" s="35"/>
      <c r="E41" s="36"/>
      <c r="F41" s="28" t="s">
        <v>48</v>
      </c>
      <c r="G41" s="11">
        <f>IF($A41="x",VLOOKUP($B41,'[1]4. Coverage Review'!$B$4:$K$78,5,FALSE)*100,"")</f>
        <v>24.1</v>
      </c>
      <c r="H41" s="11">
        <f>IF($A41="x",VLOOKUP($B41,'[1]4. Coverage Review'!$B$4:$K$78,6,FALSE)*100,"")</f>
        <v>20.725999999999999</v>
      </c>
      <c r="I41" s="11">
        <f>IF($A41="x",IF(Chosen_Scenario="Mitigation Impact Only",VLOOKUP($B41,'[1]4. Coverage Review'!$B$4:$K$78,8,FALSE)*100,VLOOKUP($B41,'[1]4. Coverage Review'!$B$4:$K$78,10,FALSE)*100),"")</f>
        <v>24.042159999999999</v>
      </c>
    </row>
    <row r="42" spans="1:9">
      <c r="A42" s="9" t="str">
        <f>IF(VLOOKUP(B42,'[1]1. Select Services'!$A$6:$E$77,5,FALSE)="x","x","")</f>
        <v>x</v>
      </c>
      <c r="B42" s="13">
        <v>31</v>
      </c>
      <c r="C42" s="13">
        <v>40</v>
      </c>
      <c r="D42" s="35"/>
      <c r="E42" s="36"/>
      <c r="F42" s="38" t="s">
        <v>49</v>
      </c>
      <c r="G42" s="11">
        <f>IF($A42="x",VLOOKUP($B42,'[1]4. Coverage Review'!$B$4:$K$78,5,FALSE)*100,"")</f>
        <v>1.3</v>
      </c>
      <c r="H42" s="11">
        <f>IF($A42="x",VLOOKUP($B42,'[1]4. Coverage Review'!$B$4:$K$78,6,FALSE)*100,"")</f>
        <v>1.1180000000000001</v>
      </c>
      <c r="I42" s="11">
        <f>IF($A42="x",IF(Chosen_Scenario="Mitigation Impact Only",VLOOKUP($B42,'[1]4. Coverage Review'!$B$4:$K$78,8,FALSE)*100,VLOOKUP($B42,'[1]4. Coverage Review'!$B$4:$K$78,10,FALSE)*100),"")</f>
        <v>1.29688</v>
      </c>
    </row>
    <row r="43" spans="1:9">
      <c r="A43" s="9" t="str">
        <f>IF(VLOOKUP(B43,'[1]1. Select Services'!$A$6:$E$77,5,FALSE)="x","x","")</f>
        <v/>
      </c>
      <c r="B43" s="13">
        <v>32</v>
      </c>
      <c r="C43" s="13">
        <v>41</v>
      </c>
      <c r="D43" s="35"/>
      <c r="E43" s="36"/>
      <c r="F43" s="28" t="s">
        <v>50</v>
      </c>
      <c r="G43" s="11" t="str">
        <f>IF($A43="x",VLOOKUP($B43,'[1]4. Coverage Review'!$B$4:$K$78,5,FALSE)*100,"")</f>
        <v/>
      </c>
      <c r="H43" s="11" t="str">
        <f>IF($A43="x",VLOOKUP($B43,'[1]4. Coverage Review'!$B$4:$K$78,6,FALSE)*100,"")</f>
        <v/>
      </c>
      <c r="I43" s="11" t="str">
        <f>IF($A43="x",IF(Chosen_Scenario="Mitigation Impact Only",VLOOKUP($B43,'[1]4. Coverage Review'!$B$4:$K$78,8,FALSE)*100,VLOOKUP($B43,'[1]4. Coverage Review'!$B$4:$K$78,10,FALSE)*100),"")</f>
        <v/>
      </c>
    </row>
    <row r="44" spans="1:9">
      <c r="A44" s="9"/>
      <c r="B44" s="13"/>
      <c r="C44" s="13"/>
      <c r="D44" s="35"/>
      <c r="E44" s="36"/>
      <c r="F44" s="37" t="s">
        <v>51</v>
      </c>
      <c r="G44" s="11" t="str">
        <f>IF($A44="x",VLOOKUP($B44,'[1]4. Coverage Review'!$B$4:$K$78,5,FALSE)*100,"")</f>
        <v/>
      </c>
      <c r="H44" s="11" t="str">
        <f>IF($A44="x",VLOOKUP($B44,'[1]4. Coverage Review'!$B$4:$K$78,6,FALSE)*100,"")</f>
        <v/>
      </c>
      <c r="I44" s="11" t="str">
        <f>IF($A44="x",IF(Chosen_Scenario="Mitigation Impact Only",VLOOKUP($B44,'[1]4. Coverage Review'!$B$4:$K$78,8,FALSE)*100,VLOOKUP($B44,'[1]4. Coverage Review'!$B$4:$K$78,10,FALSE)*100),"")</f>
        <v/>
      </c>
    </row>
    <row r="45" spans="1:9">
      <c r="A45" s="9" t="str">
        <f>IF(VLOOKUP(B45,'[1]1. Select Services'!$A$6:$E$77,5,FALSE)="x","x","")</f>
        <v>x</v>
      </c>
      <c r="B45" s="13">
        <v>36</v>
      </c>
      <c r="C45" s="13">
        <v>42</v>
      </c>
      <c r="D45" s="35"/>
      <c r="E45" s="36"/>
      <c r="F45" s="28" t="s">
        <v>52</v>
      </c>
      <c r="G45" s="11">
        <f>IF($A45="x",VLOOKUP($B45,'[1]4. Coverage Review'!$B$4:$K$78,5,FALSE)*100,"")</f>
        <v>6.3</v>
      </c>
      <c r="H45" s="11">
        <f>IF($A45="x",VLOOKUP($B45,'[1]4. Coverage Review'!$B$4:$K$78,6,FALSE)*100,"")</f>
        <v>5.4180000000000001</v>
      </c>
      <c r="I45" s="11">
        <f>IF($A45="x",IF(Chosen_Scenario="Mitigation Impact Only",VLOOKUP($B45,'[1]4. Coverage Review'!$B$4:$K$78,8,FALSE)*100,VLOOKUP($B45,'[1]4. Coverage Review'!$B$4:$K$78,10,FALSE)*100),"")</f>
        <v>6.2848800000000002</v>
      </c>
    </row>
    <row r="46" spans="1:9">
      <c r="A46" s="9" t="str">
        <f>IF(VLOOKUP(B46,'[1]1. Select Services'!$A$6:$E$77,5,FALSE)="x","x","")</f>
        <v/>
      </c>
      <c r="B46" s="13">
        <v>37</v>
      </c>
      <c r="C46" s="13">
        <v>43</v>
      </c>
      <c r="D46" s="39"/>
      <c r="E46" s="40"/>
      <c r="F46" s="28" t="s">
        <v>53</v>
      </c>
      <c r="G46" s="11" t="str">
        <f>IF($A46="x",VLOOKUP($B46,'[1]4. Coverage Review'!$B$4:$K$78,5,FALSE)*100,"")</f>
        <v/>
      </c>
      <c r="H46" s="11" t="str">
        <f>IF($A46="x",VLOOKUP($B46,'[1]4. Coverage Review'!$B$4:$K$78,6,FALSE)*100,"")</f>
        <v/>
      </c>
      <c r="I46" s="11" t="str">
        <f>IF($A46="x",IF(Chosen_Scenario="Mitigation Impact Only",VLOOKUP($B46,'[1]4. Coverage Review'!$B$4:$K$78,8,FALSE)*100,VLOOKUP($B46,'[1]4. Coverage Review'!$B$4:$K$78,10,FALSE)*100),"")</f>
        <v/>
      </c>
    </row>
    <row r="47" spans="1:9">
      <c r="A47" s="14"/>
      <c r="B47" s="14"/>
      <c r="C47" s="14"/>
      <c r="D47" s="41" t="s">
        <v>54</v>
      </c>
      <c r="E47" s="42"/>
      <c r="F47" s="42"/>
      <c r="G47" s="14"/>
      <c r="H47" s="14"/>
      <c r="I47" s="14"/>
    </row>
    <row r="48" spans="1:9">
      <c r="A48" s="9"/>
      <c r="B48" s="15"/>
      <c r="C48" s="15"/>
      <c r="D48" s="43" t="s">
        <v>55</v>
      </c>
      <c r="E48" s="43"/>
      <c r="F48" s="44" t="s">
        <v>56</v>
      </c>
      <c r="G48" s="11" t="str">
        <f>IF($A48="x",VLOOKUP($B48,'[1]4. Coverage Review'!$B$4:$K$78,5,FALSE)*100,"")</f>
        <v/>
      </c>
      <c r="H48" s="11" t="str">
        <f>IF($A48="x",VLOOKUP($B48,'[1]4. Coverage Review'!$B$4:$K$78,6,FALSE)*100,"")</f>
        <v/>
      </c>
      <c r="I48" s="11" t="str">
        <f>IF($A48="x",IF(Chosen_Scenario="Mitigation Impact Only",VLOOKUP($B48,'[1]4. Coverage Review'!$B$4:$K$78,8,FALSE)*100,VLOOKUP($B48,'[1]4. Coverage Review'!$B$4:$K$78,10,FALSE)*100),"")</f>
        <v/>
      </c>
    </row>
    <row r="49" spans="1:11">
      <c r="A49" s="9" t="str">
        <f>IF(VLOOKUP(B49,'[1]1. Select Services'!$A$6:$E$77,5,FALSE)="x","x","")</f>
        <v/>
      </c>
      <c r="B49" s="15">
        <v>49</v>
      </c>
      <c r="C49" s="15">
        <v>45</v>
      </c>
      <c r="D49" s="43"/>
      <c r="E49" s="43"/>
      <c r="F49" s="45" t="s">
        <v>57</v>
      </c>
      <c r="G49" s="11" t="str">
        <f>IF($A49="x",VLOOKUP($B49,'[1]4. Coverage Review'!$B$4:$K$78,5,FALSE)*100,"")</f>
        <v/>
      </c>
      <c r="H49" s="11" t="str">
        <f>IF($A49="x",VLOOKUP($B49,'[1]4. Coverage Review'!$B$4:$K$78,6,FALSE)*100,"")</f>
        <v/>
      </c>
      <c r="I49" s="11" t="str">
        <f>IF($A49="x",IF(Chosen_Scenario="Mitigation Impact Only",VLOOKUP($B49,'[1]4. Coverage Review'!$B$4:$K$78,8,FALSE)*100,VLOOKUP($B49,'[1]4. Coverage Review'!$B$4:$K$78,10,FALSE)*100),"")</f>
        <v/>
      </c>
    </row>
    <row r="50" spans="1:11">
      <c r="A50" s="9" t="str">
        <f>IF(VLOOKUP(B50,'[1]1. Select Services'!$A$6:$E$77,5,FALSE)="x","x","")</f>
        <v/>
      </c>
      <c r="B50" s="15">
        <v>50</v>
      </c>
      <c r="C50" s="15">
        <v>46</v>
      </c>
      <c r="D50" s="43"/>
      <c r="E50" s="43"/>
      <c r="F50" s="45" t="s">
        <v>58</v>
      </c>
      <c r="G50" s="11" t="str">
        <f>IF($A50="x",VLOOKUP($B50,'[1]4. Coverage Review'!$B$4:$K$78,5,FALSE)*100,"")</f>
        <v/>
      </c>
      <c r="H50" s="11" t="str">
        <f>IF($A50="x",VLOOKUP($B50,'[1]4. Coverage Review'!$B$4:$K$78,6,FALSE)*100,"")</f>
        <v/>
      </c>
      <c r="I50" s="11" t="str">
        <f>IF($A50="x",IF(Chosen_Scenario="Mitigation Impact Only",VLOOKUP($B50,'[1]4. Coverage Review'!$B$4:$K$78,8,FALSE)*100,VLOOKUP($B50,'[1]4. Coverage Review'!$B$4:$K$78,10,FALSE)*100),"")</f>
        <v/>
      </c>
      <c r="K50" s="20"/>
    </row>
    <row r="51" spans="1:11">
      <c r="A51" s="9" t="str">
        <f>IF(VLOOKUP(B51,'[1]1. Select Services'!$A$6:$E$77,5,FALSE)="x","x","")</f>
        <v>x</v>
      </c>
      <c r="B51" s="15">
        <v>61</v>
      </c>
      <c r="C51" s="15">
        <v>47</v>
      </c>
      <c r="D51" s="43"/>
      <c r="E51" s="43"/>
      <c r="F51" s="45" t="s">
        <v>59</v>
      </c>
      <c r="G51" s="11">
        <f>IF($A51="x",VLOOKUP($B51,'[1]4. Coverage Review'!$B$4:$K$78,5,FALSE)*100,"")</f>
        <v>99</v>
      </c>
      <c r="H51" s="11">
        <f>IF($A51="x",VLOOKUP($B51,'[1]4. Coverage Review'!$B$4:$K$78,6,FALSE)*100,"")</f>
        <v>82.17</v>
      </c>
      <c r="I51" s="11">
        <f>IF($A51="x",IF(Chosen_Scenario="Mitigation Impact Only",VLOOKUP($B51,'[1]4. Coverage Review'!$B$4:$K$78,8,FALSE)*100,VLOOKUP($B51,'[1]4. Coverage Review'!$B$4:$K$78,10,FALSE)*100),"")</f>
        <v>95.3172</v>
      </c>
    </row>
    <row r="52" spans="1:11" ht="14.65" customHeight="1">
      <c r="A52" s="9" t="str">
        <f>IF(VLOOKUP(B52,'[1]1. Select Services'!$A$6:$E$77,5,FALSE)="x","x","")</f>
        <v/>
      </c>
      <c r="B52" s="15">
        <v>62</v>
      </c>
      <c r="C52" s="15">
        <v>48</v>
      </c>
      <c r="D52" s="43"/>
      <c r="E52" s="43"/>
      <c r="F52" s="45" t="s">
        <v>60</v>
      </c>
      <c r="G52" s="11" t="str">
        <f>IF($A52="x",VLOOKUP($B52,'[1]4. Coverage Review'!$B$4:$K$78,5,FALSE)*100,"")</f>
        <v/>
      </c>
      <c r="H52" s="11" t="str">
        <f>IF($A52="x",VLOOKUP($B52,'[1]4. Coverage Review'!$B$4:$K$78,6,FALSE)*100,"")</f>
        <v/>
      </c>
      <c r="I52" s="11" t="str">
        <f>IF($A52="x",IF(Chosen_Scenario="Mitigation Impact Only",VLOOKUP($B52,'[1]4. Coverage Review'!$B$4:$K$78,8,FALSE)*100,VLOOKUP($B52,'[1]4. Coverage Review'!$B$4:$K$78,10,FALSE)*100),"")</f>
        <v/>
      </c>
    </row>
    <row r="53" spans="1:11">
      <c r="A53" s="9"/>
      <c r="B53" s="15"/>
      <c r="C53" s="15"/>
      <c r="D53" s="43"/>
      <c r="E53" s="43"/>
      <c r="F53" s="44" t="s">
        <v>61</v>
      </c>
      <c r="G53" s="11" t="str">
        <f>IF($A53="x",VLOOKUP($B53,'[1]4. Coverage Review'!$B$4:$K$78,5,FALSE)*100,"")</f>
        <v/>
      </c>
      <c r="H53" s="11" t="str">
        <f>IF($A53="x",VLOOKUP($B53,'[1]4. Coverage Review'!$B$4:$K$78,6,FALSE)*100,"")</f>
        <v/>
      </c>
      <c r="I53" s="11" t="str">
        <f>IF($A53="x",IF(Chosen_Scenario="Mitigation Impact Only",VLOOKUP($B53,'[1]4. Coverage Review'!$B$4:$K$78,8,FALSE)*100,VLOOKUP($B53,'[1]4. Coverage Review'!$B$4:$K$78,10,FALSE)*100),"")</f>
        <v/>
      </c>
    </row>
    <row r="54" spans="1:11" ht="14.25" customHeight="1">
      <c r="A54" s="9"/>
      <c r="B54" s="16">
        <v>73</v>
      </c>
      <c r="C54" s="15">
        <v>49</v>
      </c>
      <c r="D54" s="43"/>
      <c r="E54" s="43"/>
      <c r="F54" s="45" t="s">
        <v>62</v>
      </c>
      <c r="G54" s="11" t="str">
        <f>IF($A54="x",VLOOKUP($B54,'[1]4. Coverage Review'!$B$4:$K$78,5,FALSE)*100,"")</f>
        <v/>
      </c>
      <c r="H54" s="11" t="str">
        <f>IF($A54="x",VLOOKUP($B54,'[1]4. Coverage Review'!$B$4:$K$78,6,FALSE)*100,"")</f>
        <v/>
      </c>
      <c r="I54" s="11" t="str">
        <f>IF($A54="x",IF(Chosen_Scenario="Mitigation Impact Only",VLOOKUP($B54,'[1]4. Coverage Review'!$B$4:$K$78,8,FALSE)*100,VLOOKUP($B54,'[1]4. Coverage Review'!$B$4:$K$78,10,FALSE)*100),"")</f>
        <v/>
      </c>
    </row>
    <row r="55" spans="1:11">
      <c r="A55" s="9"/>
      <c r="B55" s="16">
        <v>74</v>
      </c>
      <c r="C55" s="15">
        <v>50</v>
      </c>
      <c r="D55" s="43"/>
      <c r="E55" s="43"/>
      <c r="F55" s="45" t="s">
        <v>63</v>
      </c>
      <c r="G55" s="11" t="str">
        <f>IF($A55="x",VLOOKUP($B55,'[1]4. Coverage Review'!$B$4:$K$78,5,FALSE)*100,"")</f>
        <v/>
      </c>
      <c r="H55" s="11" t="str">
        <f>IF($A55="x",VLOOKUP($B55,'[1]4. Coverage Review'!$B$4:$K$78,6,FALSE)*100,"")</f>
        <v/>
      </c>
      <c r="I55" s="11" t="str">
        <f>IF($A55="x",IF(Chosen_Scenario="Mitigation Impact Only",VLOOKUP($B55,'[1]4. Coverage Review'!$B$4:$K$78,8,FALSE)*100,VLOOKUP($B55,'[1]4. Coverage Review'!$B$4:$K$78,10,FALSE)*100),"")</f>
        <v/>
      </c>
    </row>
    <row r="56" spans="1:11">
      <c r="A56" s="9"/>
      <c r="B56" s="16">
        <v>75</v>
      </c>
      <c r="C56" s="15">
        <v>51</v>
      </c>
      <c r="D56" s="43"/>
      <c r="E56" s="43"/>
      <c r="F56" s="45" t="s">
        <v>64</v>
      </c>
      <c r="G56" s="11" t="str">
        <f>IF($A56="x",VLOOKUP($B56,'[1]4. Coverage Review'!$B$4:$K$78,5,FALSE)*100,"")</f>
        <v/>
      </c>
      <c r="H56" s="11" t="str">
        <f>IF($A56="x",VLOOKUP($B56,'[1]4. Coverage Review'!$B$4:$K$78,6,FALSE)*100,"")</f>
        <v/>
      </c>
      <c r="I56" s="11" t="str">
        <f>IF($A56="x",IF(Chosen_Scenario="Mitigation Impact Only",VLOOKUP($B56,'[1]4. Coverage Review'!$B$4:$K$78,8,FALSE)*100,VLOOKUP($B56,'[1]4. Coverage Review'!$B$4:$K$78,10,FALSE)*100),"")</f>
        <v/>
      </c>
    </row>
    <row r="57" spans="1:11">
      <c r="A57" s="9"/>
      <c r="B57" s="16">
        <v>76</v>
      </c>
      <c r="C57" s="15">
        <v>52</v>
      </c>
      <c r="D57" s="43"/>
      <c r="E57" s="43"/>
      <c r="F57" s="45" t="s">
        <v>65</v>
      </c>
      <c r="G57" s="11" t="str">
        <f>IF($A57="x",VLOOKUP($B57,'[1]4. Coverage Review'!$B$4:$K$78,5,FALSE)*100,"")</f>
        <v/>
      </c>
      <c r="H57" s="11" t="str">
        <f>IF($A57="x",VLOOKUP($B57,'[1]4. Coverage Review'!$B$4:$K$78,6,FALSE)*100,"")</f>
        <v/>
      </c>
      <c r="I57" s="11" t="str">
        <f>IF($A57="x",IF(Chosen_Scenario="Mitigation Impact Only",VLOOKUP($B57,'[1]4. Coverage Review'!$B$4:$K$78,8,FALSE)*100,VLOOKUP($B57,'[1]4. Coverage Review'!$B$4:$K$78,10,FALSE)*100),"")</f>
        <v/>
      </c>
    </row>
    <row r="58" spans="1:11" ht="14.25" customHeight="1">
      <c r="A58" s="9"/>
      <c r="B58" s="16">
        <v>77</v>
      </c>
      <c r="C58" s="15">
        <v>53</v>
      </c>
      <c r="D58" s="43"/>
      <c r="E58" s="43"/>
      <c r="F58" s="45" t="s">
        <v>66</v>
      </c>
      <c r="G58" s="11" t="str">
        <f>IF($A58="x",VLOOKUP($B58,'[1]4. Coverage Review'!$B$4:$K$78,5,FALSE)*100,"")</f>
        <v/>
      </c>
      <c r="H58" s="11" t="str">
        <f>IF($A58="x",VLOOKUP($B58,'[1]4. Coverage Review'!$B$4:$K$78,6,FALSE)*100,"")</f>
        <v/>
      </c>
      <c r="I58" s="11" t="str">
        <f>IF($A58="x",IF(Chosen_Scenario="Mitigation Impact Only",VLOOKUP($B58,'[1]4. Coverage Review'!$B$4:$K$78,8,FALSE)*100,VLOOKUP($B58,'[1]4. Coverage Review'!$B$4:$K$78,10,FALSE)*100),"")</f>
        <v/>
      </c>
    </row>
    <row r="59" spans="1:11">
      <c r="A59" s="9"/>
      <c r="B59" s="17"/>
      <c r="C59" s="15"/>
      <c r="D59" s="43"/>
      <c r="E59" s="43"/>
      <c r="F59" s="44" t="s">
        <v>67</v>
      </c>
      <c r="G59" s="11" t="str">
        <f>IF($A59="x",VLOOKUP($B59,'[1]4. Coverage Review'!$B$4:$K$78,5,FALSE)*100,"")</f>
        <v/>
      </c>
      <c r="H59" s="11" t="str">
        <f>IF($A59="x",VLOOKUP($B59,'[1]4. Coverage Review'!$B$4:$K$78,6,FALSE)*100,"")</f>
        <v/>
      </c>
      <c r="I59" s="11" t="str">
        <f>IF($A59="x",IF(Chosen_Scenario="Mitigation Impact Only",VLOOKUP($B59,'[1]4. Coverage Review'!$B$4:$K$78,8,FALSE)*100,VLOOKUP($B59,'[1]4. Coverage Review'!$B$4:$K$78,10,FALSE)*100),"")</f>
        <v/>
      </c>
    </row>
    <row r="60" spans="1:11">
      <c r="A60" s="9" t="str">
        <f>IF(VLOOKUP(B60,'[1]1. Select Services'!$A$6:$E$77,5,FALSE)="x","x","")</f>
        <v/>
      </c>
      <c r="B60" s="15">
        <v>71</v>
      </c>
      <c r="C60" s="15">
        <v>54</v>
      </c>
      <c r="D60" s="43"/>
      <c r="E60" s="43"/>
      <c r="F60" s="45" t="s">
        <v>68</v>
      </c>
      <c r="G60" s="11" t="str">
        <f>IF($A60="x",VLOOKUP($B60,'[1]4. Coverage Review'!$B$4:$K$78,5,FALSE)*100,"")</f>
        <v/>
      </c>
      <c r="H60" s="11" t="str">
        <f>IF($A60="x",VLOOKUP($B60,'[1]4. Coverage Review'!$B$4:$K$78,6,FALSE)*100,"")</f>
        <v/>
      </c>
      <c r="I60" s="11" t="str">
        <f>IF($A60="x",IF(Chosen_Scenario="Mitigation Impact Only",VLOOKUP($B60,'[1]4. Coverage Review'!$B$4:$K$78,8,FALSE)*100,VLOOKUP($B60,'[1]4. Coverage Review'!$B$4:$K$78,10,FALSE)*100),"")</f>
        <v/>
      </c>
    </row>
    <row r="61" spans="1:11">
      <c r="A61" s="9" t="str">
        <f>IF(VLOOKUP(B61,'[1]1. Select Services'!$A$6:$E$77,5,FALSE)="x","x","")</f>
        <v>x</v>
      </c>
      <c r="B61" s="18">
        <v>51</v>
      </c>
      <c r="C61" s="18">
        <v>55</v>
      </c>
      <c r="D61" s="46" t="s">
        <v>69</v>
      </c>
      <c r="E61" s="46"/>
      <c r="F61" s="45" t="s">
        <v>70</v>
      </c>
      <c r="G61" s="11">
        <f>IF($A61="x",VLOOKUP($B61,'[1]4. Coverage Review'!$B$4:$K$78,5,FALSE)*100,"")</f>
        <v>99</v>
      </c>
      <c r="H61" s="11">
        <f>IF($A61="x",VLOOKUP($B61,'[1]4. Coverage Review'!$B$4:$K$78,6,FALSE)*100,"")</f>
        <v>82.17</v>
      </c>
      <c r="I61" s="11">
        <f>IF($A61="x",IF(Chosen_Scenario="Mitigation Impact Only",VLOOKUP($B61,'[1]4. Coverage Review'!$B$4:$K$78,8,FALSE)*100,VLOOKUP($B61,'[1]4. Coverage Review'!$B$4:$K$78,10,FALSE)*100),"")</f>
        <v>95.3172</v>
      </c>
    </row>
    <row r="62" spans="1:11">
      <c r="A62" s="9" t="str">
        <f>IF(VLOOKUP(B62,'[1]1. Select Services'!$A$6:$E$77,5,FALSE)="x","x","")</f>
        <v>x</v>
      </c>
      <c r="B62" s="18">
        <v>52</v>
      </c>
      <c r="C62" s="18">
        <v>56</v>
      </c>
      <c r="D62" s="46"/>
      <c r="E62" s="46"/>
      <c r="F62" s="45" t="s">
        <v>71</v>
      </c>
      <c r="G62" s="11">
        <f>IF($A62="x",VLOOKUP($B62,'[1]4. Coverage Review'!$B$4:$K$78,5,FALSE)*100,"")</f>
        <v>99</v>
      </c>
      <c r="H62" s="11">
        <f>IF($A62="x",VLOOKUP($B62,'[1]4. Coverage Review'!$B$4:$K$78,6,FALSE)*100,"")</f>
        <v>82.17</v>
      </c>
      <c r="I62" s="11">
        <f>IF($A62="x",IF(Chosen_Scenario="Mitigation Impact Only",VLOOKUP($B62,'[1]4. Coverage Review'!$B$4:$K$78,8,FALSE)*100,VLOOKUP($B62,'[1]4. Coverage Review'!$B$4:$K$78,10,FALSE)*100),"")</f>
        <v>95.3172</v>
      </c>
    </row>
    <row r="63" spans="1:11">
      <c r="A63" s="9"/>
      <c r="B63" s="18"/>
      <c r="C63" s="18"/>
      <c r="D63" s="46"/>
      <c r="E63" s="46"/>
      <c r="F63" s="47" t="s">
        <v>72</v>
      </c>
      <c r="G63" s="11" t="str">
        <f>IF($A63="x",VLOOKUP($B63,'[1]4. Coverage Review'!$B$4:$K$78,5,FALSE)*100,"")</f>
        <v/>
      </c>
      <c r="H63" s="11" t="str">
        <f>IF($A63="x",VLOOKUP($B63,'[1]4. Coverage Review'!$B$4:$K$78,6,FALSE)*100,"")</f>
        <v/>
      </c>
      <c r="I63" s="11" t="str">
        <f>IF($A63="x",IF(Chosen_Scenario="Mitigation Impact Only",VLOOKUP($B63,'[1]4. Coverage Review'!$B$4:$K$78,8,FALSE)*100,VLOOKUP($B63,'[1]4. Coverage Review'!$B$4:$K$78,10,FALSE)*100),"")</f>
        <v/>
      </c>
    </row>
    <row r="64" spans="1:11">
      <c r="A64" s="9" t="str">
        <f>IF(VLOOKUP(B64,'[1]1. Select Services'!$A$6:$E$77,5,FALSE)="x","x","")</f>
        <v>x</v>
      </c>
      <c r="B64" s="18">
        <v>53</v>
      </c>
      <c r="C64" s="18">
        <v>57</v>
      </c>
      <c r="D64" s="46"/>
      <c r="E64" s="46"/>
      <c r="F64" s="48" t="s">
        <v>73</v>
      </c>
      <c r="G64" s="11">
        <f>IF($A64="x",VLOOKUP($B64,'[1]4. Coverage Review'!$B$4:$K$78,5,FALSE)*100,"")</f>
        <v>99</v>
      </c>
      <c r="H64" s="11">
        <f>IF($A64="x",VLOOKUP($B64,'[1]4. Coverage Review'!$B$4:$K$78,6,FALSE)*100,"")</f>
        <v>82.17</v>
      </c>
      <c r="I64" s="11">
        <f>IF($A64="x",IF(Chosen_Scenario="Mitigation Impact Only",VLOOKUP($B64,'[1]4. Coverage Review'!$B$4:$K$78,8,FALSE)*100,VLOOKUP($B64,'[1]4. Coverage Review'!$B$4:$K$78,10,FALSE)*100),"")</f>
        <v>95.3172</v>
      </c>
    </row>
    <row r="65" spans="1:9">
      <c r="A65" s="9" t="str">
        <f>IF(VLOOKUP(B65,'[1]1. Select Services'!$A$6:$E$77,5,FALSE)="x","x","")</f>
        <v>x</v>
      </c>
      <c r="B65" s="18">
        <v>54</v>
      </c>
      <c r="C65" s="18">
        <v>58</v>
      </c>
      <c r="D65" s="46"/>
      <c r="E65" s="46"/>
      <c r="F65" s="48" t="s">
        <v>74</v>
      </c>
      <c r="G65" s="11">
        <f>IF($A65="x",VLOOKUP($B65,'[1]4. Coverage Review'!$B$4:$K$78,5,FALSE)*100,"")</f>
        <v>99</v>
      </c>
      <c r="H65" s="11">
        <f>IF($A65="x",VLOOKUP($B65,'[1]4. Coverage Review'!$B$4:$K$78,6,FALSE)*100,"")</f>
        <v>82.17</v>
      </c>
      <c r="I65" s="11">
        <f>IF($A65="x",IF(Chosen_Scenario="Mitigation Impact Only",VLOOKUP($B65,'[1]4. Coverage Review'!$B$4:$K$78,8,FALSE)*100,VLOOKUP($B65,'[1]4. Coverage Review'!$B$4:$K$78,10,FALSE)*100),"")</f>
        <v>95.3172</v>
      </c>
    </row>
    <row r="66" spans="1:9">
      <c r="A66" s="9" t="str">
        <f>IF(VLOOKUP(B66,'[1]1. Select Services'!$A$6:$E$77,5,FALSE)="x","x","")</f>
        <v>x</v>
      </c>
      <c r="B66" s="18">
        <v>55</v>
      </c>
      <c r="C66" s="18">
        <v>59</v>
      </c>
      <c r="D66" s="46"/>
      <c r="E66" s="46"/>
      <c r="F66" s="48" t="s">
        <v>75</v>
      </c>
      <c r="G66" s="11">
        <f>IF($A66="x",VLOOKUP($B66,'[1]4. Coverage Review'!$B$4:$K$78,5,FALSE)*100,"")</f>
        <v>99</v>
      </c>
      <c r="H66" s="11">
        <f>IF($A66="x",VLOOKUP($B66,'[1]4. Coverage Review'!$B$4:$K$78,6,FALSE)*100,"")</f>
        <v>82.17</v>
      </c>
      <c r="I66" s="11">
        <f>IF($A66="x",IF(Chosen_Scenario="Mitigation Impact Only",VLOOKUP($B66,'[1]4. Coverage Review'!$B$4:$K$78,8,FALSE)*100,VLOOKUP($B66,'[1]4. Coverage Review'!$B$4:$K$78,10,FALSE)*100),"")</f>
        <v>95.3172</v>
      </c>
    </row>
    <row r="67" spans="1:9">
      <c r="A67" s="9" t="str">
        <f>IF(VLOOKUP(B67,'[1]1. Select Services'!$A$6:$E$77,5,FALSE)="x","x","")</f>
        <v>x</v>
      </c>
      <c r="B67" s="18">
        <v>56</v>
      </c>
      <c r="C67" s="18">
        <v>60</v>
      </c>
      <c r="D67" s="46"/>
      <c r="E67" s="46"/>
      <c r="F67" s="45" t="s">
        <v>76</v>
      </c>
      <c r="G67" s="11">
        <f>IF($A67="x",VLOOKUP($B67,'[1]4. Coverage Review'!$B$4:$K$78,5,FALSE)*100,"")</f>
        <v>99</v>
      </c>
      <c r="H67" s="11">
        <f>IF($A67="x",VLOOKUP($B67,'[1]4. Coverage Review'!$B$4:$K$78,6,FALSE)*100,"")</f>
        <v>82.17</v>
      </c>
      <c r="I67" s="11">
        <f>IF($A67="x",IF(Chosen_Scenario="Mitigation Impact Only",VLOOKUP($B67,'[1]4. Coverage Review'!$B$4:$K$78,8,FALSE)*100,VLOOKUP($B67,'[1]4. Coverage Review'!$B$4:$K$78,10,FALSE)*100),"")</f>
        <v>95.3172</v>
      </c>
    </row>
    <row r="68" spans="1:9">
      <c r="A68" s="9" t="str">
        <f>IF(VLOOKUP(B68,'[1]1. Select Services'!$A$6:$E$77,5,FALSE)="x","x","")</f>
        <v>x</v>
      </c>
      <c r="B68" s="18">
        <v>57</v>
      </c>
      <c r="C68" s="18">
        <v>61</v>
      </c>
      <c r="D68" s="46"/>
      <c r="E68" s="46"/>
      <c r="F68" s="45" t="s">
        <v>77</v>
      </c>
      <c r="G68" s="11">
        <f>IF($A68="x",VLOOKUP($B68,'[1]4. Coverage Review'!$B$4:$K$78,5,FALSE)*100,"")</f>
        <v>99</v>
      </c>
      <c r="H68" s="11">
        <f>IF($A68="x",VLOOKUP($B68,'[1]4. Coverage Review'!$B$4:$K$78,6,FALSE)*100,"")</f>
        <v>82.17</v>
      </c>
      <c r="I68" s="11">
        <f>IF($A68="x",IF(Chosen_Scenario="Mitigation Impact Only",VLOOKUP($B68,'[1]4. Coverage Review'!$B$4:$K$78,8,FALSE)*100,VLOOKUP($B68,'[1]4. Coverage Review'!$B$4:$K$78,10,FALSE)*100),"")</f>
        <v>95.3172</v>
      </c>
    </row>
    <row r="69" spans="1:9">
      <c r="A69" s="9" t="str">
        <f>IF(VLOOKUP(B69,'[1]1. Select Services'!$A$6:$E$77,5,FALSE)="x","x","")</f>
        <v/>
      </c>
      <c r="B69" s="18">
        <v>58</v>
      </c>
      <c r="C69" s="18">
        <v>62</v>
      </c>
      <c r="D69" s="46"/>
      <c r="E69" s="46"/>
      <c r="F69" s="45" t="s">
        <v>78</v>
      </c>
      <c r="G69" s="11" t="str">
        <f>IF($A69="x",VLOOKUP($B69,'[1]4. Coverage Review'!$B$4:$K$78,5,FALSE)*100,"")</f>
        <v/>
      </c>
      <c r="H69" s="11" t="str">
        <f>IF($A69="x",VLOOKUP($B69,'[1]4. Coverage Review'!$B$4:$K$78,6,FALSE)*100,"")</f>
        <v/>
      </c>
      <c r="I69" s="11" t="str">
        <f>IF($A69="x",IF(Chosen_Scenario="Mitigation Impact Only",VLOOKUP($B69,'[1]4. Coverage Review'!$B$4:$K$78,8,FALSE)*100,VLOOKUP($B69,'[1]4. Coverage Review'!$B$4:$K$78,10,FALSE)*100),"")</f>
        <v/>
      </c>
    </row>
    <row r="70" spans="1:9">
      <c r="A70" s="9" t="str">
        <f>IF(VLOOKUP(B70,'[1]1. Select Services'!$A$6:$E$77,5,FALSE)="x","x","")</f>
        <v/>
      </c>
      <c r="B70" s="18">
        <v>59</v>
      </c>
      <c r="C70" s="18">
        <v>63</v>
      </c>
      <c r="D70" s="46"/>
      <c r="E70" s="46"/>
      <c r="F70" s="45" t="s">
        <v>79</v>
      </c>
      <c r="G70" s="11" t="str">
        <f>IF($A70="x",VLOOKUP($B70,'[1]4. Coverage Review'!$B$4:$K$78,5,FALSE)*100,"")</f>
        <v/>
      </c>
      <c r="H70" s="11" t="str">
        <f>IF($A70="x",VLOOKUP($B70,'[1]4. Coverage Review'!$B$4:$K$78,6,FALSE)*100,"")</f>
        <v/>
      </c>
      <c r="I70" s="11" t="str">
        <f>IF($A70="x",IF(Chosen_Scenario="Mitigation Impact Only",VLOOKUP($B70,'[1]4. Coverage Review'!$B$4:$K$78,8,FALSE)*100,VLOOKUP($B70,'[1]4. Coverage Review'!$B$4:$K$78,10,FALSE)*100),"")</f>
        <v/>
      </c>
    </row>
    <row r="71" spans="1:9">
      <c r="A71" s="9" t="str">
        <f>IF(VLOOKUP(B71,'[1]1. Select Services'!$A$6:$E$77,5,FALSE)="x","x","")</f>
        <v>x</v>
      </c>
      <c r="B71" s="18">
        <v>60</v>
      </c>
      <c r="C71" s="18">
        <v>64</v>
      </c>
      <c r="D71" s="46"/>
      <c r="E71" s="46"/>
      <c r="F71" s="45" t="s">
        <v>80</v>
      </c>
      <c r="G71" s="11">
        <f>IF($A71="x",VLOOKUP($B71,'[1]4. Coverage Review'!$B$4:$K$78,5,FALSE)*100,"")</f>
        <v>99</v>
      </c>
      <c r="H71" s="11">
        <f>IF($A71="x",VLOOKUP($B71,'[1]4. Coverage Review'!$B$4:$K$78,6,FALSE)*100,"")</f>
        <v>82.17</v>
      </c>
      <c r="I71" s="11">
        <f>IF($A71="x",IF(Chosen_Scenario="Mitigation Impact Only",VLOOKUP($B71,'[1]4. Coverage Review'!$B$4:$K$78,8,FALSE)*100,VLOOKUP($B71,'[1]4. Coverage Review'!$B$4:$K$78,10,FALSE)*100),"")</f>
        <v>95.3172</v>
      </c>
    </row>
    <row r="72" spans="1:9">
      <c r="A72" s="9"/>
      <c r="B72" s="21"/>
      <c r="C72" s="21"/>
      <c r="D72" s="43" t="s">
        <v>81</v>
      </c>
      <c r="E72" s="43"/>
      <c r="F72" s="49" t="s">
        <v>82</v>
      </c>
      <c r="G72" s="11" t="str">
        <f>IF($A72="x",VLOOKUP($B72,'[1]4. Coverage Review'!$B$4:$K$78,5,FALSE)*100,"")</f>
        <v/>
      </c>
      <c r="H72" s="11" t="str">
        <f>IF($A72="x",VLOOKUP($B72,'[1]4. Coverage Review'!$B$4:$K$78,6,FALSE)*100,"")</f>
        <v/>
      </c>
      <c r="I72" s="11" t="str">
        <f>IF($A72="x",IF(Chosen_Scenario="Mitigation Impact Only",VLOOKUP($B72,'[1]4. Coverage Review'!$B$4:$K$78,8,FALSE)*100,VLOOKUP($B72,'[1]4. Coverage Review'!$B$4:$K$78,10,FALSE)*100),"")</f>
        <v/>
      </c>
    </row>
    <row r="73" spans="1:9">
      <c r="A73" s="9" t="str">
        <f>IF(VLOOKUP(B73,'[1]1. Select Services'!$A$6:$E$77,5,FALSE)="x","x","")</f>
        <v/>
      </c>
      <c r="B73" s="21">
        <v>33</v>
      </c>
      <c r="C73" s="21">
        <v>65</v>
      </c>
      <c r="D73" s="43"/>
      <c r="E73" s="43"/>
      <c r="F73" s="45" t="s">
        <v>83</v>
      </c>
      <c r="G73" s="11" t="str">
        <f>IF($A73="x",VLOOKUP($B73,'[1]4. Coverage Review'!$B$4:$K$78,5,FALSE)*100,"")</f>
        <v/>
      </c>
      <c r="H73" s="11" t="str">
        <f>IF($A73="x",VLOOKUP($B73,'[1]4. Coverage Review'!$B$4:$K$78,6,FALSE)*100,"")</f>
        <v/>
      </c>
      <c r="I73" s="11" t="str">
        <f>IF($A73="x",IF(Chosen_Scenario="Mitigation Impact Only",VLOOKUP($B73,'[1]4. Coverage Review'!$B$4:$K$78,8,FALSE)*100,VLOOKUP($B73,'[1]4. Coverage Review'!$B$4:$K$78,10,FALSE)*100),"")</f>
        <v/>
      </c>
    </row>
    <row r="74" spans="1:9">
      <c r="A74" s="9"/>
      <c r="B74" s="21"/>
      <c r="C74" s="21"/>
      <c r="D74" s="43"/>
      <c r="E74" s="43"/>
      <c r="F74" s="49" t="s">
        <v>84</v>
      </c>
      <c r="G74" s="11" t="str">
        <f>IF($A74="x",VLOOKUP($B74,'[1]4. Coverage Review'!$B$4:$K$78,5,FALSE)*100,"")</f>
        <v/>
      </c>
      <c r="H74" s="11" t="str">
        <f>IF($A74="x",VLOOKUP($B74,'[1]4. Coverage Review'!$B$4:$K$78,6,FALSE)*100,"")</f>
        <v/>
      </c>
      <c r="I74" s="11" t="str">
        <f>IF($A74="x",IF(Chosen_Scenario="Mitigation Impact Only",VLOOKUP($B74,'[1]4. Coverage Review'!$B$4:$K$78,8,FALSE)*100,VLOOKUP($B74,'[1]4. Coverage Review'!$B$4:$K$78,10,FALSE)*100),"")</f>
        <v/>
      </c>
    </row>
    <row r="75" spans="1:9">
      <c r="A75" s="9"/>
      <c r="B75" s="21"/>
      <c r="C75" s="21"/>
      <c r="D75" s="43"/>
      <c r="E75" s="43"/>
      <c r="F75" s="47" t="s">
        <v>85</v>
      </c>
      <c r="G75" s="11" t="str">
        <f>IF($A75="x",VLOOKUP($B75,'[1]4. Coverage Review'!$B$4:$K$78,5,FALSE)*100,"")</f>
        <v/>
      </c>
      <c r="H75" s="11" t="str">
        <f>IF($A75="x",VLOOKUP($B75,'[1]4. Coverage Review'!$B$4:$K$78,6,FALSE)*100,"")</f>
        <v/>
      </c>
      <c r="I75" s="11" t="str">
        <f>IF($A75="x",IF(Chosen_Scenario="Mitigation Impact Only",VLOOKUP($B75,'[1]4. Coverage Review'!$B$4:$K$78,8,FALSE)*100,VLOOKUP($B75,'[1]4. Coverage Review'!$B$4:$K$78,10,FALSE)*100),"")</f>
        <v/>
      </c>
    </row>
    <row r="76" spans="1:9" ht="14.25" customHeight="1">
      <c r="A76" s="9" t="str">
        <f>IF(VLOOKUP(B76,'[1]1. Select Services'!$A$6:$E$77,5,FALSE)="x","x","")</f>
        <v/>
      </c>
      <c r="B76" s="21">
        <v>43</v>
      </c>
      <c r="C76" s="21">
        <v>66</v>
      </c>
      <c r="D76" s="43"/>
      <c r="E76" s="43"/>
      <c r="F76" s="48" t="s">
        <v>86</v>
      </c>
      <c r="G76" s="11" t="str">
        <f>IF($A76="x",VLOOKUP($B76,'[1]4. Coverage Review'!$B$4:$K$78,5,FALSE)*100,"")</f>
        <v/>
      </c>
      <c r="H76" s="11" t="str">
        <f>IF($A76="x",VLOOKUP($B76,'[1]4. Coverage Review'!$B$4:$K$78,6,FALSE)*100,"")</f>
        <v/>
      </c>
      <c r="I76" s="11" t="str">
        <f>IF($A76="x",IF(Chosen_Scenario="Mitigation Impact Only",VLOOKUP($B76,'[1]4. Coverage Review'!$B$4:$K$78,8,FALSE)*100,VLOOKUP($B76,'[1]4. Coverage Review'!$B$4:$K$78,10,FALSE)*100),"")</f>
        <v/>
      </c>
    </row>
    <row r="77" spans="1:9">
      <c r="A77" s="9" t="str">
        <f>IF(VLOOKUP(B77,'[1]1. Select Services'!$A$6:$E$77,5,FALSE)="x","x","")</f>
        <v/>
      </c>
      <c r="B77" s="21">
        <v>44</v>
      </c>
      <c r="C77" s="21">
        <v>67</v>
      </c>
      <c r="D77" s="43"/>
      <c r="E77" s="43"/>
      <c r="F77" s="48" t="s">
        <v>87</v>
      </c>
      <c r="G77" s="11" t="str">
        <f>IF($A77="x",VLOOKUP($B77,'[1]4. Coverage Review'!$B$4:$K$78,5,FALSE)*100,"")</f>
        <v/>
      </c>
      <c r="H77" s="11" t="str">
        <f>IF($A77="x",VLOOKUP($B77,'[1]4. Coverage Review'!$B$4:$K$78,6,FALSE)*100,"")</f>
        <v/>
      </c>
      <c r="I77" s="11" t="str">
        <f>IF($A77="x",IF(Chosen_Scenario="Mitigation Impact Only",VLOOKUP($B77,'[1]4. Coverage Review'!$B$4:$K$78,8,FALSE)*100,VLOOKUP($B77,'[1]4. Coverage Review'!$B$4:$K$78,10,FALSE)*100),"")</f>
        <v/>
      </c>
    </row>
    <row r="78" spans="1:9">
      <c r="A78" s="9"/>
      <c r="B78" s="21"/>
      <c r="C78" s="21"/>
      <c r="D78" s="43"/>
      <c r="E78" s="43"/>
      <c r="F78" s="47" t="s">
        <v>88</v>
      </c>
      <c r="G78" s="11" t="str">
        <f>IF($A78="x",VLOOKUP($B78,'[1]4. Coverage Review'!$B$4:$K$78,5,FALSE)*100,"")</f>
        <v/>
      </c>
      <c r="H78" s="11" t="str">
        <f>IF($A78="x",VLOOKUP($B78,'[1]4. Coverage Review'!$B$4:$K$78,6,FALSE)*100,"")</f>
        <v/>
      </c>
      <c r="I78" s="11" t="str">
        <f>IF($A78="x",IF(Chosen_Scenario="Mitigation Impact Only",VLOOKUP($B78,'[1]4. Coverage Review'!$B$4:$K$78,8,FALSE)*100,VLOOKUP($B78,'[1]4. Coverage Review'!$B$4:$K$78,10,FALSE)*100),"")</f>
        <v/>
      </c>
    </row>
    <row r="79" spans="1:9">
      <c r="A79" s="9" t="str">
        <f>IF(VLOOKUP(B79,'[1]1. Select Services'!$A$6:$E$77,5,FALSE)="x","x","")</f>
        <v/>
      </c>
      <c r="B79" s="21">
        <v>45</v>
      </c>
      <c r="C79" s="21">
        <v>68</v>
      </c>
      <c r="D79" s="43"/>
      <c r="E79" s="43"/>
      <c r="F79" s="48" t="s">
        <v>89</v>
      </c>
      <c r="G79" s="11" t="str">
        <f>IF($A79="x",VLOOKUP($B79,'[1]4. Coverage Review'!$B$4:$K$78,5,FALSE)*100,"")</f>
        <v/>
      </c>
      <c r="H79" s="11" t="str">
        <f>IF($A79="x",VLOOKUP($B79,'[1]4. Coverage Review'!$B$4:$K$78,6,FALSE)*100,"")</f>
        <v/>
      </c>
      <c r="I79" s="11" t="str">
        <f>IF($A79="x",IF(Chosen_Scenario="Mitigation Impact Only",VLOOKUP($B79,'[1]4. Coverage Review'!$B$4:$K$78,8,FALSE)*100,VLOOKUP($B79,'[1]4. Coverage Review'!$B$4:$K$78,10,FALSE)*100),"")</f>
        <v/>
      </c>
    </row>
    <row r="80" spans="1:9">
      <c r="A80" s="9" t="str">
        <f>IF(VLOOKUP(B80,'[1]1. Select Services'!$A$6:$E$77,5,FALSE)="x","x","")</f>
        <v>x</v>
      </c>
      <c r="B80" s="21">
        <v>46</v>
      </c>
      <c r="C80" s="21">
        <v>69</v>
      </c>
      <c r="D80" s="43"/>
      <c r="E80" s="43"/>
      <c r="F80" s="48" t="s">
        <v>90</v>
      </c>
      <c r="G80" s="11">
        <f>IF($A80="x",VLOOKUP($B80,'[1]4. Coverage Review'!$B$4:$K$78,5,FALSE)*100,"")</f>
        <v>72.7</v>
      </c>
      <c r="H80" s="11">
        <f>IF($A80="x",VLOOKUP($B80,'[1]4. Coverage Review'!$B$4:$K$78,6,FALSE)*100,"")</f>
        <v>61.067999999999998</v>
      </c>
      <c r="I80" s="11">
        <f>IF($A80="x",IF(Chosen_Scenario="Mitigation Impact Only",VLOOKUP($B80,'[1]4. Coverage Review'!$B$4:$K$78,8,FALSE)*100,VLOOKUP($B80,'[1]4. Coverage Review'!$B$4:$K$78,10,FALSE)*100),"")</f>
        <v>70.838880000000003</v>
      </c>
    </row>
    <row r="81" spans="1:9">
      <c r="A81" s="9" t="str">
        <f>IF(VLOOKUP(B81,'[1]1. Select Services'!$A$6:$E$77,5,FALSE)="x","x","")</f>
        <v/>
      </c>
      <c r="B81" s="21">
        <v>47</v>
      </c>
      <c r="C81" s="21">
        <v>70</v>
      </c>
      <c r="D81" s="43"/>
      <c r="E81" s="43"/>
      <c r="F81" s="48" t="s">
        <v>91</v>
      </c>
      <c r="G81" s="11" t="str">
        <f>IF($A81="x",VLOOKUP($B81,'[1]4. Coverage Review'!$B$4:$K$78,5,FALSE)*100,"")</f>
        <v/>
      </c>
      <c r="H81" s="11" t="str">
        <f>IF($A81="x",VLOOKUP($B81,'[1]4. Coverage Review'!$B$4:$K$78,6,FALSE)*100,"")</f>
        <v/>
      </c>
      <c r="I81" s="11" t="str">
        <f>IF($A81="x",IF(Chosen_Scenario="Mitigation Impact Only",VLOOKUP($B81,'[1]4. Coverage Review'!$B$4:$K$78,8,FALSE)*100,VLOOKUP($B81,'[1]4. Coverage Review'!$B$4:$K$78,10,FALSE)*100),"")</f>
        <v/>
      </c>
    </row>
    <row r="82" spans="1:9">
      <c r="A82" s="9"/>
      <c r="B82" s="21"/>
      <c r="C82" s="21"/>
      <c r="D82" s="43"/>
      <c r="E82" s="43"/>
      <c r="F82" s="49" t="s">
        <v>92</v>
      </c>
      <c r="G82" s="11" t="str">
        <f>IF($A82="x",VLOOKUP($B82,'[1]4. Coverage Review'!$B$4:$K$78,5,FALSE)*100,"")</f>
        <v/>
      </c>
      <c r="H82" s="11" t="str">
        <f>IF($A82="x",VLOOKUP($B82,'[1]4. Coverage Review'!$B$4:$K$78,6,FALSE)*100,"")</f>
        <v/>
      </c>
      <c r="I82" s="11" t="str">
        <f>IF($A82="x",IF(Chosen_Scenario="Mitigation Impact Only",VLOOKUP($B82,'[1]4. Coverage Review'!$B$4:$K$78,8,FALSE)*100,VLOOKUP($B82,'[1]4. Coverage Review'!$B$4:$K$78,10,FALSE)*100),"")</f>
        <v/>
      </c>
    </row>
    <row r="83" spans="1:9">
      <c r="A83" s="9" t="str">
        <f>IF(VLOOKUP(B83,'[1]1. Select Services'!$A$6:$E$77,5,FALSE)="x","x","")</f>
        <v>x</v>
      </c>
      <c r="B83" s="21">
        <v>63</v>
      </c>
      <c r="C83" s="21">
        <v>71</v>
      </c>
      <c r="D83" s="43"/>
      <c r="E83" s="43"/>
      <c r="F83" s="50" t="s">
        <v>93</v>
      </c>
      <c r="G83" s="11">
        <f>IF($A83="x",VLOOKUP($B83,'[1]4. Coverage Review'!$B$4:$K$78,5,FALSE)*100,"")</f>
        <v>22.9</v>
      </c>
      <c r="H83" s="11">
        <f>IF($A83="x",VLOOKUP($B83,'[1]4. Coverage Review'!$B$4:$K$78,6,FALSE)*100,"")</f>
        <v>19.007000000000001</v>
      </c>
      <c r="I83" s="11">
        <f>IF($A83="x",IF(Chosen_Scenario="Mitigation Impact Only",VLOOKUP($B83,'[1]4. Coverage Review'!$B$4:$K$78,8,FALSE)*100,VLOOKUP($B83,'[1]4. Coverage Review'!$B$4:$K$78,10,FALSE)*100),"")</f>
        <v>22.048120000000001</v>
      </c>
    </row>
    <row r="84" spans="1:9">
      <c r="A84" s="9" t="str">
        <f>IF(VLOOKUP(B84,'[1]1. Select Services'!$A$6:$E$77,5,FALSE)="x","x","")</f>
        <v/>
      </c>
      <c r="B84" s="21">
        <v>64</v>
      </c>
      <c r="C84" s="21">
        <v>72</v>
      </c>
      <c r="D84" s="43"/>
      <c r="E84" s="43"/>
      <c r="F84" s="50" t="s">
        <v>94</v>
      </c>
      <c r="G84" s="11" t="str">
        <f>IF($A84="x",VLOOKUP($B84,'[1]4. Coverage Review'!$B$4:$K$78,5,FALSE)*100,"")</f>
        <v/>
      </c>
      <c r="H84" s="11" t="str">
        <f>IF($A84="x",VLOOKUP($B84,'[1]4. Coverage Review'!$B$4:$K$78,6,FALSE)*100,"")</f>
        <v/>
      </c>
      <c r="I84" s="11" t="str">
        <f>IF($A84="x",IF(Chosen_Scenario="Mitigation Impact Only",VLOOKUP($B84,'[1]4. Coverage Review'!$B$4:$K$78,8,FALSE)*100,VLOOKUP($B84,'[1]4. Coverage Review'!$B$4:$K$78,10,FALSE)*100),"")</f>
        <v/>
      </c>
    </row>
    <row r="85" spans="1:9">
      <c r="A85" s="9" t="str">
        <f>IF(VLOOKUP(B85,'[1]1. Select Services'!$A$6:$E$77,5,FALSE)="x","x","")</f>
        <v/>
      </c>
      <c r="B85" s="21">
        <v>65</v>
      </c>
      <c r="C85" s="21">
        <v>73</v>
      </c>
      <c r="D85" s="43"/>
      <c r="E85" s="43"/>
      <c r="F85" s="50" t="s">
        <v>95</v>
      </c>
      <c r="G85" s="11" t="str">
        <f>IF($A85="x",VLOOKUP($B85,'[1]4. Coverage Review'!$B$4:$K$78,5,FALSE)*100,"")</f>
        <v/>
      </c>
      <c r="H85" s="11" t="str">
        <f>IF($A85="x",VLOOKUP($B85,'[1]4. Coverage Review'!$B$4:$K$78,6,FALSE)*100,"")</f>
        <v/>
      </c>
      <c r="I85" s="11" t="str">
        <f>IF($A85="x",IF(Chosen_Scenario="Mitigation Impact Only",VLOOKUP($B85,'[1]4. Coverage Review'!$B$4:$K$78,8,FALSE)*100,VLOOKUP($B85,'[1]4. Coverage Review'!$B$4:$K$78,10,FALSE)*100),"")</f>
        <v/>
      </c>
    </row>
    <row r="86" spans="1:9">
      <c r="A86" s="9"/>
      <c r="B86" s="21"/>
      <c r="C86" s="21"/>
      <c r="D86" s="43"/>
      <c r="E86" s="43"/>
      <c r="F86" s="51" t="s">
        <v>96</v>
      </c>
      <c r="G86" s="11" t="str">
        <f>IF($A86="x",VLOOKUP($B86,'[1]4. Coverage Review'!$B$4:$K$78,5,FALSE)*100,"")</f>
        <v/>
      </c>
      <c r="H86" s="11" t="str">
        <f>IF($A86="x",VLOOKUP($B86,'[1]4. Coverage Review'!$B$4:$K$78,6,FALSE)*100,"")</f>
        <v/>
      </c>
      <c r="I86" s="11" t="str">
        <f>IF($A86="x",IF(Chosen_Scenario="Mitigation Impact Only",VLOOKUP($B86,'[1]4. Coverage Review'!$B$4:$K$78,8,FALSE)*100,VLOOKUP($B86,'[1]4. Coverage Review'!$B$4:$K$78,10,FALSE)*100),"")</f>
        <v/>
      </c>
    </row>
    <row r="87" spans="1:9">
      <c r="A87" s="9" t="str">
        <f>IF(VLOOKUP(B87,'[1]1. Select Services'!$A$6:$E$77,5,FALSE)="x","x","")</f>
        <v/>
      </c>
      <c r="B87" s="21">
        <v>66</v>
      </c>
      <c r="C87" s="21">
        <v>74</v>
      </c>
      <c r="D87" s="43"/>
      <c r="E87" s="43"/>
      <c r="F87" s="50" t="s">
        <v>97</v>
      </c>
      <c r="G87" s="11" t="str">
        <f>IF($A87="x",VLOOKUP($B87,'[1]4. Coverage Review'!$B$4:$K$78,5,FALSE)*100,"")</f>
        <v/>
      </c>
      <c r="H87" s="11" t="str">
        <f>IF($A87="x",VLOOKUP($B87,'[1]4. Coverage Review'!$B$4:$K$78,6,FALSE)*100,"")</f>
        <v/>
      </c>
      <c r="I87" s="11" t="str">
        <f>IF($A87="x",IF(Chosen_Scenario="Mitigation Impact Only",VLOOKUP($B87,'[1]4. Coverage Review'!$B$4:$K$78,8,FALSE)*100,VLOOKUP($B87,'[1]4. Coverage Review'!$B$4:$K$78,10,FALSE)*100),"")</f>
        <v/>
      </c>
    </row>
    <row r="88" spans="1:9">
      <c r="A88" s="9" t="str">
        <f>IF(VLOOKUP(B88,'[1]1. Select Services'!$A$6:$E$77,5,FALSE)="x","x","")</f>
        <v>x</v>
      </c>
      <c r="B88" s="21">
        <v>67</v>
      </c>
      <c r="C88" s="21">
        <v>75</v>
      </c>
      <c r="D88" s="43"/>
      <c r="E88" s="43"/>
      <c r="F88" s="50" t="s">
        <v>98</v>
      </c>
      <c r="G88" s="11">
        <f>IF($A88="x",VLOOKUP($B88,'[1]4. Coverage Review'!$B$4:$K$78,5,FALSE)*100,"")</f>
        <v>99</v>
      </c>
      <c r="H88" s="11">
        <f>IF($A88="x",VLOOKUP($B88,'[1]4. Coverage Review'!$B$4:$K$78,6,FALSE)*100,"")</f>
        <v>82.17</v>
      </c>
      <c r="I88" s="11">
        <f>IF($A88="x",IF(Chosen_Scenario="Mitigation Impact Only",VLOOKUP($B88,'[1]4. Coverage Review'!$B$4:$K$78,8,FALSE)*100,VLOOKUP($B88,'[1]4. Coverage Review'!$B$4:$K$78,10,FALSE)*100),"")</f>
        <v>95.3172</v>
      </c>
    </row>
    <row r="89" spans="1:9">
      <c r="A89" s="9" t="str">
        <f>IF(VLOOKUP(B89,'[1]1. Select Services'!$A$6:$E$77,5,FALSE)="x","x","")</f>
        <v/>
      </c>
      <c r="B89" s="21">
        <v>68</v>
      </c>
      <c r="C89" s="21">
        <v>76</v>
      </c>
      <c r="D89" s="43"/>
      <c r="E89" s="43"/>
      <c r="F89" s="50" t="s">
        <v>99</v>
      </c>
      <c r="G89" s="11" t="str">
        <f>IF($A89="x",VLOOKUP($B89,'[1]4. Coverage Review'!$B$4:$K$78,5,FALSE)*100,"")</f>
        <v/>
      </c>
      <c r="H89" s="11" t="str">
        <f>IF($A89="x",VLOOKUP($B89,'[1]4. Coverage Review'!$B$4:$K$78,6,FALSE)*100,"")</f>
        <v/>
      </c>
      <c r="I89" s="11" t="str">
        <f>IF($A89="x",IF(Chosen_Scenario="Mitigation Impact Only",VLOOKUP($B89,'[1]4. Coverage Review'!$B$4:$K$78,8,FALSE)*100,VLOOKUP($B89,'[1]4. Coverage Review'!$B$4:$K$78,10,FALSE)*100),"")</f>
        <v/>
      </c>
    </row>
    <row r="90" spans="1:9">
      <c r="A90" s="9"/>
      <c r="B90" s="21"/>
      <c r="C90" s="21"/>
      <c r="D90" s="43"/>
      <c r="E90" s="43"/>
      <c r="F90" s="51" t="s">
        <v>100</v>
      </c>
      <c r="G90" s="11" t="str">
        <f>IF($A90="x",VLOOKUP($B90,'[1]4. Coverage Review'!$B$4:$K$78,5,FALSE)*100,"")</f>
        <v/>
      </c>
      <c r="H90" s="11" t="str">
        <f>IF($A90="x",VLOOKUP($B90,'[1]4. Coverage Review'!$B$4:$K$78,6,FALSE)*100,"")</f>
        <v/>
      </c>
      <c r="I90" s="11" t="str">
        <f>IF($A90="x",IF(Chosen_Scenario="Mitigation Impact Only",VLOOKUP($B90,'[1]4. Coverage Review'!$B$4:$K$78,8,FALSE)*100,VLOOKUP($B90,'[1]4. Coverage Review'!$B$4:$K$78,10,FALSE)*100),"")</f>
        <v/>
      </c>
    </row>
    <row r="91" spans="1:9">
      <c r="A91" s="9" t="str">
        <f>IF(VLOOKUP(B91,'[1]1. Select Services'!$A$6:$E$77,5,FALSE)="x","x","")</f>
        <v/>
      </c>
      <c r="B91" s="21">
        <v>69</v>
      </c>
      <c r="C91" s="21">
        <v>77</v>
      </c>
      <c r="D91" s="43"/>
      <c r="E91" s="43"/>
      <c r="F91" s="50" t="s">
        <v>101</v>
      </c>
      <c r="G91" s="11" t="str">
        <f>IF($A91="x",VLOOKUP($B91,'[1]4. Coverage Review'!$B$4:$K$78,5,FALSE)*100,"")</f>
        <v/>
      </c>
      <c r="H91" s="11" t="str">
        <f>IF($A91="x",VLOOKUP($B91,'[1]4. Coverage Review'!$B$4:$K$78,6,FALSE)*100,"")</f>
        <v/>
      </c>
      <c r="I91" s="11" t="str">
        <f>IF($A91="x",IF(Chosen_Scenario="Mitigation Impact Only",VLOOKUP($B91,'[1]4. Coverage Review'!$B$4:$K$78,8,FALSE)*100,VLOOKUP($B91,'[1]4. Coverage Review'!$B$4:$K$78,10,FALSE)*100),"")</f>
        <v/>
      </c>
    </row>
    <row r="92" spans="1:9">
      <c r="A92" s="9" t="str">
        <f>IF(VLOOKUP(B92,'[1]1. Select Services'!$A$6:$E$77,5,FALSE)="x","x","")</f>
        <v/>
      </c>
      <c r="B92" s="21">
        <v>70</v>
      </c>
      <c r="C92" s="21">
        <v>78</v>
      </c>
      <c r="D92" s="43"/>
      <c r="E92" s="43"/>
      <c r="F92" s="50" t="s">
        <v>102</v>
      </c>
      <c r="G92" s="11" t="str">
        <f>IF($A92="x",VLOOKUP($B92,'[1]4. Coverage Review'!$B$4:$K$78,5,FALSE)*100,"")</f>
        <v/>
      </c>
      <c r="H92" s="11" t="str">
        <f>IF($A92="x",VLOOKUP($B92,'[1]4. Coverage Review'!$B$4:$K$78,6,FALSE)*100,"")</f>
        <v/>
      </c>
      <c r="I92" s="11" t="str">
        <f>IF($A92="x",IF(Chosen_Scenario="Mitigation Impact Only",VLOOKUP($B92,'[1]4. Coverage Review'!$B$4:$K$78,8,FALSE)*100,VLOOKUP($B92,'[1]4. Coverage Review'!$B$4:$K$78,10,FALSE)*100),"")</f>
        <v/>
      </c>
    </row>
    <row r="95" spans="1:9">
      <c r="G95" s="22"/>
    </row>
  </sheetData>
  <mergeCells count="6">
    <mergeCell ref="D72:E92"/>
    <mergeCell ref="D5:E9"/>
    <mergeCell ref="D10:E26"/>
    <mergeCell ref="D27:E46"/>
    <mergeCell ref="D48:E60"/>
    <mergeCell ref="D61:E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2024-11-19T07:12:00Z</dcterms:created>
  <dcterms:modified xsi:type="dcterms:W3CDTF">2025-12-10T05:50:21Z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89C2D2E6516F434283AEB56E8F534BD7_11</vt:lpwstr>
  </property>
  <property fmtid="{D5CDD505-2E9C-101B-9397-08002B2CF9AE}" pid="3" name="KSOProductBuildVer">
    <vt:lpwstr>2052-12.1.0.19302</vt:lpwstr>
  </property>
</Properties>
</file>