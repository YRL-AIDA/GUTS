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44ED6F8-0D0D-4D42-82E1-1293C1601AF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<sst xmlns="http://schemas.openxmlformats.org/spreadsheetml/2006/main" count="62" uniqueCount="44">
  <si>
    <t>Period 1</t>
  </si>
  <si>
    <t>Period 2</t>
  </si>
  <si>
    <t>SKU</t>
  </si>
  <si>
    <t>Units Ordered</t>
  </si>
  <si>
    <t>Ordered Product Sales</t>
  </si>
  <si>
    <t>NJ-7HP9-MTHK</t>
  </si>
  <si>
    <t>bis-fba-64</t>
  </si>
  <si>
    <t>NU-VEBP-BXH5</t>
  </si>
  <si>
    <t>6M-5F1N-06EK</t>
  </si>
  <si>
    <t>bis-devacurl-onecond-nopoo-33duo</t>
  </si>
  <si>
    <t>FBA-41868</t>
  </si>
  <si>
    <t>bis-pmteatree-spec33-fba2</t>
  </si>
  <si>
    <t>WI-X8ZF-8N71</t>
  </si>
  <si>
    <t>C8-N9WZ-1ZKN</t>
  </si>
  <si>
    <t>TC-CYLE-U49U</t>
  </si>
  <si>
    <t>9U-YHWZ-X4CX</t>
  </si>
  <si>
    <t>5X-UG7O-7124</t>
  </si>
  <si>
    <t>FBA-3160</t>
  </si>
  <si>
    <t>SN-FI7L-YI6U</t>
  </si>
  <si>
    <t>S9-E5I6-TFX8</t>
  </si>
  <si>
    <t>KV-XWOB-XD6F</t>
  </si>
  <si>
    <t>P7-V16P-W6GR</t>
  </si>
  <si>
    <t>2D-GR8I-IWPY</t>
  </si>
  <si>
    <t>MY-S76M-EUNF</t>
  </si>
  <si>
    <t>HJ-ZJQ7-FW3Q</t>
  </si>
  <si>
    <t>G2-DIW7-8TOO</t>
  </si>
  <si>
    <t>B5-O8T6-1R6M</t>
  </si>
  <si>
    <t>PF-PBRK-1OI2</t>
  </si>
  <si>
    <t>bis-fba-77</t>
  </si>
  <si>
    <t>bis-alt-cav-volduo-fba</t>
  </si>
  <si>
    <t>QL-TCGJ-L795</t>
  </si>
  <si>
    <t>6P-AT4U-JXCF</t>
  </si>
  <si>
    <t>4U-DNF0-7B8Q</t>
  </si>
  <si>
    <t>TN-EMK0-EOBG</t>
  </si>
  <si>
    <t>bis-pureo-perfsmduo-fba</t>
  </si>
  <si>
    <t>LV-20Q9-FUOD</t>
  </si>
  <si>
    <t>bis-fba-80</t>
  </si>
  <si>
    <t>FBA-45682</t>
  </si>
  <si>
    <t>FBA-4714-4715</t>
  </si>
  <si>
    <t>F2-4GIQ-UFHE</t>
  </si>
  <si>
    <t>C0-RJM5-YW6U</t>
  </si>
  <si>
    <t>FBA-17340</t>
  </si>
  <si>
    <t>FBA-47672</t>
  </si>
  <si>
    <t>FBA-17315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</si>
</sst>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5">
    <font>
      <sz val="11"/>
      <color theme="1"/>
      <name val="Calibri"/>
      <charset val="134"/>
      <scheme val="minor"/>
    </font>
    <font>
      <sz val="11"/>
      <color indexed="8"/>
      <name val="等线"/>
      <charset val="134"/>
    </font>
    <font>
      <sz val="11"/>
      <name val="等线"/>
      <charset val="134"/>
    </font>
    <font>
      <u/>
      <sz val="11"/>
      <color indexed="30"/>
      <name val="等线"/>
      <charset val="134"/>
    </font>
    <font>
      <sz val="11"/>
      <color indexed="10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164" fontId="2" fillId="0" borderId="0" xfId="0" applyNumberFormat="1" applyFont="1" applyAlignment="1"/>
    <xf numFmtId="164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164" fontId="4" fillId="0" borderId="0" xfId="0" applyNumberFormat="1" applyFont="1" applyAlignment="1"/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0" xfId="0" applyFont="1" applyFill="1" applyAlignment="1"/>
    <xf numFmtId="0" fontId="1" fillId="3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3" activeCellId="1" sqref="A3:A28 E3:E28"/>
    </sheetView>
  </sheetViews>
  <sheetFormatPr defaultColWidth="8.7109375" defaultRowHeight="14.25"/>
  <cols>
    <col min="1" max="1" width="35.28515625" style="1" customWidth="1"/>
    <col min="2" max="4" width="8.7109375" style="1"/>
    <col min="5" max="5" width="33.5703125" style="1" customWidth="1"/>
    <col min="6" max="16384" width="8.7109375" style="1"/>
  </cols>
  <sheetData>
    <row r="1" spans="1:9">
      <c r="A1" s="10" t="s">
        <v>0</v>
      </c>
      <c r="B1" s="11"/>
      <c r="C1" s="12"/>
      <c r="E1" s="13" t="s">
        <v>1</v>
      </c>
      <c r="F1" s="14"/>
      <c r="G1" s="14"/>
      <c r="H1" s="14"/>
      <c r="I1" s="14"/>
    </row>
    <row r="2" spans="1:9" ht="57">
      <c r="A2" s="9" t="s">
        <v>2</v>
      </c>
      <c r="B2" s="9" t="s">
        <v>3</v>
      </c>
      <c r="C2" s="9" t="s">
        <v>4</v>
      </c>
      <c r="D2" s="2"/>
      <c r="E2" s="9" t="s">
        <v>2</v>
      </c>
      <c r="F2" s="9" t="s">
        <v>3</v>
      </c>
      <c r="G2" s="9" t="s">
        <v>4</v>
      </c>
      <c r="H2" s="9" t="s">
        <v>3</v>
      </c>
      <c r="I2" s="9" t="s">
        <v>4</v>
      </c>
    </row>
    <row r="3" spans="1:9">
      <c r="A3" s="15" t="s">
        <v>5</v>
      </c>
      <c r="B3" s="3">
        <v>129</v>
      </c>
      <c r="C3" s="4">
        <v>3</v>
      </c>
      <c r="D3" s="3"/>
      <c r="E3" s="15" t="s">
        <v>6</v>
      </c>
      <c r="F3" s="1">
        <v>95</v>
      </c>
      <c r="G3" s="5">
        <v>3</v>
      </c>
      <c r="H3" s="7">
        <f t="shared" ref="H3:H28" si="0">IFERROR(VLOOKUP(E3,$E$3:$F$28,2,FALSE)+IF(ISNA(MATCH($E3,$A$3:$A$28,0)),"",INDEX($A$3:$B$28,IF(ISNA(MATCH($E3,$A$3:$A$28,0)),"",MATCH($E3,$A$3:$A$28,0)),COLUMN()-6)),F3)</f>
        <v>218</v>
      </c>
      <c r="I3" s="8">
        <f t="shared" ref="I3:I28" si="1">IFERROR(VLOOKUP(E3,$E$3:$G$28,3,FALSE)+IF(ISNA(MATCH($E3,$A$3:$A$28,0)),"",INDEX($A$3:$C$28,IF(ISNA(MATCH($E3,$A$3:$A$28,0)),"",MATCH($E3,$A$3:$A$28,0)),COLUMN()-6)),G3)</f>
        <v>11</v>
      </c>
    </row>
    <row r="4" spans="1:9">
      <c r="A4" s="15" t="s">
        <v>6</v>
      </c>
      <c r="B4" s="3">
        <v>123</v>
      </c>
      <c r="C4" s="4">
        <v>8</v>
      </c>
      <c r="D4" s="3"/>
      <c r="E4" s="15" t="s">
        <v>7</v>
      </c>
      <c r="F4" s="1">
        <v>86</v>
      </c>
      <c r="G4" s="5">
        <v>8</v>
      </c>
      <c r="H4" s="7">
        <f t="shared" si="0"/>
        <v>157</v>
      </c>
      <c r="I4" s="8">
        <f t="shared" si="1"/>
        <v>63</v>
      </c>
    </row>
    <row r="5" spans="1:9">
      <c r="A5" s="15" t="s">
        <v>8</v>
      </c>
      <c r="B5" s="3">
        <v>107</v>
      </c>
      <c r="C5" s="4">
        <v>2</v>
      </c>
      <c r="D5" s="3"/>
      <c r="E5" s="15" t="s">
        <v>9</v>
      </c>
      <c r="F5" s="1">
        <v>83</v>
      </c>
      <c r="G5" s="5">
        <v>2</v>
      </c>
      <c r="H5" s="7">
        <f t="shared" si="0"/>
        <v>171</v>
      </c>
      <c r="I5" s="8">
        <f t="shared" si="1"/>
        <v>7</v>
      </c>
    </row>
    <row r="6" spans="1:9">
      <c r="A6" s="15" t="s">
        <v>9</v>
      </c>
      <c r="B6" s="3">
        <v>88</v>
      </c>
      <c r="C6" s="4">
        <v>5</v>
      </c>
      <c r="D6" s="3"/>
      <c r="E6" s="15" t="s">
        <v>10</v>
      </c>
      <c r="F6" s="1">
        <v>71</v>
      </c>
      <c r="G6" s="5">
        <v>5</v>
      </c>
      <c r="H6" s="7">
        <f t="shared" si="0"/>
        <v>71</v>
      </c>
      <c r="I6" s="8">
        <f t="shared" si="1"/>
        <v>5</v>
      </c>
    </row>
    <row r="7" spans="1:9">
      <c r="A7" s="15" t="s">
        <v>11</v>
      </c>
      <c r="B7" s="3">
        <v>64</v>
      </c>
      <c r="C7" s="4">
        <v>11</v>
      </c>
      <c r="D7" s="3"/>
      <c r="E7" s="15" t="s">
        <v>12</v>
      </c>
      <c r="F7" s="1">
        <v>61</v>
      </c>
      <c r="G7" s="5">
        <v>11</v>
      </c>
      <c r="H7" s="7">
        <f t="shared" si="0"/>
        <v>104</v>
      </c>
      <c r="I7" s="8">
        <f t="shared" si="1"/>
        <v>59.971428571428604</v>
      </c>
    </row>
    <row r="8" spans="1:9">
      <c r="A8" s="15" t="s">
        <v>7</v>
      </c>
      <c r="B8" s="3">
        <v>71</v>
      </c>
      <c r="C8" s="4">
        <v>55</v>
      </c>
      <c r="D8" s="3"/>
      <c r="E8" s="15" t="s">
        <v>13</v>
      </c>
      <c r="F8" s="1">
        <v>45</v>
      </c>
      <c r="G8" s="5">
        <v>55</v>
      </c>
      <c r="H8" s="7">
        <f t="shared" si="0"/>
        <v>45</v>
      </c>
      <c r="I8" s="8">
        <f t="shared" si="1"/>
        <v>55</v>
      </c>
    </row>
    <row r="9" spans="1:9">
      <c r="A9" s="15" t="s">
        <v>14</v>
      </c>
      <c r="B9" s="3">
        <v>51</v>
      </c>
      <c r="C9" s="4">
        <v>41.2</v>
      </c>
      <c r="D9" s="3"/>
      <c r="E9" s="15" t="s">
        <v>15</v>
      </c>
      <c r="F9" s="1">
        <v>34</v>
      </c>
      <c r="G9" s="5">
        <v>41.2</v>
      </c>
      <c r="H9" s="7">
        <f t="shared" si="0"/>
        <v>72</v>
      </c>
      <c r="I9" s="8">
        <f t="shared" si="1"/>
        <v>97.942857142857207</v>
      </c>
    </row>
    <row r="10" spans="1:9">
      <c r="A10" s="15" t="s">
        <v>12</v>
      </c>
      <c r="B10" s="3">
        <v>43</v>
      </c>
      <c r="C10" s="4">
        <v>48.971428571428604</v>
      </c>
      <c r="D10" s="3"/>
      <c r="E10" s="15" t="s">
        <v>16</v>
      </c>
      <c r="F10" s="1">
        <v>28</v>
      </c>
      <c r="G10" s="5">
        <v>48.971428571428604</v>
      </c>
      <c r="H10" s="7">
        <f t="shared" si="0"/>
        <v>59</v>
      </c>
      <c r="I10" s="8">
        <f t="shared" si="1"/>
        <v>129.02857142857152</v>
      </c>
    </row>
    <row r="11" spans="1:9">
      <c r="A11" s="15" t="s">
        <v>15</v>
      </c>
      <c r="B11" s="3">
        <v>38</v>
      </c>
      <c r="C11" s="4">
        <v>56.742857142857197</v>
      </c>
      <c r="D11" s="3"/>
      <c r="E11" s="15" t="s">
        <v>17</v>
      </c>
      <c r="F11" s="1">
        <v>23</v>
      </c>
      <c r="G11" s="5">
        <v>56.742857142857197</v>
      </c>
      <c r="H11" s="7">
        <f t="shared" si="0"/>
        <v>23</v>
      </c>
      <c r="I11" s="8">
        <f t="shared" si="1"/>
        <v>56.742857142857197</v>
      </c>
    </row>
    <row r="12" spans="1:9">
      <c r="A12" s="15" t="s">
        <v>18</v>
      </c>
      <c r="B12" s="3">
        <v>37</v>
      </c>
      <c r="C12" s="4">
        <v>64.514285714285805</v>
      </c>
      <c r="D12" s="3"/>
      <c r="E12" s="15" t="s">
        <v>19</v>
      </c>
      <c r="F12" s="1">
        <v>21</v>
      </c>
      <c r="G12" s="5">
        <v>64.514285714285805</v>
      </c>
      <c r="H12" s="7">
        <f t="shared" si="0"/>
        <v>50</v>
      </c>
      <c r="I12" s="8">
        <f t="shared" si="1"/>
        <v>152.3428571428573</v>
      </c>
    </row>
    <row r="13" spans="1:9">
      <c r="A13" s="15" t="s">
        <v>20</v>
      </c>
      <c r="B13" s="3">
        <v>37</v>
      </c>
      <c r="C13" s="4">
        <v>72.285714285714306</v>
      </c>
      <c r="D13" s="3"/>
      <c r="E13" s="15" t="s">
        <v>21</v>
      </c>
      <c r="F13" s="1">
        <v>20</v>
      </c>
      <c r="G13" s="5">
        <v>72.285714285714306</v>
      </c>
      <c r="H13" s="7">
        <f t="shared" si="0"/>
        <v>29</v>
      </c>
      <c r="I13" s="8">
        <f t="shared" si="1"/>
        <v>253.37142857142931</v>
      </c>
    </row>
    <row r="14" spans="1:9">
      <c r="A14" s="15" t="s">
        <v>16</v>
      </c>
      <c r="B14" s="3">
        <v>31</v>
      </c>
      <c r="C14" s="4">
        <v>80.057142857142907</v>
      </c>
      <c r="D14" s="3"/>
      <c r="E14" s="15" t="s">
        <v>5</v>
      </c>
      <c r="F14" s="1">
        <v>16</v>
      </c>
      <c r="G14" s="5">
        <v>80.057142857142907</v>
      </c>
      <c r="H14" s="7">
        <f t="shared" si="0"/>
        <v>145</v>
      </c>
      <c r="I14" s="8">
        <f t="shared" si="1"/>
        <v>83.057142857142907</v>
      </c>
    </row>
    <row r="15" spans="1:9">
      <c r="A15" s="15" t="s">
        <v>19</v>
      </c>
      <c r="B15" s="3">
        <v>29</v>
      </c>
      <c r="C15" s="4">
        <v>87.828571428571493</v>
      </c>
      <c r="D15" s="3"/>
      <c r="E15" s="15" t="s">
        <v>22</v>
      </c>
      <c r="F15" s="1">
        <v>15</v>
      </c>
      <c r="G15" s="5">
        <v>87.828571428571493</v>
      </c>
      <c r="H15" s="7">
        <f t="shared" si="0"/>
        <v>34</v>
      </c>
      <c r="I15" s="8">
        <f t="shared" si="1"/>
        <v>183.4285714285711</v>
      </c>
    </row>
    <row r="16" spans="1:9">
      <c r="A16" s="15" t="s">
        <v>22</v>
      </c>
      <c r="B16" s="3">
        <v>19</v>
      </c>
      <c r="C16" s="4">
        <v>95.599999999999596</v>
      </c>
      <c r="D16" s="3"/>
      <c r="E16" s="15" t="s">
        <v>23</v>
      </c>
      <c r="F16" s="1">
        <v>14</v>
      </c>
      <c r="G16" s="5">
        <v>95.599999999999596</v>
      </c>
      <c r="H16" s="7">
        <f t="shared" si="0"/>
        <v>14</v>
      </c>
      <c r="I16" s="8">
        <f t="shared" si="1"/>
        <v>95.599999999999596</v>
      </c>
    </row>
    <row r="17" spans="1:9">
      <c r="A17" s="15" t="s">
        <v>24</v>
      </c>
      <c r="B17" s="3">
        <v>15</v>
      </c>
      <c r="C17" s="4">
        <v>103.37142857142901</v>
      </c>
      <c r="D17" s="3"/>
      <c r="E17" s="15" t="s">
        <v>25</v>
      </c>
      <c r="F17" s="1">
        <v>13</v>
      </c>
      <c r="G17" s="5">
        <v>103.37142857142901</v>
      </c>
      <c r="H17" s="7">
        <f t="shared" si="0"/>
        <v>13</v>
      </c>
      <c r="I17" s="8">
        <f t="shared" si="1"/>
        <v>103.37142857142901</v>
      </c>
    </row>
    <row r="18" spans="1:9">
      <c r="A18" s="15" t="s">
        <v>26</v>
      </c>
      <c r="B18" s="3">
        <v>13</v>
      </c>
      <c r="C18" s="4">
        <v>111.14285714285801</v>
      </c>
      <c r="D18" s="3"/>
      <c r="E18" s="15" t="s">
        <v>27</v>
      </c>
      <c r="F18" s="1">
        <v>11</v>
      </c>
      <c r="G18" s="5">
        <v>111.14285714285801</v>
      </c>
      <c r="H18" s="7">
        <f t="shared" si="0"/>
        <v>11</v>
      </c>
      <c r="I18" s="8">
        <f t="shared" si="1"/>
        <v>111.14285714285801</v>
      </c>
    </row>
    <row r="19" spans="1:9">
      <c r="A19" s="15" t="s">
        <v>28</v>
      </c>
      <c r="B19" s="3">
        <v>13</v>
      </c>
      <c r="C19" s="4">
        <v>118.914285714286</v>
      </c>
      <c r="D19" s="3"/>
      <c r="E19" s="15" t="s">
        <v>29</v>
      </c>
      <c r="F19" s="1">
        <v>10</v>
      </c>
      <c r="G19" s="5">
        <v>118.914285714286</v>
      </c>
      <c r="H19" s="7">
        <f t="shared" si="0"/>
        <v>10</v>
      </c>
      <c r="I19" s="8">
        <f t="shared" si="1"/>
        <v>118.914285714286</v>
      </c>
    </row>
    <row r="20" spans="1:9">
      <c r="A20" s="15" t="s">
        <v>30</v>
      </c>
      <c r="B20" s="3">
        <v>13</v>
      </c>
      <c r="C20" s="4">
        <v>126.68571428571499</v>
      </c>
      <c r="D20" s="3"/>
      <c r="E20" s="15" t="s">
        <v>31</v>
      </c>
      <c r="F20" s="1">
        <v>10</v>
      </c>
      <c r="G20" s="5">
        <v>126.68571428571499</v>
      </c>
      <c r="H20" s="7">
        <f t="shared" si="0"/>
        <v>10</v>
      </c>
      <c r="I20" s="8">
        <f t="shared" si="1"/>
        <v>126.68571428571499</v>
      </c>
    </row>
    <row r="21" spans="1:9">
      <c r="A21" s="15" t="s">
        <v>32</v>
      </c>
      <c r="B21" s="3">
        <v>12</v>
      </c>
      <c r="C21" s="4">
        <v>134.457142857143</v>
      </c>
      <c r="D21" s="3"/>
      <c r="E21" s="15" t="s">
        <v>33</v>
      </c>
      <c r="F21" s="1">
        <v>9</v>
      </c>
      <c r="G21" s="5">
        <v>134.457142857143</v>
      </c>
      <c r="H21" s="7">
        <f t="shared" si="0"/>
        <v>9</v>
      </c>
      <c r="I21" s="8">
        <f t="shared" si="1"/>
        <v>134.457142857143</v>
      </c>
    </row>
    <row r="22" spans="1:9">
      <c r="A22" s="15" t="s">
        <v>34</v>
      </c>
      <c r="B22" s="3">
        <v>11</v>
      </c>
      <c r="C22" s="4">
        <v>142.228571428572</v>
      </c>
      <c r="D22" s="3"/>
      <c r="E22" s="15" t="s">
        <v>35</v>
      </c>
      <c r="F22" s="1">
        <v>8</v>
      </c>
      <c r="G22" s="5">
        <v>142.228571428572</v>
      </c>
      <c r="H22" s="7">
        <f t="shared" si="0"/>
        <v>8</v>
      </c>
      <c r="I22" s="8">
        <f t="shared" si="1"/>
        <v>142.228571428572</v>
      </c>
    </row>
    <row r="23" spans="1:9">
      <c r="A23" s="16" t="s">
        <v>36</v>
      </c>
      <c r="B23" s="1">
        <v>10</v>
      </c>
      <c r="C23" s="5">
        <v>150</v>
      </c>
      <c r="E23" s="16" t="s">
        <v>37</v>
      </c>
      <c r="F23" s="1">
        <v>9</v>
      </c>
      <c r="G23" s="5">
        <v>150</v>
      </c>
      <c r="H23" s="7">
        <f t="shared" si="0"/>
        <v>9</v>
      </c>
      <c r="I23" s="8">
        <f t="shared" si="1"/>
        <v>150</v>
      </c>
    </row>
    <row r="24" spans="1:9">
      <c r="A24" s="16" t="s">
        <v>38</v>
      </c>
      <c r="B24" s="1">
        <v>10</v>
      </c>
      <c r="C24" s="5">
        <v>157.771428571429</v>
      </c>
      <c r="E24" s="16" t="s">
        <v>34</v>
      </c>
      <c r="F24" s="1">
        <v>8</v>
      </c>
      <c r="G24" s="5">
        <v>157.771428571429</v>
      </c>
      <c r="H24" s="7">
        <f t="shared" si="0"/>
        <v>19</v>
      </c>
      <c r="I24" s="8">
        <f t="shared" si="1"/>
        <v>300.00000000000102</v>
      </c>
    </row>
    <row r="25" spans="1:9">
      <c r="A25" s="16" t="s">
        <v>39</v>
      </c>
      <c r="B25" s="1">
        <v>10</v>
      </c>
      <c r="C25" s="5">
        <v>165.542857142858</v>
      </c>
      <c r="E25" s="16" t="s">
        <v>40</v>
      </c>
      <c r="F25" s="1">
        <v>8</v>
      </c>
      <c r="G25" s="5">
        <v>165.542857142858</v>
      </c>
      <c r="H25" s="7">
        <f t="shared" si="0"/>
        <v>8</v>
      </c>
      <c r="I25" s="8">
        <f t="shared" si="1"/>
        <v>165.542857142858</v>
      </c>
    </row>
    <row r="26" spans="1:9">
      <c r="A26" s="16" t="s">
        <v>41</v>
      </c>
      <c r="B26" s="1">
        <v>10</v>
      </c>
      <c r="C26" s="5">
        <v>173.314285714286</v>
      </c>
      <c r="E26" s="16" t="s">
        <v>42</v>
      </c>
      <c r="F26" s="1">
        <v>8</v>
      </c>
      <c r="G26" s="5">
        <v>173.314285714286</v>
      </c>
      <c r="H26" s="7">
        <f t="shared" si="0"/>
        <v>17</v>
      </c>
      <c r="I26" s="8">
        <f t="shared" si="1"/>
        <v>362.17142857142903</v>
      </c>
    </row>
    <row r="27" spans="1:9">
      <c r="A27" s="16" t="s">
        <v>21</v>
      </c>
      <c r="B27" s="1">
        <v>9</v>
      </c>
      <c r="C27" s="5">
        <v>181.085714285715</v>
      </c>
      <c r="E27" s="16" t="s">
        <v>43</v>
      </c>
      <c r="F27" s="1">
        <v>7</v>
      </c>
      <c r="G27" s="5">
        <v>181.085714285715</v>
      </c>
      <c r="H27" s="7">
        <f t="shared" si="0"/>
        <v>7</v>
      </c>
      <c r="I27" s="8">
        <f t="shared" si="1"/>
        <v>181.085714285715</v>
      </c>
    </row>
    <row r="28" spans="1:9">
      <c r="A28" s="16" t="s">
        <v>42</v>
      </c>
      <c r="B28" s="1">
        <v>9</v>
      </c>
      <c r="C28" s="5">
        <v>188.857142857143</v>
      </c>
      <c r="E28" s="16" t="s">
        <v>11</v>
      </c>
      <c r="F28" s="1">
        <v>7</v>
      </c>
      <c r="G28" s="5">
        <v>188.857142857143</v>
      </c>
      <c r="H28" s="7">
        <f t="shared" si="0"/>
        <v>71</v>
      </c>
      <c r="I28" s="8">
        <f t="shared" si="1"/>
        <v>199.857142857143</v>
      </c>
    </row>
    <row r="31" spans="1:9">
      <c r="A31" s="6"/>
    </row>
    <row r="32" spans="1:9">
      <c r="A32" s="6"/>
    </row>
  </sheetData>
  <mergeCells count="2">
    <mergeCell ref="A1:C1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2024-11-30T15:51:00Z</dcterms:created>
  <dcterms:modified xsi:type="dcterms:W3CDTF">2025-12-01T04:33:55Z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3A5DD72493B876A79EEA4F675D4099CE_42</vt:lpwstr>
  </property>
</Properties>
</file>