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61FB54D-9E52-4E91-BAEB-BA585C098724}" xr6:coauthVersionLast="47" xr6:coauthVersionMax="47" xr10:uidLastSave="{00000000-0000-0000-0000-000000000000}"/>
  <bookViews>
    <workbookView xWindow="-120" yWindow="-120" windowWidth="51840" windowHeight="21120" xr2:uid="{1D5CAA6F-E7F5-4DD3-9688-D9F094F8AEDC}"/>
  </bookViews>
  <sheets>
    <sheet name="Table 9" sheetId="1" r:id="rId1"/>
  </sheets>
  <definedNames>
    <definedName name="_xlnm.Print_Area" localSheetId="0">'Table 9'!$A$1:$T$57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3" i="1" l="1"/>
  <c r="R53" i="1"/>
  <c r="R55" i="1" s="1"/>
  <c r="Q53" i="1"/>
  <c r="Q55" i="1" s="1"/>
  <c r="P53" i="1"/>
  <c r="O53" i="1"/>
  <c r="O55" i="1" s="1"/>
  <c r="N53" i="1"/>
  <c r="N54" i="1" s="1"/>
  <c r="M53" i="1"/>
  <c r="M54" i="1" s="1"/>
  <c r="L53" i="1"/>
  <c r="L55" i="1" s="1"/>
  <c r="K53" i="1"/>
  <c r="L58" i="1" s="1"/>
  <c r="I53" i="1"/>
  <c r="H53" i="1"/>
  <c r="G53" i="1"/>
  <c r="G55" i="1" s="1"/>
  <c r="F53" i="1"/>
  <c r="E53" i="1"/>
  <c r="E54" i="1" s="1"/>
  <c r="D53" i="1"/>
  <c r="C53" i="1"/>
  <c r="C54" i="1" s="1"/>
  <c r="B53" i="1"/>
  <c r="B54" i="1" s="1"/>
  <c r="T52" i="1"/>
  <c r="T51" i="1"/>
  <c r="T50" i="1"/>
  <c r="T49" i="1"/>
  <c r="T48" i="1"/>
  <c r="T47" i="1"/>
  <c r="T46" i="1"/>
  <c r="T45" i="1"/>
  <c r="T43" i="1"/>
  <c r="T42" i="1"/>
  <c r="T41" i="1"/>
  <c r="T39" i="1"/>
  <c r="T38" i="1"/>
  <c r="T37" i="1"/>
  <c r="T35" i="1"/>
  <c r="T34" i="1"/>
  <c r="T33" i="1"/>
  <c r="T31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2" i="1"/>
  <c r="T11" i="1"/>
  <c r="T10" i="1"/>
  <c r="T8" i="1"/>
  <c r="T7" i="1"/>
  <c r="T6" i="1"/>
  <c r="T5" i="1"/>
  <c r="O54" i="1" l="1"/>
  <c r="M55" i="1"/>
  <c r="N55" i="1"/>
  <c r="Q54" i="1"/>
  <c r="T53" i="1"/>
  <c r="L59" i="1" s="1"/>
  <c r="R54" i="1"/>
  <c r="B56" i="1"/>
  <c r="B55" i="1"/>
  <c r="C56" i="1"/>
  <c r="C55" i="1"/>
  <c r="D56" i="1"/>
  <c r="D55" i="1"/>
  <c r="D54" i="1"/>
  <c r="S54" i="1"/>
  <c r="S55" i="1"/>
  <c r="F54" i="1"/>
  <c r="G54" i="1"/>
  <c r="K54" i="1"/>
  <c r="F55" i="1"/>
  <c r="L54" i="1"/>
  <c r="K55" i="1"/>
  <c r="S56" i="1" l="1"/>
  <c r="F56" i="1"/>
  <c r="K56" i="1"/>
  <c r="L56" i="1"/>
  <c r="O56" i="1"/>
  <c r="T55" i="1"/>
  <c r="T54" i="1"/>
  <c r="N56" i="1"/>
  <c r="E56" i="1"/>
  <c r="Q56" i="1"/>
  <c r="M56" i="1"/>
  <c r="R56" i="1"/>
  <c r="T56" i="1"/>
  <c r="G56" i="1"/>
</calcChain>
</file>

<file path=xl/sharedStrings.xml><?xml version="1.0" encoding="utf-8"?>
<sst xmlns="http://schemas.openxmlformats.org/spreadsheetml/2006/main" count="646" uniqueCount="76">
  <si>
    <t>Species of animal</t>
  </si>
  <si>
    <t>Toxicology or other safety/efficacy evaluation</t>
  </si>
  <si>
    <t>Total</t>
  </si>
  <si>
    <t>General safety/efficacy evaluation</t>
  </si>
  <si>
    <t>Pharmaceutical safety/efficacy evaluation</t>
  </si>
  <si>
    <t>Other purposes</t>
  </si>
  <si>
    <t>Pollution</t>
  </si>
  <si>
    <t>Agriculture</t>
  </si>
  <si>
    <t>Industry</t>
  </si>
  <si>
    <t>Household</t>
  </si>
  <si>
    <t>Food additives</t>
  </si>
  <si>
    <t>Other foodstuffs</t>
  </si>
  <si>
    <t>Finished cosmetics(2)</t>
  </si>
  <si>
    <t>Cosmetics ingredients(2)</t>
  </si>
  <si>
    <t>Safety testing</t>
  </si>
  <si>
    <t>Efficacy testing</t>
  </si>
  <si>
    <t>Quality control</t>
  </si>
  <si>
    <t>ADME and residue</t>
  </si>
  <si>
    <t>Toxicology research</t>
  </si>
  <si>
    <t>Tobacco safety(1)</t>
  </si>
  <si>
    <t>Medical  device safety</t>
  </si>
  <si>
    <t>Method development</t>
  </si>
  <si>
    <t>Other</t>
  </si>
  <si>
    <t>Mammal</t>
  </si>
  <si>
    <t xml:space="preserve">  Mouse</t>
  </si>
  <si>
    <t>-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</si>
  <si>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</si>
  <si>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</si>
  <si>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</si>
  <si>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</si>
  <si>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</si>
  <si>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</si>
  <si>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</si>
  <si>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</si>
  <si>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</si>
  <si>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</si>
  <si>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</si>
  <si>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</si>
  <si>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</si>
  <si>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Horse, donkey and cross-bred  equids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</si>
  <si>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</si>
  <si>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</si>
  <si>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</si>
  <si>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</si>
  <si>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</si>
  <si>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</si>
  <si>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</si>
  <si>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</si>
  <si>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</si>
  <si>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</si>
  <si>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</si>
  <si>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</si>
  <si>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</si>
  <si>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</si>
  <si>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</si>
  <si>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</si>
  <si>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</si>
  <si>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</si>
  <si>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</si>
  <si>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</si>
  <si>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</si>
  <si>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</si>
  <si>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</si>
  <si>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t xml:space="preserve">  Domestic fowl (Gallus domesticus)</t>
  </si>
  <si>
    <t xml:space="preserve">  Turkey</t>
  </si>
  <si>
    <t xml:space="preserve">  Quail (Coturnix coturnix)</t>
  </si>
  <si>
    <t xml:space="preserve">  Quail (spp,other than Coturnix coturnix)</t>
  </si>
  <si>
    <t xml:space="preserve">  Other bird</t>
  </si>
  <si>
    <r>
      <t xml:space="preserve">Reptile </t>
    </r>
    <r>
      <rPr>
        <sz val="14"/>
        <color indexed="8"/>
        <rFont val="Arial"/>
        <family val="2"/>
      </rPr>
      <t>- any reptilian species</t>
    </r>
  </si>
  <si>
    <r>
      <t>Amphibian</t>
    </r>
    <r>
      <rPr>
        <sz val="14"/>
        <rFont val="Arial"/>
        <family val="2"/>
      </rPr>
      <t xml:space="preserve"> - any amphibian species</t>
    </r>
  </si>
  <si>
    <r>
      <t>Fish</t>
    </r>
    <r>
      <rPr>
        <sz val="14"/>
        <rFont val="Arial"/>
        <family val="2"/>
      </rPr>
      <t xml:space="preserve"> - any fish species</t>
    </r>
  </si>
  <si>
    <t>Increase on 2010</t>
  </si>
  <si>
    <t>Percentage change from 2010</t>
  </si>
  <si>
    <t>N/A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</si>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</sst>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_ ;[Red]\-#,##0\ "/>
    <numFmt numFmtId="165" formatCode="0%;[Red]\-0%"/>
    <numFmt numFmtId="166" formatCode="0.0%"/>
  </numFmts>
  <fonts count="10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/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0" fontId="3" fillId="2" borderId="4" xfId="0" applyFont="1" applyFill="1" applyBorder="1"/>
    <xf numFmtId="0" fontId="5" fillId="2" borderId="5" xfId="0" applyFont="1" applyFill="1" applyBorder="1" applyAlignment="1">
      <alignment vertical="top"/>
    </xf>
    <xf numFmtId="0" fontId="5" fillId="2" borderId="5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7" fillId="0" borderId="7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41" fontId="4" fillId="3" borderId="7" xfId="0" applyNumberFormat="1" applyFont="1" applyFill="1" applyBorder="1" applyAlignment="1">
      <alignment horizontal="right"/>
    </xf>
    <xf numFmtId="41" fontId="4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41" fontId="4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right"/>
    </xf>
    <xf numFmtId="0" fontId="4" fillId="0" borderId="6" xfId="0" applyFont="1" applyBorder="1" applyAlignment="1">
      <alignment vertical="center"/>
    </xf>
    <xf numFmtId="164" fontId="4" fillId="0" borderId="6" xfId="0" applyNumberFormat="1" applyFont="1" applyBorder="1" applyAlignment="1">
      <alignment horizontal="right" vertical="center"/>
    </xf>
    <xf numFmtId="165" fontId="9" fillId="0" borderId="6" xfId="0" applyNumberFormat="1" applyFont="1" applyBorder="1" applyAlignment="1">
      <alignment horizontal="right" vertical="center"/>
    </xf>
    <xf numFmtId="9" fontId="4" fillId="0" borderId="6" xfId="0" applyNumberFormat="1" applyFont="1" applyBorder="1" applyAlignment="1">
      <alignment horizontal="right" vertical="center"/>
    </xf>
    <xf numFmtId="1" fontId="0" fillId="0" borderId="0" xfId="0" applyNumberFormat="1"/>
    <xf numFmtId="41" fontId="0" fillId="0" borderId="0" xfId="0" applyNumberFormat="1"/>
    <xf numFmtId="41" fontId="6" fillId="0" borderId="0" xfId="0" applyNumberFormat="1" applyFont="1"/>
    <xf numFmtId="9" fontId="6" fillId="0" borderId="0" xfId="1" applyFont="1"/>
    <xf numFmtId="166" fontId="0" fillId="0" borderId="0" xfId="1" applyNumberFormat="1" applyFont="1"/>
    <xf numFmtId="0" fontId="3" fillId="4" borderId="1" xfId="0" applyFont="1" applyFill="1" applyBorder="1"/>
    <xf numFmtId="0" fontId="3" fillId="4" borderId="2" xfId="0" applyFont="1" applyFill="1" applyBorder="1" applyAlignment="1">
      <alignment horizontal="centerContinuous"/>
    </xf>
    <xf numFmtId="0" fontId="6" fillId="4" borderId="6" xfId="0" applyFont="1" applyFill="1" applyBorder="1" applyAlignment="1">
      <alignment horizontal="center" vertical="top" wrapText="1"/>
    </xf>
    <xf numFmtId="0" fontId="7" fillId="4" borderId="4" xfId="0" applyFont="1" applyFill="1" applyBorder="1"/>
    <xf numFmtId="0" fontId="3" fillId="5" borderId="4" xfId="0" applyFont="1" applyFill="1" applyBorder="1"/>
    <xf numFmtId="0" fontId="4" fillId="5" borderId="4" xfId="0" applyFont="1" applyFill="1" applyBorder="1"/>
    <xf numFmtId="0" fontId="3" fillId="5" borderId="4" xfId="0" applyFont="1" applyFill="1" applyBorder="1" applyAlignment="1">
      <alignment wrapText="1"/>
    </xf>
    <xf numFmtId="0" fontId="3" fillId="5" borderId="5" xfId="0" applyFont="1" applyFill="1" applyBorder="1"/>
    <xf numFmtId="0" fontId="3" fillId="4" borderId="4" xfId="0" applyFont="1" applyFill="1" applyBorder="1"/>
    <xf numFmtId="0" fontId="4" fillId="5" borderId="4" xfId="0" applyFont="1" applyFill="1" applyBorder="1" applyAlignment="1">
      <alignment vertical="center"/>
    </xf>
    <xf numFmtId="0" fontId="7" fillId="5" borderId="4" xfId="0" applyFont="1" applyFill="1" applyBorder="1"/>
    <xf numFmtId="0" fontId="8" fillId="5" borderId="4" xfId="0" applyFont="1" applyFill="1" applyBorder="1"/>
    <xf numFmtId="0" fontId="4" fillId="5" borderId="6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/>
    <xf numFmtId="0" fontId="5" fillId="6" borderId="5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right"/>
    </xf>
    <xf numFmtId="41" fontId="3" fillId="6" borderId="7" xfId="0" applyNumberFormat="1" applyFont="1" applyFill="1" applyBorder="1" applyAlignment="1">
      <alignment horizontal="right"/>
    </xf>
    <xf numFmtId="41" fontId="3" fillId="6" borderId="8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vertical="top" wrapText="1"/>
    </xf>
    <xf numFmtId="41" fontId="3" fillId="6" borderId="4" xfId="0" applyNumberFormat="1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41" fontId="3" fillId="6" borderId="6" xfId="0" applyNumberFormat="1" applyFont="1" applyFill="1" applyBorder="1" applyAlignment="1">
      <alignment vertical="center"/>
    </xf>
    <xf numFmtId="164" fontId="4" fillId="6" borderId="6" xfId="0" applyNumberFormat="1" applyFont="1" applyFill="1" applyBorder="1" applyAlignment="1">
      <alignment horizontal="right" vertical="center"/>
    </xf>
    <xf numFmtId="165" fontId="9" fillId="6" borderId="6" xfId="0" applyNumberFormat="1" applyFont="1" applyFill="1" applyBorder="1" applyAlignment="1">
      <alignment horizontal="right" vertical="center"/>
    </xf>
    <xf numFmtId="9" fontId="4" fillId="6" borderId="6" xfId="1" applyFont="1" applyFill="1" applyBorder="1" applyAlignment="1">
      <alignment horizontal="right" vertical="center"/>
    </xf>
    <xf numFmtId="164" fontId="4" fillId="6" borderId="6" xfId="0" applyNumberFormat="1" applyFont="1" applyFill="1" applyBorder="1"/>
    <xf numFmtId="0" fontId="3" fillId="6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left"/>
    </xf>
    <xf numFmtId="3" fontId="4" fillId="6" borderId="6" xfId="0" applyNumberFormat="1" applyFont="1" applyFill="1" applyBorder="1"/>
    <xf numFmtId="0" fontId="4" fillId="6" borderId="6" xfId="0" applyFont="1" applyFill="1" applyBorder="1" applyAlignment="1">
      <alignment vertical="center"/>
    </xf>
    <xf numFmtId="166" fontId="4" fillId="6" borderId="6" xfId="1" applyNumberFormat="1" applyFont="1" applyFill="1" applyBorder="1" applyAlignment="1">
      <alignment horizontal="right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2BEC-3795-4A40-9127-612512EBD1D5}">
  <sheetPr>
    <tabColor indexed="26"/>
  </sheetPr>
  <dimension ref="A1:T62"/>
  <sheetViews>
    <sheetView showGridLines="0" tabSelected="1" topLeftCell="A36" zoomScaleNormal="100" workbookViewId="0">
      <selection activeCell="A56" activeCellId="1" sqref="A57:S57 A56:S56"/>
    </sheetView>
  </sheetViews>
  <sheetFormatPr defaultRowHeight="12.75"/>
  <cols>
    <col min="1" max="1" width="52.5703125" customWidth="1"/>
    <col min="2" max="2" width="13.85546875" customWidth="1"/>
    <col min="3" max="3" width="17" customWidth="1"/>
    <col min="4" max="4" width="17.85546875" customWidth="1"/>
    <col min="5" max="6" width="16.42578125" customWidth="1"/>
    <col min="7" max="7" width="17" customWidth="1"/>
    <col min="8" max="8" width="14.7109375" customWidth="1"/>
    <col min="9" max="9" width="16.140625" customWidth="1"/>
    <col min="10" max="10" width="51.7109375" customWidth="1"/>
    <col min="11" max="13" width="14.7109375" customWidth="1"/>
    <col min="14" max="14" width="17.5703125" customWidth="1"/>
    <col min="15" max="15" width="17" customWidth="1"/>
    <col min="16" max="16" width="13.42578125" customWidth="1"/>
    <col min="17" max="17" width="20.140625" customWidth="1"/>
    <col min="18" max="18" width="18.42578125" customWidth="1"/>
    <col min="19" max="19" width="14.7109375" customWidth="1"/>
    <col min="20" max="20" width="16.7109375" customWidth="1"/>
    <col min="257" max="257" width="52.5703125" customWidth="1"/>
    <col min="258" max="258" width="13.85546875" customWidth="1"/>
    <col min="259" max="259" width="17" customWidth="1"/>
    <col min="260" max="260" width="17.85546875" customWidth="1"/>
    <col min="261" max="262" width="16.42578125" customWidth="1"/>
    <col min="263" max="263" width="17" customWidth="1"/>
    <col min="264" max="264" width="14.7109375" customWidth="1"/>
    <col min="265" max="265" width="16.140625" customWidth="1"/>
    <col min="266" max="266" width="51.7109375" customWidth="1"/>
    <col min="267" max="269" width="14.7109375" customWidth="1"/>
    <col min="270" max="270" width="17.5703125" customWidth="1"/>
    <col min="271" max="271" width="17" customWidth="1"/>
    <col min="272" max="272" width="13.42578125" customWidth="1"/>
    <col min="273" max="273" width="20.140625" customWidth="1"/>
    <col min="274" max="274" width="18.42578125" customWidth="1"/>
    <col min="275" max="275" width="14.7109375" customWidth="1"/>
    <col min="276" max="276" width="16.7109375" customWidth="1"/>
    <col min="513" max="513" width="52.5703125" customWidth="1"/>
    <col min="514" max="514" width="13.85546875" customWidth="1"/>
    <col min="515" max="515" width="17" customWidth="1"/>
    <col min="516" max="516" width="17.85546875" customWidth="1"/>
    <col min="517" max="518" width="16.42578125" customWidth="1"/>
    <col min="519" max="519" width="17" customWidth="1"/>
    <col min="520" max="520" width="14.7109375" customWidth="1"/>
    <col min="521" max="521" width="16.140625" customWidth="1"/>
    <col min="522" max="522" width="51.7109375" customWidth="1"/>
    <col min="523" max="525" width="14.7109375" customWidth="1"/>
    <col min="526" max="526" width="17.5703125" customWidth="1"/>
    <col min="527" max="527" width="17" customWidth="1"/>
    <col min="528" max="528" width="13.42578125" customWidth="1"/>
    <col min="529" max="529" width="20.140625" customWidth="1"/>
    <col min="530" max="530" width="18.42578125" customWidth="1"/>
    <col min="531" max="531" width="14.7109375" customWidth="1"/>
    <col min="532" max="532" width="16.7109375" customWidth="1"/>
    <col min="769" max="769" width="52.5703125" customWidth="1"/>
    <col min="770" max="770" width="13.85546875" customWidth="1"/>
    <col min="771" max="771" width="17" customWidth="1"/>
    <col min="772" max="772" width="17.85546875" customWidth="1"/>
    <col min="773" max="774" width="16.42578125" customWidth="1"/>
    <col min="775" max="775" width="17" customWidth="1"/>
    <col min="776" max="776" width="14.7109375" customWidth="1"/>
    <col min="777" max="777" width="16.140625" customWidth="1"/>
    <col min="778" max="778" width="51.7109375" customWidth="1"/>
    <col min="779" max="781" width="14.7109375" customWidth="1"/>
    <col min="782" max="782" width="17.5703125" customWidth="1"/>
    <col min="783" max="783" width="17" customWidth="1"/>
    <col min="784" max="784" width="13.42578125" customWidth="1"/>
    <col min="785" max="785" width="20.140625" customWidth="1"/>
    <col min="786" max="786" width="18.42578125" customWidth="1"/>
    <col min="787" max="787" width="14.7109375" customWidth="1"/>
    <col min="788" max="788" width="16.7109375" customWidth="1"/>
    <col min="1025" max="1025" width="52.5703125" customWidth="1"/>
    <col min="1026" max="1026" width="13.85546875" customWidth="1"/>
    <col min="1027" max="1027" width="17" customWidth="1"/>
    <col min="1028" max="1028" width="17.85546875" customWidth="1"/>
    <col min="1029" max="1030" width="16.42578125" customWidth="1"/>
    <col min="1031" max="1031" width="17" customWidth="1"/>
    <col min="1032" max="1032" width="14.7109375" customWidth="1"/>
    <col min="1033" max="1033" width="16.140625" customWidth="1"/>
    <col min="1034" max="1034" width="51.7109375" customWidth="1"/>
    <col min="1035" max="1037" width="14.7109375" customWidth="1"/>
    <col min="1038" max="1038" width="17.5703125" customWidth="1"/>
    <col min="1039" max="1039" width="17" customWidth="1"/>
    <col min="1040" max="1040" width="13.42578125" customWidth="1"/>
    <col min="1041" max="1041" width="20.140625" customWidth="1"/>
    <col min="1042" max="1042" width="18.42578125" customWidth="1"/>
    <col min="1043" max="1043" width="14.7109375" customWidth="1"/>
    <col min="1044" max="1044" width="16.7109375" customWidth="1"/>
    <col min="1281" max="1281" width="52.5703125" customWidth="1"/>
    <col min="1282" max="1282" width="13.85546875" customWidth="1"/>
    <col min="1283" max="1283" width="17" customWidth="1"/>
    <col min="1284" max="1284" width="17.85546875" customWidth="1"/>
    <col min="1285" max="1286" width="16.42578125" customWidth="1"/>
    <col min="1287" max="1287" width="17" customWidth="1"/>
    <col min="1288" max="1288" width="14.7109375" customWidth="1"/>
    <col min="1289" max="1289" width="16.140625" customWidth="1"/>
    <col min="1290" max="1290" width="51.7109375" customWidth="1"/>
    <col min="1291" max="1293" width="14.7109375" customWidth="1"/>
    <col min="1294" max="1294" width="17.5703125" customWidth="1"/>
    <col min="1295" max="1295" width="17" customWidth="1"/>
    <col min="1296" max="1296" width="13.42578125" customWidth="1"/>
    <col min="1297" max="1297" width="20.140625" customWidth="1"/>
    <col min="1298" max="1298" width="18.42578125" customWidth="1"/>
    <col min="1299" max="1299" width="14.7109375" customWidth="1"/>
    <col min="1300" max="1300" width="16.7109375" customWidth="1"/>
    <col min="1537" max="1537" width="52.5703125" customWidth="1"/>
    <col min="1538" max="1538" width="13.85546875" customWidth="1"/>
    <col min="1539" max="1539" width="17" customWidth="1"/>
    <col min="1540" max="1540" width="17.85546875" customWidth="1"/>
    <col min="1541" max="1542" width="16.42578125" customWidth="1"/>
    <col min="1543" max="1543" width="17" customWidth="1"/>
    <col min="1544" max="1544" width="14.7109375" customWidth="1"/>
    <col min="1545" max="1545" width="16.140625" customWidth="1"/>
    <col min="1546" max="1546" width="51.7109375" customWidth="1"/>
    <col min="1547" max="1549" width="14.7109375" customWidth="1"/>
    <col min="1550" max="1550" width="17.5703125" customWidth="1"/>
    <col min="1551" max="1551" width="17" customWidth="1"/>
    <col min="1552" max="1552" width="13.42578125" customWidth="1"/>
    <col min="1553" max="1553" width="20.140625" customWidth="1"/>
    <col min="1554" max="1554" width="18.42578125" customWidth="1"/>
    <col min="1555" max="1555" width="14.7109375" customWidth="1"/>
    <col min="1556" max="1556" width="16.7109375" customWidth="1"/>
    <col min="1793" max="1793" width="52.5703125" customWidth="1"/>
    <col min="1794" max="1794" width="13.85546875" customWidth="1"/>
    <col min="1795" max="1795" width="17" customWidth="1"/>
    <col min="1796" max="1796" width="17.85546875" customWidth="1"/>
    <col min="1797" max="1798" width="16.42578125" customWidth="1"/>
    <col min="1799" max="1799" width="17" customWidth="1"/>
    <col min="1800" max="1800" width="14.7109375" customWidth="1"/>
    <col min="1801" max="1801" width="16.140625" customWidth="1"/>
    <col min="1802" max="1802" width="51.7109375" customWidth="1"/>
    <col min="1803" max="1805" width="14.7109375" customWidth="1"/>
    <col min="1806" max="1806" width="17.5703125" customWidth="1"/>
    <col min="1807" max="1807" width="17" customWidth="1"/>
    <col min="1808" max="1808" width="13.42578125" customWidth="1"/>
    <col min="1809" max="1809" width="20.140625" customWidth="1"/>
    <col min="1810" max="1810" width="18.42578125" customWidth="1"/>
    <col min="1811" max="1811" width="14.7109375" customWidth="1"/>
    <col min="1812" max="1812" width="16.7109375" customWidth="1"/>
    <col min="2049" max="2049" width="52.5703125" customWidth="1"/>
    <col min="2050" max="2050" width="13.85546875" customWidth="1"/>
    <col min="2051" max="2051" width="17" customWidth="1"/>
    <col min="2052" max="2052" width="17.85546875" customWidth="1"/>
    <col min="2053" max="2054" width="16.42578125" customWidth="1"/>
    <col min="2055" max="2055" width="17" customWidth="1"/>
    <col min="2056" max="2056" width="14.7109375" customWidth="1"/>
    <col min="2057" max="2057" width="16.140625" customWidth="1"/>
    <col min="2058" max="2058" width="51.7109375" customWidth="1"/>
    <col min="2059" max="2061" width="14.7109375" customWidth="1"/>
    <col min="2062" max="2062" width="17.5703125" customWidth="1"/>
    <col min="2063" max="2063" width="17" customWidth="1"/>
    <col min="2064" max="2064" width="13.42578125" customWidth="1"/>
    <col min="2065" max="2065" width="20.140625" customWidth="1"/>
    <col min="2066" max="2066" width="18.42578125" customWidth="1"/>
    <col min="2067" max="2067" width="14.7109375" customWidth="1"/>
    <col min="2068" max="2068" width="16.7109375" customWidth="1"/>
    <col min="2305" max="2305" width="52.5703125" customWidth="1"/>
    <col min="2306" max="2306" width="13.85546875" customWidth="1"/>
    <col min="2307" max="2307" width="17" customWidth="1"/>
    <col min="2308" max="2308" width="17.85546875" customWidth="1"/>
    <col min="2309" max="2310" width="16.42578125" customWidth="1"/>
    <col min="2311" max="2311" width="17" customWidth="1"/>
    <col min="2312" max="2312" width="14.7109375" customWidth="1"/>
    <col min="2313" max="2313" width="16.140625" customWidth="1"/>
    <col min="2314" max="2314" width="51.7109375" customWidth="1"/>
    <col min="2315" max="2317" width="14.7109375" customWidth="1"/>
    <col min="2318" max="2318" width="17.5703125" customWidth="1"/>
    <col min="2319" max="2319" width="17" customWidth="1"/>
    <col min="2320" max="2320" width="13.42578125" customWidth="1"/>
    <col min="2321" max="2321" width="20.140625" customWidth="1"/>
    <col min="2322" max="2322" width="18.42578125" customWidth="1"/>
    <col min="2323" max="2323" width="14.7109375" customWidth="1"/>
    <col min="2324" max="2324" width="16.7109375" customWidth="1"/>
    <col min="2561" max="2561" width="52.5703125" customWidth="1"/>
    <col min="2562" max="2562" width="13.85546875" customWidth="1"/>
    <col min="2563" max="2563" width="17" customWidth="1"/>
    <col min="2564" max="2564" width="17.85546875" customWidth="1"/>
    <col min="2565" max="2566" width="16.42578125" customWidth="1"/>
    <col min="2567" max="2567" width="17" customWidth="1"/>
    <col min="2568" max="2568" width="14.7109375" customWidth="1"/>
    <col min="2569" max="2569" width="16.140625" customWidth="1"/>
    <col min="2570" max="2570" width="51.7109375" customWidth="1"/>
    <col min="2571" max="2573" width="14.7109375" customWidth="1"/>
    <col min="2574" max="2574" width="17.5703125" customWidth="1"/>
    <col min="2575" max="2575" width="17" customWidth="1"/>
    <col min="2576" max="2576" width="13.42578125" customWidth="1"/>
    <col min="2577" max="2577" width="20.140625" customWidth="1"/>
    <col min="2578" max="2578" width="18.42578125" customWidth="1"/>
    <col min="2579" max="2579" width="14.7109375" customWidth="1"/>
    <col min="2580" max="2580" width="16.7109375" customWidth="1"/>
    <col min="2817" max="2817" width="52.5703125" customWidth="1"/>
    <col min="2818" max="2818" width="13.85546875" customWidth="1"/>
    <col min="2819" max="2819" width="17" customWidth="1"/>
    <col min="2820" max="2820" width="17.85546875" customWidth="1"/>
    <col min="2821" max="2822" width="16.42578125" customWidth="1"/>
    <col min="2823" max="2823" width="17" customWidth="1"/>
    <col min="2824" max="2824" width="14.7109375" customWidth="1"/>
    <col min="2825" max="2825" width="16.140625" customWidth="1"/>
    <col min="2826" max="2826" width="51.7109375" customWidth="1"/>
    <col min="2827" max="2829" width="14.7109375" customWidth="1"/>
    <col min="2830" max="2830" width="17.5703125" customWidth="1"/>
    <col min="2831" max="2831" width="17" customWidth="1"/>
    <col min="2832" max="2832" width="13.42578125" customWidth="1"/>
    <col min="2833" max="2833" width="20.140625" customWidth="1"/>
    <col min="2834" max="2834" width="18.42578125" customWidth="1"/>
    <col min="2835" max="2835" width="14.7109375" customWidth="1"/>
    <col min="2836" max="2836" width="16.7109375" customWidth="1"/>
    <col min="3073" max="3073" width="52.5703125" customWidth="1"/>
    <col min="3074" max="3074" width="13.85546875" customWidth="1"/>
    <col min="3075" max="3075" width="17" customWidth="1"/>
    <col min="3076" max="3076" width="17.85546875" customWidth="1"/>
    <col min="3077" max="3078" width="16.42578125" customWidth="1"/>
    <col min="3079" max="3079" width="17" customWidth="1"/>
    <col min="3080" max="3080" width="14.7109375" customWidth="1"/>
    <col min="3081" max="3081" width="16.140625" customWidth="1"/>
    <col min="3082" max="3082" width="51.7109375" customWidth="1"/>
    <col min="3083" max="3085" width="14.7109375" customWidth="1"/>
    <col min="3086" max="3086" width="17.5703125" customWidth="1"/>
    <col min="3087" max="3087" width="17" customWidth="1"/>
    <col min="3088" max="3088" width="13.42578125" customWidth="1"/>
    <col min="3089" max="3089" width="20.140625" customWidth="1"/>
    <col min="3090" max="3090" width="18.42578125" customWidth="1"/>
    <col min="3091" max="3091" width="14.7109375" customWidth="1"/>
    <col min="3092" max="3092" width="16.7109375" customWidth="1"/>
    <col min="3329" max="3329" width="52.5703125" customWidth="1"/>
    <col min="3330" max="3330" width="13.85546875" customWidth="1"/>
    <col min="3331" max="3331" width="17" customWidth="1"/>
    <col min="3332" max="3332" width="17.85546875" customWidth="1"/>
    <col min="3333" max="3334" width="16.42578125" customWidth="1"/>
    <col min="3335" max="3335" width="17" customWidth="1"/>
    <col min="3336" max="3336" width="14.7109375" customWidth="1"/>
    <col min="3337" max="3337" width="16.140625" customWidth="1"/>
    <col min="3338" max="3338" width="51.7109375" customWidth="1"/>
    <col min="3339" max="3341" width="14.7109375" customWidth="1"/>
    <col min="3342" max="3342" width="17.5703125" customWidth="1"/>
    <col min="3343" max="3343" width="17" customWidth="1"/>
    <col min="3344" max="3344" width="13.42578125" customWidth="1"/>
    <col min="3345" max="3345" width="20.140625" customWidth="1"/>
    <col min="3346" max="3346" width="18.42578125" customWidth="1"/>
    <col min="3347" max="3347" width="14.7109375" customWidth="1"/>
    <col min="3348" max="3348" width="16.7109375" customWidth="1"/>
    <col min="3585" max="3585" width="52.5703125" customWidth="1"/>
    <col min="3586" max="3586" width="13.85546875" customWidth="1"/>
    <col min="3587" max="3587" width="17" customWidth="1"/>
    <col min="3588" max="3588" width="17.85546875" customWidth="1"/>
    <col min="3589" max="3590" width="16.42578125" customWidth="1"/>
    <col min="3591" max="3591" width="17" customWidth="1"/>
    <col min="3592" max="3592" width="14.7109375" customWidth="1"/>
    <col min="3593" max="3593" width="16.140625" customWidth="1"/>
    <col min="3594" max="3594" width="51.7109375" customWidth="1"/>
    <col min="3595" max="3597" width="14.7109375" customWidth="1"/>
    <col min="3598" max="3598" width="17.5703125" customWidth="1"/>
    <col min="3599" max="3599" width="17" customWidth="1"/>
    <col min="3600" max="3600" width="13.42578125" customWidth="1"/>
    <col min="3601" max="3601" width="20.140625" customWidth="1"/>
    <col min="3602" max="3602" width="18.42578125" customWidth="1"/>
    <col min="3603" max="3603" width="14.7109375" customWidth="1"/>
    <col min="3604" max="3604" width="16.7109375" customWidth="1"/>
    <col min="3841" max="3841" width="52.5703125" customWidth="1"/>
    <col min="3842" max="3842" width="13.85546875" customWidth="1"/>
    <col min="3843" max="3843" width="17" customWidth="1"/>
    <col min="3844" max="3844" width="17.85546875" customWidth="1"/>
    <col min="3845" max="3846" width="16.42578125" customWidth="1"/>
    <col min="3847" max="3847" width="17" customWidth="1"/>
    <col min="3848" max="3848" width="14.7109375" customWidth="1"/>
    <col min="3849" max="3849" width="16.140625" customWidth="1"/>
    <col min="3850" max="3850" width="51.7109375" customWidth="1"/>
    <col min="3851" max="3853" width="14.7109375" customWidth="1"/>
    <col min="3854" max="3854" width="17.5703125" customWidth="1"/>
    <col min="3855" max="3855" width="17" customWidth="1"/>
    <col min="3856" max="3856" width="13.42578125" customWidth="1"/>
    <col min="3857" max="3857" width="20.140625" customWidth="1"/>
    <col min="3858" max="3858" width="18.42578125" customWidth="1"/>
    <col min="3859" max="3859" width="14.7109375" customWidth="1"/>
    <col min="3860" max="3860" width="16.7109375" customWidth="1"/>
    <col min="4097" max="4097" width="52.5703125" customWidth="1"/>
    <col min="4098" max="4098" width="13.85546875" customWidth="1"/>
    <col min="4099" max="4099" width="17" customWidth="1"/>
    <col min="4100" max="4100" width="17.85546875" customWidth="1"/>
    <col min="4101" max="4102" width="16.42578125" customWidth="1"/>
    <col min="4103" max="4103" width="17" customWidth="1"/>
    <col min="4104" max="4104" width="14.7109375" customWidth="1"/>
    <col min="4105" max="4105" width="16.140625" customWidth="1"/>
    <col min="4106" max="4106" width="51.7109375" customWidth="1"/>
    <col min="4107" max="4109" width="14.7109375" customWidth="1"/>
    <col min="4110" max="4110" width="17.5703125" customWidth="1"/>
    <col min="4111" max="4111" width="17" customWidth="1"/>
    <col min="4112" max="4112" width="13.42578125" customWidth="1"/>
    <col min="4113" max="4113" width="20.140625" customWidth="1"/>
    <col min="4114" max="4114" width="18.42578125" customWidth="1"/>
    <col min="4115" max="4115" width="14.7109375" customWidth="1"/>
    <col min="4116" max="4116" width="16.7109375" customWidth="1"/>
    <col min="4353" max="4353" width="52.5703125" customWidth="1"/>
    <col min="4354" max="4354" width="13.85546875" customWidth="1"/>
    <col min="4355" max="4355" width="17" customWidth="1"/>
    <col min="4356" max="4356" width="17.85546875" customWidth="1"/>
    <col min="4357" max="4358" width="16.42578125" customWidth="1"/>
    <col min="4359" max="4359" width="17" customWidth="1"/>
    <col min="4360" max="4360" width="14.7109375" customWidth="1"/>
    <col min="4361" max="4361" width="16.140625" customWidth="1"/>
    <col min="4362" max="4362" width="51.7109375" customWidth="1"/>
    <col min="4363" max="4365" width="14.7109375" customWidth="1"/>
    <col min="4366" max="4366" width="17.5703125" customWidth="1"/>
    <col min="4367" max="4367" width="17" customWidth="1"/>
    <col min="4368" max="4368" width="13.42578125" customWidth="1"/>
    <col min="4369" max="4369" width="20.140625" customWidth="1"/>
    <col min="4370" max="4370" width="18.42578125" customWidth="1"/>
    <col min="4371" max="4371" width="14.7109375" customWidth="1"/>
    <col min="4372" max="4372" width="16.7109375" customWidth="1"/>
    <col min="4609" max="4609" width="52.5703125" customWidth="1"/>
    <col min="4610" max="4610" width="13.85546875" customWidth="1"/>
    <col min="4611" max="4611" width="17" customWidth="1"/>
    <col min="4612" max="4612" width="17.85546875" customWidth="1"/>
    <col min="4613" max="4614" width="16.42578125" customWidth="1"/>
    <col min="4615" max="4615" width="17" customWidth="1"/>
    <col min="4616" max="4616" width="14.7109375" customWidth="1"/>
    <col min="4617" max="4617" width="16.140625" customWidth="1"/>
    <col min="4618" max="4618" width="51.7109375" customWidth="1"/>
    <col min="4619" max="4621" width="14.7109375" customWidth="1"/>
    <col min="4622" max="4622" width="17.5703125" customWidth="1"/>
    <col min="4623" max="4623" width="17" customWidth="1"/>
    <col min="4624" max="4624" width="13.42578125" customWidth="1"/>
    <col min="4625" max="4625" width="20.140625" customWidth="1"/>
    <col min="4626" max="4626" width="18.42578125" customWidth="1"/>
    <col min="4627" max="4627" width="14.7109375" customWidth="1"/>
    <col min="4628" max="4628" width="16.7109375" customWidth="1"/>
    <col min="4865" max="4865" width="52.5703125" customWidth="1"/>
    <col min="4866" max="4866" width="13.85546875" customWidth="1"/>
    <col min="4867" max="4867" width="17" customWidth="1"/>
    <col min="4868" max="4868" width="17.85546875" customWidth="1"/>
    <col min="4869" max="4870" width="16.42578125" customWidth="1"/>
    <col min="4871" max="4871" width="17" customWidth="1"/>
    <col min="4872" max="4872" width="14.7109375" customWidth="1"/>
    <col min="4873" max="4873" width="16.140625" customWidth="1"/>
    <col min="4874" max="4874" width="51.7109375" customWidth="1"/>
    <col min="4875" max="4877" width="14.7109375" customWidth="1"/>
    <col min="4878" max="4878" width="17.5703125" customWidth="1"/>
    <col min="4879" max="4879" width="17" customWidth="1"/>
    <col min="4880" max="4880" width="13.42578125" customWidth="1"/>
    <col min="4881" max="4881" width="20.140625" customWidth="1"/>
    <col min="4882" max="4882" width="18.42578125" customWidth="1"/>
    <col min="4883" max="4883" width="14.7109375" customWidth="1"/>
    <col min="4884" max="4884" width="16.7109375" customWidth="1"/>
    <col min="5121" max="5121" width="52.5703125" customWidth="1"/>
    <col min="5122" max="5122" width="13.85546875" customWidth="1"/>
    <col min="5123" max="5123" width="17" customWidth="1"/>
    <col min="5124" max="5124" width="17.85546875" customWidth="1"/>
    <col min="5125" max="5126" width="16.42578125" customWidth="1"/>
    <col min="5127" max="5127" width="17" customWidth="1"/>
    <col min="5128" max="5128" width="14.7109375" customWidth="1"/>
    <col min="5129" max="5129" width="16.140625" customWidth="1"/>
    <col min="5130" max="5130" width="51.7109375" customWidth="1"/>
    <col min="5131" max="5133" width="14.7109375" customWidth="1"/>
    <col min="5134" max="5134" width="17.5703125" customWidth="1"/>
    <col min="5135" max="5135" width="17" customWidth="1"/>
    <col min="5136" max="5136" width="13.42578125" customWidth="1"/>
    <col min="5137" max="5137" width="20.140625" customWidth="1"/>
    <col min="5138" max="5138" width="18.42578125" customWidth="1"/>
    <col min="5139" max="5139" width="14.7109375" customWidth="1"/>
    <col min="5140" max="5140" width="16.7109375" customWidth="1"/>
    <col min="5377" max="5377" width="52.5703125" customWidth="1"/>
    <col min="5378" max="5378" width="13.85546875" customWidth="1"/>
    <col min="5379" max="5379" width="17" customWidth="1"/>
    <col min="5380" max="5380" width="17.85546875" customWidth="1"/>
    <col min="5381" max="5382" width="16.42578125" customWidth="1"/>
    <col min="5383" max="5383" width="17" customWidth="1"/>
    <col min="5384" max="5384" width="14.7109375" customWidth="1"/>
    <col min="5385" max="5385" width="16.140625" customWidth="1"/>
    <col min="5386" max="5386" width="51.7109375" customWidth="1"/>
    <col min="5387" max="5389" width="14.7109375" customWidth="1"/>
    <col min="5390" max="5390" width="17.5703125" customWidth="1"/>
    <col min="5391" max="5391" width="17" customWidth="1"/>
    <col min="5392" max="5392" width="13.42578125" customWidth="1"/>
    <col min="5393" max="5393" width="20.140625" customWidth="1"/>
    <col min="5394" max="5394" width="18.42578125" customWidth="1"/>
    <col min="5395" max="5395" width="14.7109375" customWidth="1"/>
    <col min="5396" max="5396" width="16.7109375" customWidth="1"/>
    <col min="5633" max="5633" width="52.5703125" customWidth="1"/>
    <col min="5634" max="5634" width="13.85546875" customWidth="1"/>
    <col min="5635" max="5635" width="17" customWidth="1"/>
    <col min="5636" max="5636" width="17.85546875" customWidth="1"/>
    <col min="5637" max="5638" width="16.42578125" customWidth="1"/>
    <col min="5639" max="5639" width="17" customWidth="1"/>
    <col min="5640" max="5640" width="14.7109375" customWidth="1"/>
    <col min="5641" max="5641" width="16.140625" customWidth="1"/>
    <col min="5642" max="5642" width="51.7109375" customWidth="1"/>
    <col min="5643" max="5645" width="14.7109375" customWidth="1"/>
    <col min="5646" max="5646" width="17.5703125" customWidth="1"/>
    <col min="5647" max="5647" width="17" customWidth="1"/>
    <col min="5648" max="5648" width="13.42578125" customWidth="1"/>
    <col min="5649" max="5649" width="20.140625" customWidth="1"/>
    <col min="5650" max="5650" width="18.42578125" customWidth="1"/>
    <col min="5651" max="5651" width="14.7109375" customWidth="1"/>
    <col min="5652" max="5652" width="16.7109375" customWidth="1"/>
    <col min="5889" max="5889" width="52.5703125" customWidth="1"/>
    <col min="5890" max="5890" width="13.85546875" customWidth="1"/>
    <col min="5891" max="5891" width="17" customWidth="1"/>
    <col min="5892" max="5892" width="17.85546875" customWidth="1"/>
    <col min="5893" max="5894" width="16.42578125" customWidth="1"/>
    <col min="5895" max="5895" width="17" customWidth="1"/>
    <col min="5896" max="5896" width="14.7109375" customWidth="1"/>
    <col min="5897" max="5897" width="16.140625" customWidth="1"/>
    <col min="5898" max="5898" width="51.7109375" customWidth="1"/>
    <col min="5899" max="5901" width="14.7109375" customWidth="1"/>
    <col min="5902" max="5902" width="17.5703125" customWidth="1"/>
    <col min="5903" max="5903" width="17" customWidth="1"/>
    <col min="5904" max="5904" width="13.42578125" customWidth="1"/>
    <col min="5905" max="5905" width="20.140625" customWidth="1"/>
    <col min="5906" max="5906" width="18.42578125" customWidth="1"/>
    <col min="5907" max="5907" width="14.7109375" customWidth="1"/>
    <col min="5908" max="5908" width="16.7109375" customWidth="1"/>
    <col min="6145" max="6145" width="52.5703125" customWidth="1"/>
    <col min="6146" max="6146" width="13.85546875" customWidth="1"/>
    <col min="6147" max="6147" width="17" customWidth="1"/>
    <col min="6148" max="6148" width="17.85546875" customWidth="1"/>
    <col min="6149" max="6150" width="16.42578125" customWidth="1"/>
    <col min="6151" max="6151" width="17" customWidth="1"/>
    <col min="6152" max="6152" width="14.7109375" customWidth="1"/>
    <col min="6153" max="6153" width="16.140625" customWidth="1"/>
    <col min="6154" max="6154" width="51.7109375" customWidth="1"/>
    <col min="6155" max="6157" width="14.7109375" customWidth="1"/>
    <col min="6158" max="6158" width="17.5703125" customWidth="1"/>
    <col min="6159" max="6159" width="17" customWidth="1"/>
    <col min="6160" max="6160" width="13.42578125" customWidth="1"/>
    <col min="6161" max="6161" width="20.140625" customWidth="1"/>
    <col min="6162" max="6162" width="18.42578125" customWidth="1"/>
    <col min="6163" max="6163" width="14.7109375" customWidth="1"/>
    <col min="6164" max="6164" width="16.7109375" customWidth="1"/>
    <col min="6401" max="6401" width="52.5703125" customWidth="1"/>
    <col min="6402" max="6402" width="13.85546875" customWidth="1"/>
    <col min="6403" max="6403" width="17" customWidth="1"/>
    <col min="6404" max="6404" width="17.85546875" customWidth="1"/>
    <col min="6405" max="6406" width="16.42578125" customWidth="1"/>
    <col min="6407" max="6407" width="17" customWidth="1"/>
    <col min="6408" max="6408" width="14.7109375" customWidth="1"/>
    <col min="6409" max="6409" width="16.140625" customWidth="1"/>
    <col min="6410" max="6410" width="51.7109375" customWidth="1"/>
    <col min="6411" max="6413" width="14.7109375" customWidth="1"/>
    <col min="6414" max="6414" width="17.5703125" customWidth="1"/>
    <col min="6415" max="6415" width="17" customWidth="1"/>
    <col min="6416" max="6416" width="13.42578125" customWidth="1"/>
    <col min="6417" max="6417" width="20.140625" customWidth="1"/>
    <col min="6418" max="6418" width="18.42578125" customWidth="1"/>
    <col min="6419" max="6419" width="14.7109375" customWidth="1"/>
    <col min="6420" max="6420" width="16.7109375" customWidth="1"/>
    <col min="6657" max="6657" width="52.5703125" customWidth="1"/>
    <col min="6658" max="6658" width="13.85546875" customWidth="1"/>
    <col min="6659" max="6659" width="17" customWidth="1"/>
    <col min="6660" max="6660" width="17.85546875" customWidth="1"/>
    <col min="6661" max="6662" width="16.42578125" customWidth="1"/>
    <col min="6663" max="6663" width="17" customWidth="1"/>
    <col min="6664" max="6664" width="14.7109375" customWidth="1"/>
    <col min="6665" max="6665" width="16.140625" customWidth="1"/>
    <col min="6666" max="6666" width="51.7109375" customWidth="1"/>
    <col min="6667" max="6669" width="14.7109375" customWidth="1"/>
    <col min="6670" max="6670" width="17.5703125" customWidth="1"/>
    <col min="6671" max="6671" width="17" customWidth="1"/>
    <col min="6672" max="6672" width="13.42578125" customWidth="1"/>
    <col min="6673" max="6673" width="20.140625" customWidth="1"/>
    <col min="6674" max="6674" width="18.42578125" customWidth="1"/>
    <col min="6675" max="6675" width="14.7109375" customWidth="1"/>
    <col min="6676" max="6676" width="16.7109375" customWidth="1"/>
    <col min="6913" max="6913" width="52.5703125" customWidth="1"/>
    <col min="6914" max="6914" width="13.85546875" customWidth="1"/>
    <col min="6915" max="6915" width="17" customWidth="1"/>
    <col min="6916" max="6916" width="17.85546875" customWidth="1"/>
    <col min="6917" max="6918" width="16.42578125" customWidth="1"/>
    <col min="6919" max="6919" width="17" customWidth="1"/>
    <col min="6920" max="6920" width="14.7109375" customWidth="1"/>
    <col min="6921" max="6921" width="16.140625" customWidth="1"/>
    <col min="6922" max="6922" width="51.7109375" customWidth="1"/>
    <col min="6923" max="6925" width="14.7109375" customWidth="1"/>
    <col min="6926" max="6926" width="17.5703125" customWidth="1"/>
    <col min="6927" max="6927" width="17" customWidth="1"/>
    <col min="6928" max="6928" width="13.42578125" customWidth="1"/>
    <col min="6929" max="6929" width="20.140625" customWidth="1"/>
    <col min="6930" max="6930" width="18.42578125" customWidth="1"/>
    <col min="6931" max="6931" width="14.7109375" customWidth="1"/>
    <col min="6932" max="6932" width="16.7109375" customWidth="1"/>
    <col min="7169" max="7169" width="52.5703125" customWidth="1"/>
    <col min="7170" max="7170" width="13.85546875" customWidth="1"/>
    <col min="7171" max="7171" width="17" customWidth="1"/>
    <col min="7172" max="7172" width="17.85546875" customWidth="1"/>
    <col min="7173" max="7174" width="16.42578125" customWidth="1"/>
    <col min="7175" max="7175" width="17" customWidth="1"/>
    <col min="7176" max="7176" width="14.7109375" customWidth="1"/>
    <col min="7177" max="7177" width="16.140625" customWidth="1"/>
    <col min="7178" max="7178" width="51.7109375" customWidth="1"/>
    <col min="7179" max="7181" width="14.7109375" customWidth="1"/>
    <col min="7182" max="7182" width="17.5703125" customWidth="1"/>
    <col min="7183" max="7183" width="17" customWidth="1"/>
    <col min="7184" max="7184" width="13.42578125" customWidth="1"/>
    <col min="7185" max="7185" width="20.140625" customWidth="1"/>
    <col min="7186" max="7186" width="18.42578125" customWidth="1"/>
    <col min="7187" max="7187" width="14.7109375" customWidth="1"/>
    <col min="7188" max="7188" width="16.7109375" customWidth="1"/>
    <col min="7425" max="7425" width="52.5703125" customWidth="1"/>
    <col min="7426" max="7426" width="13.85546875" customWidth="1"/>
    <col min="7427" max="7427" width="17" customWidth="1"/>
    <col min="7428" max="7428" width="17.85546875" customWidth="1"/>
    <col min="7429" max="7430" width="16.42578125" customWidth="1"/>
    <col min="7431" max="7431" width="17" customWidth="1"/>
    <col min="7432" max="7432" width="14.7109375" customWidth="1"/>
    <col min="7433" max="7433" width="16.140625" customWidth="1"/>
    <col min="7434" max="7434" width="51.7109375" customWidth="1"/>
    <col min="7435" max="7437" width="14.7109375" customWidth="1"/>
    <col min="7438" max="7438" width="17.5703125" customWidth="1"/>
    <col min="7439" max="7439" width="17" customWidth="1"/>
    <col min="7440" max="7440" width="13.42578125" customWidth="1"/>
    <col min="7441" max="7441" width="20.140625" customWidth="1"/>
    <col min="7442" max="7442" width="18.42578125" customWidth="1"/>
    <col min="7443" max="7443" width="14.7109375" customWidth="1"/>
    <col min="7444" max="7444" width="16.7109375" customWidth="1"/>
    <col min="7681" max="7681" width="52.5703125" customWidth="1"/>
    <col min="7682" max="7682" width="13.85546875" customWidth="1"/>
    <col min="7683" max="7683" width="17" customWidth="1"/>
    <col min="7684" max="7684" width="17.85546875" customWidth="1"/>
    <col min="7685" max="7686" width="16.42578125" customWidth="1"/>
    <col min="7687" max="7687" width="17" customWidth="1"/>
    <col min="7688" max="7688" width="14.7109375" customWidth="1"/>
    <col min="7689" max="7689" width="16.140625" customWidth="1"/>
    <col min="7690" max="7690" width="51.7109375" customWidth="1"/>
    <col min="7691" max="7693" width="14.7109375" customWidth="1"/>
    <col min="7694" max="7694" width="17.5703125" customWidth="1"/>
    <col min="7695" max="7695" width="17" customWidth="1"/>
    <col min="7696" max="7696" width="13.42578125" customWidth="1"/>
    <col min="7697" max="7697" width="20.140625" customWidth="1"/>
    <col min="7698" max="7698" width="18.42578125" customWidth="1"/>
    <col min="7699" max="7699" width="14.7109375" customWidth="1"/>
    <col min="7700" max="7700" width="16.7109375" customWidth="1"/>
    <col min="7937" max="7937" width="52.5703125" customWidth="1"/>
    <col min="7938" max="7938" width="13.85546875" customWidth="1"/>
    <col min="7939" max="7939" width="17" customWidth="1"/>
    <col min="7940" max="7940" width="17.85546875" customWidth="1"/>
    <col min="7941" max="7942" width="16.42578125" customWidth="1"/>
    <col min="7943" max="7943" width="17" customWidth="1"/>
    <col min="7944" max="7944" width="14.7109375" customWidth="1"/>
    <col min="7945" max="7945" width="16.140625" customWidth="1"/>
    <col min="7946" max="7946" width="51.7109375" customWidth="1"/>
    <col min="7947" max="7949" width="14.7109375" customWidth="1"/>
    <col min="7950" max="7950" width="17.5703125" customWidth="1"/>
    <col min="7951" max="7951" width="17" customWidth="1"/>
    <col min="7952" max="7952" width="13.42578125" customWidth="1"/>
    <col min="7953" max="7953" width="20.140625" customWidth="1"/>
    <col min="7954" max="7954" width="18.42578125" customWidth="1"/>
    <col min="7955" max="7955" width="14.7109375" customWidth="1"/>
    <col min="7956" max="7956" width="16.7109375" customWidth="1"/>
    <col min="8193" max="8193" width="52.5703125" customWidth="1"/>
    <col min="8194" max="8194" width="13.85546875" customWidth="1"/>
    <col min="8195" max="8195" width="17" customWidth="1"/>
    <col min="8196" max="8196" width="17.85546875" customWidth="1"/>
    <col min="8197" max="8198" width="16.42578125" customWidth="1"/>
    <col min="8199" max="8199" width="17" customWidth="1"/>
    <col min="8200" max="8200" width="14.7109375" customWidth="1"/>
    <col min="8201" max="8201" width="16.140625" customWidth="1"/>
    <col min="8202" max="8202" width="51.7109375" customWidth="1"/>
    <col min="8203" max="8205" width="14.7109375" customWidth="1"/>
    <col min="8206" max="8206" width="17.5703125" customWidth="1"/>
    <col min="8207" max="8207" width="17" customWidth="1"/>
    <col min="8208" max="8208" width="13.42578125" customWidth="1"/>
    <col min="8209" max="8209" width="20.140625" customWidth="1"/>
    <col min="8210" max="8210" width="18.42578125" customWidth="1"/>
    <col min="8211" max="8211" width="14.7109375" customWidth="1"/>
    <col min="8212" max="8212" width="16.7109375" customWidth="1"/>
    <col min="8449" max="8449" width="52.5703125" customWidth="1"/>
    <col min="8450" max="8450" width="13.85546875" customWidth="1"/>
    <col min="8451" max="8451" width="17" customWidth="1"/>
    <col min="8452" max="8452" width="17.85546875" customWidth="1"/>
    <col min="8453" max="8454" width="16.42578125" customWidth="1"/>
    <col min="8455" max="8455" width="17" customWidth="1"/>
    <col min="8456" max="8456" width="14.7109375" customWidth="1"/>
    <col min="8457" max="8457" width="16.140625" customWidth="1"/>
    <col min="8458" max="8458" width="51.7109375" customWidth="1"/>
    <col min="8459" max="8461" width="14.7109375" customWidth="1"/>
    <col min="8462" max="8462" width="17.5703125" customWidth="1"/>
    <col min="8463" max="8463" width="17" customWidth="1"/>
    <col min="8464" max="8464" width="13.42578125" customWidth="1"/>
    <col min="8465" max="8465" width="20.140625" customWidth="1"/>
    <col min="8466" max="8466" width="18.42578125" customWidth="1"/>
    <col min="8467" max="8467" width="14.7109375" customWidth="1"/>
    <col min="8468" max="8468" width="16.7109375" customWidth="1"/>
    <col min="8705" max="8705" width="52.5703125" customWidth="1"/>
    <col min="8706" max="8706" width="13.85546875" customWidth="1"/>
    <col min="8707" max="8707" width="17" customWidth="1"/>
    <col min="8708" max="8708" width="17.85546875" customWidth="1"/>
    <col min="8709" max="8710" width="16.42578125" customWidth="1"/>
    <col min="8711" max="8711" width="17" customWidth="1"/>
    <col min="8712" max="8712" width="14.7109375" customWidth="1"/>
    <col min="8713" max="8713" width="16.140625" customWidth="1"/>
    <col min="8714" max="8714" width="51.7109375" customWidth="1"/>
    <col min="8715" max="8717" width="14.7109375" customWidth="1"/>
    <col min="8718" max="8718" width="17.5703125" customWidth="1"/>
    <col min="8719" max="8719" width="17" customWidth="1"/>
    <col min="8720" max="8720" width="13.42578125" customWidth="1"/>
    <col min="8721" max="8721" width="20.140625" customWidth="1"/>
    <col min="8722" max="8722" width="18.42578125" customWidth="1"/>
    <col min="8723" max="8723" width="14.7109375" customWidth="1"/>
    <col min="8724" max="8724" width="16.7109375" customWidth="1"/>
    <col min="8961" max="8961" width="52.5703125" customWidth="1"/>
    <col min="8962" max="8962" width="13.85546875" customWidth="1"/>
    <col min="8963" max="8963" width="17" customWidth="1"/>
    <col min="8964" max="8964" width="17.85546875" customWidth="1"/>
    <col min="8965" max="8966" width="16.42578125" customWidth="1"/>
    <col min="8967" max="8967" width="17" customWidth="1"/>
    <col min="8968" max="8968" width="14.7109375" customWidth="1"/>
    <col min="8969" max="8969" width="16.140625" customWidth="1"/>
    <col min="8970" max="8970" width="51.7109375" customWidth="1"/>
    <col min="8971" max="8973" width="14.7109375" customWidth="1"/>
    <col min="8974" max="8974" width="17.5703125" customWidth="1"/>
    <col min="8975" max="8975" width="17" customWidth="1"/>
    <col min="8976" max="8976" width="13.42578125" customWidth="1"/>
    <col min="8977" max="8977" width="20.140625" customWidth="1"/>
    <col min="8978" max="8978" width="18.42578125" customWidth="1"/>
    <col min="8979" max="8979" width="14.7109375" customWidth="1"/>
    <col min="8980" max="8980" width="16.7109375" customWidth="1"/>
    <col min="9217" max="9217" width="52.5703125" customWidth="1"/>
    <col min="9218" max="9218" width="13.85546875" customWidth="1"/>
    <col min="9219" max="9219" width="17" customWidth="1"/>
    <col min="9220" max="9220" width="17.85546875" customWidth="1"/>
    <col min="9221" max="9222" width="16.42578125" customWidth="1"/>
    <col min="9223" max="9223" width="17" customWidth="1"/>
    <col min="9224" max="9224" width="14.7109375" customWidth="1"/>
    <col min="9225" max="9225" width="16.140625" customWidth="1"/>
    <col min="9226" max="9226" width="51.7109375" customWidth="1"/>
    <col min="9227" max="9229" width="14.7109375" customWidth="1"/>
    <col min="9230" max="9230" width="17.5703125" customWidth="1"/>
    <col min="9231" max="9231" width="17" customWidth="1"/>
    <col min="9232" max="9232" width="13.42578125" customWidth="1"/>
    <col min="9233" max="9233" width="20.140625" customWidth="1"/>
    <col min="9234" max="9234" width="18.42578125" customWidth="1"/>
    <col min="9235" max="9235" width="14.7109375" customWidth="1"/>
    <col min="9236" max="9236" width="16.7109375" customWidth="1"/>
    <col min="9473" max="9473" width="52.5703125" customWidth="1"/>
    <col min="9474" max="9474" width="13.85546875" customWidth="1"/>
    <col min="9475" max="9475" width="17" customWidth="1"/>
    <col min="9476" max="9476" width="17.85546875" customWidth="1"/>
    <col min="9477" max="9478" width="16.42578125" customWidth="1"/>
    <col min="9479" max="9479" width="17" customWidth="1"/>
    <col min="9480" max="9480" width="14.7109375" customWidth="1"/>
    <col min="9481" max="9481" width="16.140625" customWidth="1"/>
    <col min="9482" max="9482" width="51.7109375" customWidth="1"/>
    <col min="9483" max="9485" width="14.7109375" customWidth="1"/>
    <col min="9486" max="9486" width="17.5703125" customWidth="1"/>
    <col min="9487" max="9487" width="17" customWidth="1"/>
    <col min="9488" max="9488" width="13.42578125" customWidth="1"/>
    <col min="9489" max="9489" width="20.140625" customWidth="1"/>
    <col min="9490" max="9490" width="18.42578125" customWidth="1"/>
    <col min="9491" max="9491" width="14.7109375" customWidth="1"/>
    <col min="9492" max="9492" width="16.7109375" customWidth="1"/>
    <col min="9729" max="9729" width="52.5703125" customWidth="1"/>
    <col min="9730" max="9730" width="13.85546875" customWidth="1"/>
    <col min="9731" max="9731" width="17" customWidth="1"/>
    <col min="9732" max="9732" width="17.85546875" customWidth="1"/>
    <col min="9733" max="9734" width="16.42578125" customWidth="1"/>
    <col min="9735" max="9735" width="17" customWidth="1"/>
    <col min="9736" max="9736" width="14.7109375" customWidth="1"/>
    <col min="9737" max="9737" width="16.140625" customWidth="1"/>
    <col min="9738" max="9738" width="51.7109375" customWidth="1"/>
    <col min="9739" max="9741" width="14.7109375" customWidth="1"/>
    <col min="9742" max="9742" width="17.5703125" customWidth="1"/>
    <col min="9743" max="9743" width="17" customWidth="1"/>
    <col min="9744" max="9744" width="13.42578125" customWidth="1"/>
    <col min="9745" max="9745" width="20.140625" customWidth="1"/>
    <col min="9746" max="9746" width="18.42578125" customWidth="1"/>
    <col min="9747" max="9747" width="14.7109375" customWidth="1"/>
    <col min="9748" max="9748" width="16.7109375" customWidth="1"/>
    <col min="9985" max="9985" width="52.5703125" customWidth="1"/>
    <col min="9986" max="9986" width="13.85546875" customWidth="1"/>
    <col min="9987" max="9987" width="17" customWidth="1"/>
    <col min="9988" max="9988" width="17.85546875" customWidth="1"/>
    <col min="9989" max="9990" width="16.42578125" customWidth="1"/>
    <col min="9991" max="9991" width="17" customWidth="1"/>
    <col min="9992" max="9992" width="14.7109375" customWidth="1"/>
    <col min="9993" max="9993" width="16.140625" customWidth="1"/>
    <col min="9994" max="9994" width="51.7109375" customWidth="1"/>
    <col min="9995" max="9997" width="14.7109375" customWidth="1"/>
    <col min="9998" max="9998" width="17.5703125" customWidth="1"/>
    <col min="9999" max="9999" width="17" customWidth="1"/>
    <col min="10000" max="10000" width="13.42578125" customWidth="1"/>
    <col min="10001" max="10001" width="20.140625" customWidth="1"/>
    <col min="10002" max="10002" width="18.42578125" customWidth="1"/>
    <col min="10003" max="10003" width="14.7109375" customWidth="1"/>
    <col min="10004" max="10004" width="16.7109375" customWidth="1"/>
    <col min="10241" max="10241" width="52.5703125" customWidth="1"/>
    <col min="10242" max="10242" width="13.85546875" customWidth="1"/>
    <col min="10243" max="10243" width="17" customWidth="1"/>
    <col min="10244" max="10244" width="17.85546875" customWidth="1"/>
    <col min="10245" max="10246" width="16.42578125" customWidth="1"/>
    <col min="10247" max="10247" width="17" customWidth="1"/>
    <col min="10248" max="10248" width="14.7109375" customWidth="1"/>
    <col min="10249" max="10249" width="16.140625" customWidth="1"/>
    <col min="10250" max="10250" width="51.7109375" customWidth="1"/>
    <col min="10251" max="10253" width="14.7109375" customWidth="1"/>
    <col min="10254" max="10254" width="17.5703125" customWidth="1"/>
    <col min="10255" max="10255" width="17" customWidth="1"/>
    <col min="10256" max="10256" width="13.42578125" customWidth="1"/>
    <col min="10257" max="10257" width="20.140625" customWidth="1"/>
    <col min="10258" max="10258" width="18.42578125" customWidth="1"/>
    <col min="10259" max="10259" width="14.7109375" customWidth="1"/>
    <col min="10260" max="10260" width="16.7109375" customWidth="1"/>
    <col min="10497" max="10497" width="52.5703125" customWidth="1"/>
    <col min="10498" max="10498" width="13.85546875" customWidth="1"/>
    <col min="10499" max="10499" width="17" customWidth="1"/>
    <col min="10500" max="10500" width="17.85546875" customWidth="1"/>
    <col min="10501" max="10502" width="16.42578125" customWidth="1"/>
    <col min="10503" max="10503" width="17" customWidth="1"/>
    <col min="10504" max="10504" width="14.7109375" customWidth="1"/>
    <col min="10505" max="10505" width="16.140625" customWidth="1"/>
    <col min="10506" max="10506" width="51.7109375" customWidth="1"/>
    <col min="10507" max="10509" width="14.7109375" customWidth="1"/>
    <col min="10510" max="10510" width="17.5703125" customWidth="1"/>
    <col min="10511" max="10511" width="17" customWidth="1"/>
    <col min="10512" max="10512" width="13.42578125" customWidth="1"/>
    <col min="10513" max="10513" width="20.140625" customWidth="1"/>
    <col min="10514" max="10514" width="18.42578125" customWidth="1"/>
    <col min="10515" max="10515" width="14.7109375" customWidth="1"/>
    <col min="10516" max="10516" width="16.7109375" customWidth="1"/>
    <col min="10753" max="10753" width="52.5703125" customWidth="1"/>
    <col min="10754" max="10754" width="13.85546875" customWidth="1"/>
    <col min="10755" max="10755" width="17" customWidth="1"/>
    <col min="10756" max="10756" width="17.85546875" customWidth="1"/>
    <col min="10757" max="10758" width="16.42578125" customWidth="1"/>
    <col min="10759" max="10759" width="17" customWidth="1"/>
    <col min="10760" max="10760" width="14.7109375" customWidth="1"/>
    <col min="10761" max="10761" width="16.140625" customWidth="1"/>
    <col min="10762" max="10762" width="51.7109375" customWidth="1"/>
    <col min="10763" max="10765" width="14.7109375" customWidth="1"/>
    <col min="10766" max="10766" width="17.5703125" customWidth="1"/>
    <col min="10767" max="10767" width="17" customWidth="1"/>
    <col min="10768" max="10768" width="13.42578125" customWidth="1"/>
    <col min="10769" max="10769" width="20.140625" customWidth="1"/>
    <col min="10770" max="10770" width="18.42578125" customWidth="1"/>
    <col min="10771" max="10771" width="14.7109375" customWidth="1"/>
    <col min="10772" max="10772" width="16.7109375" customWidth="1"/>
    <col min="11009" max="11009" width="52.5703125" customWidth="1"/>
    <col min="11010" max="11010" width="13.85546875" customWidth="1"/>
    <col min="11011" max="11011" width="17" customWidth="1"/>
    <col min="11012" max="11012" width="17.85546875" customWidth="1"/>
    <col min="11013" max="11014" width="16.42578125" customWidth="1"/>
    <col min="11015" max="11015" width="17" customWidth="1"/>
    <col min="11016" max="11016" width="14.7109375" customWidth="1"/>
    <col min="11017" max="11017" width="16.140625" customWidth="1"/>
    <col min="11018" max="11018" width="51.7109375" customWidth="1"/>
    <col min="11019" max="11021" width="14.7109375" customWidth="1"/>
    <col min="11022" max="11022" width="17.5703125" customWidth="1"/>
    <col min="11023" max="11023" width="17" customWidth="1"/>
    <col min="11024" max="11024" width="13.42578125" customWidth="1"/>
    <col min="11025" max="11025" width="20.140625" customWidth="1"/>
    <col min="11026" max="11026" width="18.42578125" customWidth="1"/>
    <col min="11027" max="11027" width="14.7109375" customWidth="1"/>
    <col min="11028" max="11028" width="16.7109375" customWidth="1"/>
    <col min="11265" max="11265" width="52.5703125" customWidth="1"/>
    <col min="11266" max="11266" width="13.85546875" customWidth="1"/>
    <col min="11267" max="11267" width="17" customWidth="1"/>
    <col min="11268" max="11268" width="17.85546875" customWidth="1"/>
    <col min="11269" max="11270" width="16.42578125" customWidth="1"/>
    <col min="11271" max="11271" width="17" customWidth="1"/>
    <col min="11272" max="11272" width="14.7109375" customWidth="1"/>
    <col min="11273" max="11273" width="16.140625" customWidth="1"/>
    <col min="11274" max="11274" width="51.7109375" customWidth="1"/>
    <col min="11275" max="11277" width="14.7109375" customWidth="1"/>
    <col min="11278" max="11278" width="17.5703125" customWidth="1"/>
    <col min="11279" max="11279" width="17" customWidth="1"/>
    <col min="11280" max="11280" width="13.42578125" customWidth="1"/>
    <col min="11281" max="11281" width="20.140625" customWidth="1"/>
    <col min="11282" max="11282" width="18.42578125" customWidth="1"/>
    <col min="11283" max="11283" width="14.7109375" customWidth="1"/>
    <col min="11284" max="11284" width="16.7109375" customWidth="1"/>
    <col min="11521" max="11521" width="52.5703125" customWidth="1"/>
    <col min="11522" max="11522" width="13.85546875" customWidth="1"/>
    <col min="11523" max="11523" width="17" customWidth="1"/>
    <col min="11524" max="11524" width="17.85546875" customWidth="1"/>
    <col min="11525" max="11526" width="16.42578125" customWidth="1"/>
    <col min="11527" max="11527" width="17" customWidth="1"/>
    <col min="11528" max="11528" width="14.7109375" customWidth="1"/>
    <col min="11529" max="11529" width="16.140625" customWidth="1"/>
    <col min="11530" max="11530" width="51.7109375" customWidth="1"/>
    <col min="11531" max="11533" width="14.7109375" customWidth="1"/>
    <col min="11534" max="11534" width="17.5703125" customWidth="1"/>
    <col min="11535" max="11535" width="17" customWidth="1"/>
    <col min="11536" max="11536" width="13.42578125" customWidth="1"/>
    <col min="11537" max="11537" width="20.140625" customWidth="1"/>
    <col min="11538" max="11538" width="18.42578125" customWidth="1"/>
    <col min="11539" max="11539" width="14.7109375" customWidth="1"/>
    <col min="11540" max="11540" width="16.7109375" customWidth="1"/>
    <col min="11777" max="11777" width="52.5703125" customWidth="1"/>
    <col min="11778" max="11778" width="13.85546875" customWidth="1"/>
    <col min="11779" max="11779" width="17" customWidth="1"/>
    <col min="11780" max="11780" width="17.85546875" customWidth="1"/>
    <col min="11781" max="11782" width="16.42578125" customWidth="1"/>
    <col min="11783" max="11783" width="17" customWidth="1"/>
    <col min="11784" max="11784" width="14.7109375" customWidth="1"/>
    <col min="11785" max="11785" width="16.140625" customWidth="1"/>
    <col min="11786" max="11786" width="51.7109375" customWidth="1"/>
    <col min="11787" max="11789" width="14.7109375" customWidth="1"/>
    <col min="11790" max="11790" width="17.5703125" customWidth="1"/>
    <col min="11791" max="11791" width="17" customWidth="1"/>
    <col min="11792" max="11792" width="13.42578125" customWidth="1"/>
    <col min="11793" max="11793" width="20.140625" customWidth="1"/>
    <col min="11794" max="11794" width="18.42578125" customWidth="1"/>
    <col min="11795" max="11795" width="14.7109375" customWidth="1"/>
    <col min="11796" max="11796" width="16.7109375" customWidth="1"/>
    <col min="12033" max="12033" width="52.5703125" customWidth="1"/>
    <col min="12034" max="12034" width="13.85546875" customWidth="1"/>
    <col min="12035" max="12035" width="17" customWidth="1"/>
    <col min="12036" max="12036" width="17.85546875" customWidth="1"/>
    <col min="12037" max="12038" width="16.42578125" customWidth="1"/>
    <col min="12039" max="12039" width="17" customWidth="1"/>
    <col min="12040" max="12040" width="14.7109375" customWidth="1"/>
    <col min="12041" max="12041" width="16.140625" customWidth="1"/>
    <col min="12042" max="12042" width="51.7109375" customWidth="1"/>
    <col min="12043" max="12045" width="14.7109375" customWidth="1"/>
    <col min="12046" max="12046" width="17.5703125" customWidth="1"/>
    <col min="12047" max="12047" width="17" customWidth="1"/>
    <col min="12048" max="12048" width="13.42578125" customWidth="1"/>
    <col min="12049" max="12049" width="20.140625" customWidth="1"/>
    <col min="12050" max="12050" width="18.42578125" customWidth="1"/>
    <col min="12051" max="12051" width="14.7109375" customWidth="1"/>
    <col min="12052" max="12052" width="16.7109375" customWidth="1"/>
    <col min="12289" max="12289" width="52.5703125" customWidth="1"/>
    <col min="12290" max="12290" width="13.85546875" customWidth="1"/>
    <col min="12291" max="12291" width="17" customWidth="1"/>
    <col min="12292" max="12292" width="17.85546875" customWidth="1"/>
    <col min="12293" max="12294" width="16.42578125" customWidth="1"/>
    <col min="12295" max="12295" width="17" customWidth="1"/>
    <col min="12296" max="12296" width="14.7109375" customWidth="1"/>
    <col min="12297" max="12297" width="16.140625" customWidth="1"/>
    <col min="12298" max="12298" width="51.7109375" customWidth="1"/>
    <col min="12299" max="12301" width="14.7109375" customWidth="1"/>
    <col min="12302" max="12302" width="17.5703125" customWidth="1"/>
    <col min="12303" max="12303" width="17" customWidth="1"/>
    <col min="12304" max="12304" width="13.42578125" customWidth="1"/>
    <col min="12305" max="12305" width="20.140625" customWidth="1"/>
    <col min="12306" max="12306" width="18.42578125" customWidth="1"/>
    <col min="12307" max="12307" width="14.7109375" customWidth="1"/>
    <col min="12308" max="12308" width="16.7109375" customWidth="1"/>
    <col min="12545" max="12545" width="52.5703125" customWidth="1"/>
    <col min="12546" max="12546" width="13.85546875" customWidth="1"/>
    <col min="12547" max="12547" width="17" customWidth="1"/>
    <col min="12548" max="12548" width="17.85546875" customWidth="1"/>
    <col min="12549" max="12550" width="16.42578125" customWidth="1"/>
    <col min="12551" max="12551" width="17" customWidth="1"/>
    <col min="12552" max="12552" width="14.7109375" customWidth="1"/>
    <col min="12553" max="12553" width="16.140625" customWidth="1"/>
    <col min="12554" max="12554" width="51.7109375" customWidth="1"/>
    <col min="12555" max="12557" width="14.7109375" customWidth="1"/>
    <col min="12558" max="12558" width="17.5703125" customWidth="1"/>
    <col min="12559" max="12559" width="17" customWidth="1"/>
    <col min="12560" max="12560" width="13.42578125" customWidth="1"/>
    <col min="12561" max="12561" width="20.140625" customWidth="1"/>
    <col min="12562" max="12562" width="18.42578125" customWidth="1"/>
    <col min="12563" max="12563" width="14.7109375" customWidth="1"/>
    <col min="12564" max="12564" width="16.7109375" customWidth="1"/>
    <col min="12801" max="12801" width="52.5703125" customWidth="1"/>
    <col min="12802" max="12802" width="13.85546875" customWidth="1"/>
    <col min="12803" max="12803" width="17" customWidth="1"/>
    <col min="12804" max="12804" width="17.85546875" customWidth="1"/>
    <col min="12805" max="12806" width="16.42578125" customWidth="1"/>
    <col min="12807" max="12807" width="17" customWidth="1"/>
    <col min="12808" max="12808" width="14.7109375" customWidth="1"/>
    <col min="12809" max="12809" width="16.140625" customWidth="1"/>
    <col min="12810" max="12810" width="51.7109375" customWidth="1"/>
    <col min="12811" max="12813" width="14.7109375" customWidth="1"/>
    <col min="12814" max="12814" width="17.5703125" customWidth="1"/>
    <col min="12815" max="12815" width="17" customWidth="1"/>
    <col min="12816" max="12816" width="13.42578125" customWidth="1"/>
    <col min="12817" max="12817" width="20.140625" customWidth="1"/>
    <col min="12818" max="12818" width="18.42578125" customWidth="1"/>
    <col min="12819" max="12819" width="14.7109375" customWidth="1"/>
    <col min="12820" max="12820" width="16.7109375" customWidth="1"/>
    <col min="13057" max="13057" width="52.5703125" customWidth="1"/>
    <col min="13058" max="13058" width="13.85546875" customWidth="1"/>
    <col min="13059" max="13059" width="17" customWidth="1"/>
    <col min="13060" max="13060" width="17.85546875" customWidth="1"/>
    <col min="13061" max="13062" width="16.42578125" customWidth="1"/>
    <col min="13063" max="13063" width="17" customWidth="1"/>
    <col min="13064" max="13064" width="14.7109375" customWidth="1"/>
    <col min="13065" max="13065" width="16.140625" customWidth="1"/>
    <col min="13066" max="13066" width="51.7109375" customWidth="1"/>
    <col min="13067" max="13069" width="14.7109375" customWidth="1"/>
    <col min="13070" max="13070" width="17.5703125" customWidth="1"/>
    <col min="13071" max="13071" width="17" customWidth="1"/>
    <col min="13072" max="13072" width="13.42578125" customWidth="1"/>
    <col min="13073" max="13073" width="20.140625" customWidth="1"/>
    <col min="13074" max="13074" width="18.42578125" customWidth="1"/>
    <col min="13075" max="13075" width="14.7109375" customWidth="1"/>
    <col min="13076" max="13076" width="16.7109375" customWidth="1"/>
    <col min="13313" max="13313" width="52.5703125" customWidth="1"/>
    <col min="13314" max="13314" width="13.85546875" customWidth="1"/>
    <col min="13315" max="13315" width="17" customWidth="1"/>
    <col min="13316" max="13316" width="17.85546875" customWidth="1"/>
    <col min="13317" max="13318" width="16.42578125" customWidth="1"/>
    <col min="13319" max="13319" width="17" customWidth="1"/>
    <col min="13320" max="13320" width="14.7109375" customWidth="1"/>
    <col min="13321" max="13321" width="16.140625" customWidth="1"/>
    <col min="13322" max="13322" width="51.7109375" customWidth="1"/>
    <col min="13323" max="13325" width="14.7109375" customWidth="1"/>
    <col min="13326" max="13326" width="17.5703125" customWidth="1"/>
    <col min="13327" max="13327" width="17" customWidth="1"/>
    <col min="13328" max="13328" width="13.42578125" customWidth="1"/>
    <col min="13329" max="13329" width="20.140625" customWidth="1"/>
    <col min="13330" max="13330" width="18.42578125" customWidth="1"/>
    <col min="13331" max="13331" width="14.7109375" customWidth="1"/>
    <col min="13332" max="13332" width="16.7109375" customWidth="1"/>
    <col min="13569" max="13569" width="52.5703125" customWidth="1"/>
    <col min="13570" max="13570" width="13.85546875" customWidth="1"/>
    <col min="13571" max="13571" width="17" customWidth="1"/>
    <col min="13572" max="13572" width="17.85546875" customWidth="1"/>
    <col min="13573" max="13574" width="16.42578125" customWidth="1"/>
    <col min="13575" max="13575" width="17" customWidth="1"/>
    <col min="13576" max="13576" width="14.7109375" customWidth="1"/>
    <col min="13577" max="13577" width="16.140625" customWidth="1"/>
    <col min="13578" max="13578" width="51.7109375" customWidth="1"/>
    <col min="13579" max="13581" width="14.7109375" customWidth="1"/>
    <col min="13582" max="13582" width="17.5703125" customWidth="1"/>
    <col min="13583" max="13583" width="17" customWidth="1"/>
    <col min="13584" max="13584" width="13.42578125" customWidth="1"/>
    <col min="13585" max="13585" width="20.140625" customWidth="1"/>
    <col min="13586" max="13586" width="18.42578125" customWidth="1"/>
    <col min="13587" max="13587" width="14.7109375" customWidth="1"/>
    <col min="13588" max="13588" width="16.7109375" customWidth="1"/>
    <col min="13825" max="13825" width="52.5703125" customWidth="1"/>
    <col min="13826" max="13826" width="13.85546875" customWidth="1"/>
    <col min="13827" max="13827" width="17" customWidth="1"/>
    <col min="13828" max="13828" width="17.85546875" customWidth="1"/>
    <col min="13829" max="13830" width="16.42578125" customWidth="1"/>
    <col min="13831" max="13831" width="17" customWidth="1"/>
    <col min="13832" max="13832" width="14.7109375" customWidth="1"/>
    <col min="13833" max="13833" width="16.140625" customWidth="1"/>
    <col min="13834" max="13834" width="51.7109375" customWidth="1"/>
    <col min="13835" max="13837" width="14.7109375" customWidth="1"/>
    <col min="13838" max="13838" width="17.5703125" customWidth="1"/>
    <col min="13839" max="13839" width="17" customWidth="1"/>
    <col min="13840" max="13840" width="13.42578125" customWidth="1"/>
    <col min="13841" max="13841" width="20.140625" customWidth="1"/>
    <col min="13842" max="13842" width="18.42578125" customWidth="1"/>
    <col min="13843" max="13843" width="14.7109375" customWidth="1"/>
    <col min="13844" max="13844" width="16.7109375" customWidth="1"/>
    <col min="14081" max="14081" width="52.5703125" customWidth="1"/>
    <col min="14082" max="14082" width="13.85546875" customWidth="1"/>
    <col min="14083" max="14083" width="17" customWidth="1"/>
    <col min="14084" max="14084" width="17.85546875" customWidth="1"/>
    <col min="14085" max="14086" width="16.42578125" customWidth="1"/>
    <col min="14087" max="14087" width="17" customWidth="1"/>
    <col min="14088" max="14088" width="14.7109375" customWidth="1"/>
    <col min="14089" max="14089" width="16.140625" customWidth="1"/>
    <col min="14090" max="14090" width="51.7109375" customWidth="1"/>
    <col min="14091" max="14093" width="14.7109375" customWidth="1"/>
    <col min="14094" max="14094" width="17.5703125" customWidth="1"/>
    <col min="14095" max="14095" width="17" customWidth="1"/>
    <col min="14096" max="14096" width="13.42578125" customWidth="1"/>
    <col min="14097" max="14097" width="20.140625" customWidth="1"/>
    <col min="14098" max="14098" width="18.42578125" customWidth="1"/>
    <col min="14099" max="14099" width="14.7109375" customWidth="1"/>
    <col min="14100" max="14100" width="16.7109375" customWidth="1"/>
    <col min="14337" max="14337" width="52.5703125" customWidth="1"/>
    <col min="14338" max="14338" width="13.85546875" customWidth="1"/>
    <col min="14339" max="14339" width="17" customWidth="1"/>
    <col min="14340" max="14340" width="17.85546875" customWidth="1"/>
    <col min="14341" max="14342" width="16.42578125" customWidth="1"/>
    <col min="14343" max="14343" width="17" customWidth="1"/>
    <col min="14344" max="14344" width="14.7109375" customWidth="1"/>
    <col min="14345" max="14345" width="16.140625" customWidth="1"/>
    <col min="14346" max="14346" width="51.7109375" customWidth="1"/>
    <col min="14347" max="14349" width="14.7109375" customWidth="1"/>
    <col min="14350" max="14350" width="17.5703125" customWidth="1"/>
    <col min="14351" max="14351" width="17" customWidth="1"/>
    <col min="14352" max="14352" width="13.42578125" customWidth="1"/>
    <col min="14353" max="14353" width="20.140625" customWidth="1"/>
    <col min="14354" max="14354" width="18.42578125" customWidth="1"/>
    <col min="14355" max="14355" width="14.7109375" customWidth="1"/>
    <col min="14356" max="14356" width="16.7109375" customWidth="1"/>
    <col min="14593" max="14593" width="52.5703125" customWidth="1"/>
    <col min="14594" max="14594" width="13.85546875" customWidth="1"/>
    <col min="14595" max="14595" width="17" customWidth="1"/>
    <col min="14596" max="14596" width="17.85546875" customWidth="1"/>
    <col min="14597" max="14598" width="16.42578125" customWidth="1"/>
    <col min="14599" max="14599" width="17" customWidth="1"/>
    <col min="14600" max="14600" width="14.7109375" customWidth="1"/>
    <col min="14601" max="14601" width="16.140625" customWidth="1"/>
    <col min="14602" max="14602" width="51.7109375" customWidth="1"/>
    <col min="14603" max="14605" width="14.7109375" customWidth="1"/>
    <col min="14606" max="14606" width="17.5703125" customWidth="1"/>
    <col min="14607" max="14607" width="17" customWidth="1"/>
    <col min="14608" max="14608" width="13.42578125" customWidth="1"/>
    <col min="14609" max="14609" width="20.140625" customWidth="1"/>
    <col min="14610" max="14610" width="18.42578125" customWidth="1"/>
    <col min="14611" max="14611" width="14.7109375" customWidth="1"/>
    <col min="14612" max="14612" width="16.7109375" customWidth="1"/>
    <col min="14849" max="14849" width="52.5703125" customWidth="1"/>
    <col min="14850" max="14850" width="13.85546875" customWidth="1"/>
    <col min="14851" max="14851" width="17" customWidth="1"/>
    <col min="14852" max="14852" width="17.85546875" customWidth="1"/>
    <col min="14853" max="14854" width="16.42578125" customWidth="1"/>
    <col min="14855" max="14855" width="17" customWidth="1"/>
    <col min="14856" max="14856" width="14.7109375" customWidth="1"/>
    <col min="14857" max="14857" width="16.140625" customWidth="1"/>
    <col min="14858" max="14858" width="51.7109375" customWidth="1"/>
    <col min="14859" max="14861" width="14.7109375" customWidth="1"/>
    <col min="14862" max="14862" width="17.5703125" customWidth="1"/>
    <col min="14863" max="14863" width="17" customWidth="1"/>
    <col min="14864" max="14864" width="13.42578125" customWidth="1"/>
    <col min="14865" max="14865" width="20.140625" customWidth="1"/>
    <col min="14866" max="14866" width="18.42578125" customWidth="1"/>
    <col min="14867" max="14867" width="14.7109375" customWidth="1"/>
    <col min="14868" max="14868" width="16.7109375" customWidth="1"/>
    <col min="15105" max="15105" width="52.5703125" customWidth="1"/>
    <col min="15106" max="15106" width="13.85546875" customWidth="1"/>
    <col min="15107" max="15107" width="17" customWidth="1"/>
    <col min="15108" max="15108" width="17.85546875" customWidth="1"/>
    <col min="15109" max="15110" width="16.42578125" customWidth="1"/>
    <col min="15111" max="15111" width="17" customWidth="1"/>
    <col min="15112" max="15112" width="14.7109375" customWidth="1"/>
    <col min="15113" max="15113" width="16.140625" customWidth="1"/>
    <col min="15114" max="15114" width="51.7109375" customWidth="1"/>
    <col min="15115" max="15117" width="14.7109375" customWidth="1"/>
    <col min="15118" max="15118" width="17.5703125" customWidth="1"/>
    <col min="15119" max="15119" width="17" customWidth="1"/>
    <col min="15120" max="15120" width="13.42578125" customWidth="1"/>
    <col min="15121" max="15121" width="20.140625" customWidth="1"/>
    <col min="15122" max="15122" width="18.42578125" customWidth="1"/>
    <col min="15123" max="15123" width="14.7109375" customWidth="1"/>
    <col min="15124" max="15124" width="16.7109375" customWidth="1"/>
    <col min="15361" max="15361" width="52.5703125" customWidth="1"/>
    <col min="15362" max="15362" width="13.85546875" customWidth="1"/>
    <col min="15363" max="15363" width="17" customWidth="1"/>
    <col min="15364" max="15364" width="17.85546875" customWidth="1"/>
    <col min="15365" max="15366" width="16.42578125" customWidth="1"/>
    <col min="15367" max="15367" width="17" customWidth="1"/>
    <col min="15368" max="15368" width="14.7109375" customWidth="1"/>
    <col min="15369" max="15369" width="16.140625" customWidth="1"/>
    <col min="15370" max="15370" width="51.7109375" customWidth="1"/>
    <col min="15371" max="15373" width="14.7109375" customWidth="1"/>
    <col min="15374" max="15374" width="17.5703125" customWidth="1"/>
    <col min="15375" max="15375" width="17" customWidth="1"/>
    <col min="15376" max="15376" width="13.42578125" customWidth="1"/>
    <col min="15377" max="15377" width="20.140625" customWidth="1"/>
    <col min="15378" max="15378" width="18.42578125" customWidth="1"/>
    <col min="15379" max="15379" width="14.7109375" customWidth="1"/>
    <col min="15380" max="15380" width="16.7109375" customWidth="1"/>
    <col min="15617" max="15617" width="52.5703125" customWidth="1"/>
    <col min="15618" max="15618" width="13.85546875" customWidth="1"/>
    <col min="15619" max="15619" width="17" customWidth="1"/>
    <col min="15620" max="15620" width="17.85546875" customWidth="1"/>
    <col min="15621" max="15622" width="16.42578125" customWidth="1"/>
    <col min="15623" max="15623" width="17" customWidth="1"/>
    <col min="15624" max="15624" width="14.7109375" customWidth="1"/>
    <col min="15625" max="15625" width="16.140625" customWidth="1"/>
    <col min="15626" max="15626" width="51.7109375" customWidth="1"/>
    <col min="15627" max="15629" width="14.7109375" customWidth="1"/>
    <col min="15630" max="15630" width="17.5703125" customWidth="1"/>
    <col min="15631" max="15631" width="17" customWidth="1"/>
    <col min="15632" max="15632" width="13.42578125" customWidth="1"/>
    <col min="15633" max="15633" width="20.140625" customWidth="1"/>
    <col min="15634" max="15634" width="18.42578125" customWidth="1"/>
    <col min="15635" max="15635" width="14.7109375" customWidth="1"/>
    <col min="15636" max="15636" width="16.7109375" customWidth="1"/>
    <col min="15873" max="15873" width="52.5703125" customWidth="1"/>
    <col min="15874" max="15874" width="13.85546875" customWidth="1"/>
    <col min="15875" max="15875" width="17" customWidth="1"/>
    <col min="15876" max="15876" width="17.85546875" customWidth="1"/>
    <col min="15877" max="15878" width="16.42578125" customWidth="1"/>
    <col min="15879" max="15879" width="17" customWidth="1"/>
    <col min="15880" max="15880" width="14.7109375" customWidth="1"/>
    <col min="15881" max="15881" width="16.140625" customWidth="1"/>
    <col min="15882" max="15882" width="51.7109375" customWidth="1"/>
    <col min="15883" max="15885" width="14.7109375" customWidth="1"/>
    <col min="15886" max="15886" width="17.5703125" customWidth="1"/>
    <col min="15887" max="15887" width="17" customWidth="1"/>
    <col min="15888" max="15888" width="13.42578125" customWidth="1"/>
    <col min="15889" max="15889" width="20.140625" customWidth="1"/>
    <col min="15890" max="15890" width="18.42578125" customWidth="1"/>
    <col min="15891" max="15891" width="14.7109375" customWidth="1"/>
    <col min="15892" max="15892" width="16.7109375" customWidth="1"/>
    <col min="16129" max="16129" width="52.5703125" customWidth="1"/>
    <col min="16130" max="16130" width="13.85546875" customWidth="1"/>
    <col min="16131" max="16131" width="17" customWidth="1"/>
    <col min="16132" max="16132" width="17.85546875" customWidth="1"/>
    <col min="16133" max="16134" width="16.42578125" customWidth="1"/>
    <col min="16135" max="16135" width="17" customWidth="1"/>
    <col min="16136" max="16136" width="14.7109375" customWidth="1"/>
    <col min="16137" max="16137" width="16.140625" customWidth="1"/>
    <col min="16138" max="16138" width="51.7109375" customWidth="1"/>
    <col min="16139" max="16141" width="14.7109375" customWidth="1"/>
    <col min="16142" max="16142" width="17.5703125" customWidth="1"/>
    <col min="16143" max="16143" width="17" customWidth="1"/>
    <col min="16144" max="16144" width="13.42578125" customWidth="1"/>
    <col min="16145" max="16145" width="20.140625" customWidth="1"/>
    <col min="16146" max="16146" width="18.42578125" customWidth="1"/>
    <col min="16147" max="16147" width="14.7109375" customWidth="1"/>
    <col min="16148" max="16148" width="16.7109375" customWidth="1"/>
  </cols>
  <sheetData>
    <row r="1" spans="1:20" s="1" customFormat="1" ht="20.100000000000001" customHeight="1">
      <c r="A1" s="28" t="s">
        <v>0</v>
      </c>
      <c r="B1" s="29" t="s">
        <v>1</v>
      </c>
      <c r="C1" s="2"/>
      <c r="D1" s="2"/>
      <c r="E1" s="2"/>
      <c r="F1" s="2"/>
      <c r="G1" s="2"/>
      <c r="H1" s="2"/>
      <c r="I1" s="3"/>
      <c r="J1" s="28" t="s">
        <v>0</v>
      </c>
      <c r="K1" s="29" t="s">
        <v>1</v>
      </c>
      <c r="L1" s="2"/>
      <c r="M1" s="2"/>
      <c r="N1" s="2"/>
      <c r="O1" s="2"/>
      <c r="P1" s="2"/>
      <c r="Q1" s="2"/>
      <c r="R1" s="2"/>
      <c r="S1" s="2"/>
      <c r="T1" s="41" t="s">
        <v>2</v>
      </c>
    </row>
    <row r="2" spans="1:20" s="1" customFormat="1" ht="20.100000000000001" customHeight="1">
      <c r="A2" s="4"/>
      <c r="B2" s="29" t="s">
        <v>3</v>
      </c>
      <c r="C2" s="2"/>
      <c r="D2" s="2"/>
      <c r="E2" s="2"/>
      <c r="F2" s="2"/>
      <c r="G2" s="2"/>
      <c r="H2" s="2"/>
      <c r="I2" s="3"/>
      <c r="J2" s="4"/>
      <c r="K2" s="29" t="s">
        <v>4</v>
      </c>
      <c r="L2" s="2"/>
      <c r="M2" s="2"/>
      <c r="N2" s="3"/>
      <c r="O2" s="2" t="s">
        <v>5</v>
      </c>
      <c r="P2" s="2"/>
      <c r="Q2" s="2"/>
      <c r="R2" s="2"/>
      <c r="S2" s="3"/>
      <c r="T2" s="42"/>
    </row>
    <row r="3" spans="1:20" ht="49.5" customHeight="1">
      <c r="A3" s="5"/>
      <c r="B3" s="30" t="s">
        <v>6</v>
      </c>
      <c r="C3" s="30" t="s">
        <v>7</v>
      </c>
      <c r="D3" s="30" t="s">
        <v>8</v>
      </c>
      <c r="E3" s="30" t="s">
        <v>9</v>
      </c>
      <c r="F3" s="30" t="s">
        <v>10</v>
      </c>
      <c r="G3" s="30" t="s">
        <v>11</v>
      </c>
      <c r="H3" s="30" t="s">
        <v>12</v>
      </c>
      <c r="I3" s="30" t="s">
        <v>13</v>
      </c>
      <c r="J3" s="6"/>
      <c r="K3" s="30" t="s">
        <v>14</v>
      </c>
      <c r="L3" s="30" t="s">
        <v>15</v>
      </c>
      <c r="M3" s="30" t="s">
        <v>16</v>
      </c>
      <c r="N3" s="30" t="s">
        <v>17</v>
      </c>
      <c r="O3" s="30" t="s">
        <v>18</v>
      </c>
      <c r="P3" s="30" t="s">
        <v>19</v>
      </c>
      <c r="Q3" s="30" t="s">
        <v>20</v>
      </c>
      <c r="R3" s="30" t="s">
        <v>21</v>
      </c>
      <c r="S3" s="30" t="s">
        <v>22</v>
      </c>
      <c r="T3" s="43"/>
    </row>
    <row r="4" spans="1:20" ht="18" customHeight="1">
      <c r="A4" s="31" t="s">
        <v>23</v>
      </c>
      <c r="B4" s="7"/>
      <c r="C4" s="7"/>
      <c r="D4" s="7"/>
      <c r="E4" s="7"/>
      <c r="F4" s="7"/>
      <c r="G4" s="7"/>
      <c r="H4" s="7"/>
      <c r="I4" s="7"/>
      <c r="J4" s="31" t="s">
        <v>23</v>
      </c>
      <c r="K4" s="8"/>
      <c r="L4" s="9"/>
      <c r="M4" s="9"/>
      <c r="N4" s="9"/>
      <c r="O4" s="9"/>
      <c r="P4" s="9"/>
      <c r="Q4" s="9"/>
      <c r="R4" s="9"/>
      <c r="S4" s="10"/>
      <c r="T4" s="44"/>
    </row>
    <row r="5" spans="1:20" ht="18" customHeight="1">
      <c r="A5" s="32" t="s">
        <v>24</v>
      </c>
      <c r="B5" s="11">
        <v>1165</v>
      </c>
      <c r="C5" s="11">
        <v>5789</v>
      </c>
      <c r="D5" s="11">
        <v>5364</v>
      </c>
      <c r="E5" s="11">
        <v>0</v>
      </c>
      <c r="F5" s="11" t="s">
        <v>25</v>
      </c>
      <c r="G5" s="11">
        <v>3628</v>
      </c>
      <c r="H5" s="11" t="s">
        <v>25</v>
      </c>
      <c r="I5" s="11" t="s">
        <v>25</v>
      </c>
      <c r="J5" s="32" t="s">
        <v>24</v>
      </c>
      <c r="K5" s="11">
        <v>32063</v>
      </c>
      <c r="L5" s="11">
        <v>3475</v>
      </c>
      <c r="M5" s="11">
        <v>99988</v>
      </c>
      <c r="N5" s="11">
        <v>7925</v>
      </c>
      <c r="O5" s="11">
        <v>1390</v>
      </c>
      <c r="P5" s="11">
        <v>0</v>
      </c>
      <c r="Q5" s="11">
        <v>980</v>
      </c>
      <c r="R5" s="11">
        <v>4210</v>
      </c>
      <c r="S5" s="11">
        <v>1639</v>
      </c>
      <c r="T5" s="45">
        <f>SUM(K5:S5,B5:I5)</f>
        <v>167616</v>
      </c>
    </row>
    <row r="6" spans="1:20" ht="18" customHeight="1">
      <c r="A6" s="32" t="s">
        <v>26</v>
      </c>
      <c r="B6" s="12">
        <v>842</v>
      </c>
      <c r="C6" s="12">
        <v>12447</v>
      </c>
      <c r="D6" s="12">
        <v>12433</v>
      </c>
      <c r="E6" s="12" t="s">
        <v>25</v>
      </c>
      <c r="F6" s="12">
        <v>3412</v>
      </c>
      <c r="G6" s="12">
        <v>397</v>
      </c>
      <c r="H6" s="12" t="s">
        <v>25</v>
      </c>
      <c r="I6" s="12" t="s">
        <v>25</v>
      </c>
      <c r="J6" s="32" t="s">
        <v>26</v>
      </c>
      <c r="K6" s="12">
        <v>64722</v>
      </c>
      <c r="L6" s="12">
        <v>117</v>
      </c>
      <c r="M6" s="12">
        <v>757</v>
      </c>
      <c r="N6" s="12">
        <v>10854</v>
      </c>
      <c r="O6" s="12">
        <v>453</v>
      </c>
      <c r="P6" s="12" t="s">
        <v>25</v>
      </c>
      <c r="Q6" s="12">
        <v>424</v>
      </c>
      <c r="R6" s="12">
        <v>3288</v>
      </c>
      <c r="S6" s="12">
        <v>2051</v>
      </c>
      <c r="T6" s="45">
        <f>SUM(K6:S6,B6:I6)</f>
        <v>112197</v>
      </c>
    </row>
    <row r="7" spans="1:20" ht="18" customHeight="1">
      <c r="A7" s="32" t="s">
        <v>27</v>
      </c>
      <c r="B7" s="11" t="s">
        <v>25</v>
      </c>
      <c r="C7" s="11" t="s">
        <v>25</v>
      </c>
      <c r="D7" s="11">
        <v>0</v>
      </c>
      <c r="E7" s="11" t="s">
        <v>25</v>
      </c>
      <c r="F7" s="11" t="s">
        <v>25</v>
      </c>
      <c r="G7" s="11" t="s">
        <v>25</v>
      </c>
      <c r="H7" s="11">
        <v>0</v>
      </c>
      <c r="I7" s="11" t="s">
        <v>25</v>
      </c>
      <c r="J7" s="32" t="s">
        <v>27</v>
      </c>
      <c r="K7" s="11">
        <v>1146</v>
      </c>
      <c r="L7" s="11">
        <v>31</v>
      </c>
      <c r="M7" s="11">
        <v>5407</v>
      </c>
      <c r="N7" s="11">
        <v>20</v>
      </c>
      <c r="O7" s="11">
        <v>39</v>
      </c>
      <c r="P7" s="11" t="s">
        <v>25</v>
      </c>
      <c r="Q7" s="11">
        <v>299</v>
      </c>
      <c r="R7" s="11">
        <v>14</v>
      </c>
      <c r="S7" s="11" t="s">
        <v>25</v>
      </c>
      <c r="T7" s="45">
        <f>SUM(K7:S7,B7:I7)</f>
        <v>6956</v>
      </c>
    </row>
    <row r="8" spans="1:20" ht="18" customHeight="1">
      <c r="A8" s="32" t="s">
        <v>28</v>
      </c>
      <c r="B8" s="12" t="s">
        <v>25</v>
      </c>
      <c r="C8" s="12" t="s">
        <v>25</v>
      </c>
      <c r="D8" s="12">
        <v>80</v>
      </c>
      <c r="E8" s="12">
        <v>0</v>
      </c>
      <c r="F8" s="12" t="s">
        <v>25</v>
      </c>
      <c r="G8" s="12" t="s">
        <v>25</v>
      </c>
      <c r="H8" s="12" t="s">
        <v>25</v>
      </c>
      <c r="I8" s="12">
        <v>0</v>
      </c>
      <c r="J8" s="32" t="s">
        <v>28</v>
      </c>
      <c r="K8" s="12">
        <v>390</v>
      </c>
      <c r="L8" s="12">
        <v>118</v>
      </c>
      <c r="M8" s="12" t="s">
        <v>25</v>
      </c>
      <c r="N8" s="12">
        <v>93</v>
      </c>
      <c r="O8" s="12" t="s">
        <v>25</v>
      </c>
      <c r="P8" s="12" t="s">
        <v>25</v>
      </c>
      <c r="Q8" s="12" t="s">
        <v>25</v>
      </c>
      <c r="R8" s="12" t="s">
        <v>25</v>
      </c>
      <c r="S8" s="12" t="s">
        <v>25</v>
      </c>
      <c r="T8" s="45">
        <f>SUM(K8:S8,B8:I8)</f>
        <v>681</v>
      </c>
    </row>
    <row r="9" spans="1:20" ht="18" customHeight="1">
      <c r="A9" s="32" t="s">
        <v>29</v>
      </c>
      <c r="B9" s="11">
        <v>0</v>
      </c>
      <c r="C9" s="11" t="s">
        <v>25</v>
      </c>
      <c r="D9" s="11" t="s">
        <v>25</v>
      </c>
      <c r="E9" s="11" t="s">
        <v>25</v>
      </c>
      <c r="F9" s="11">
        <v>0</v>
      </c>
      <c r="G9" s="11" t="s">
        <v>25</v>
      </c>
      <c r="H9" s="11" t="s">
        <v>25</v>
      </c>
      <c r="I9" s="11" t="s">
        <v>25</v>
      </c>
      <c r="J9" s="32" t="s">
        <v>29</v>
      </c>
      <c r="K9" s="11" t="s">
        <v>25</v>
      </c>
      <c r="L9" s="11" t="s">
        <v>25</v>
      </c>
      <c r="M9" s="11" t="s">
        <v>25</v>
      </c>
      <c r="N9" s="11" t="s">
        <v>25</v>
      </c>
      <c r="O9" s="11" t="s">
        <v>25</v>
      </c>
      <c r="P9" s="11" t="s">
        <v>25</v>
      </c>
      <c r="Q9" s="11" t="s">
        <v>25</v>
      </c>
      <c r="R9" s="11" t="s">
        <v>25</v>
      </c>
      <c r="S9" s="11" t="s">
        <v>25</v>
      </c>
      <c r="T9" s="45"/>
    </row>
    <row r="10" spans="1:20" ht="18" customHeight="1">
      <c r="A10" s="32" t="s">
        <v>30</v>
      </c>
      <c r="B10" s="12">
        <v>0</v>
      </c>
      <c r="C10" s="12">
        <v>48</v>
      </c>
      <c r="D10" s="12" t="s">
        <v>25</v>
      </c>
      <c r="E10" s="12" t="s">
        <v>25</v>
      </c>
      <c r="F10" s="12" t="s">
        <v>25</v>
      </c>
      <c r="G10" s="12">
        <v>0</v>
      </c>
      <c r="H10" s="12" t="s">
        <v>25</v>
      </c>
      <c r="I10" s="12" t="s">
        <v>25</v>
      </c>
      <c r="J10" s="32" t="s">
        <v>30</v>
      </c>
      <c r="K10" s="12" t="s">
        <v>25</v>
      </c>
      <c r="L10" s="12" t="s">
        <v>25</v>
      </c>
      <c r="M10" s="12" t="s">
        <v>25</v>
      </c>
      <c r="N10" s="12" t="s">
        <v>25</v>
      </c>
      <c r="O10" s="12" t="s">
        <v>25</v>
      </c>
      <c r="P10" s="12" t="s">
        <v>25</v>
      </c>
      <c r="Q10" s="12" t="s">
        <v>25</v>
      </c>
      <c r="R10" s="12" t="s">
        <v>25</v>
      </c>
      <c r="S10" s="12">
        <v>182</v>
      </c>
      <c r="T10" s="45">
        <f>SUM(K10:S10,B10:I10)</f>
        <v>230</v>
      </c>
    </row>
    <row r="11" spans="1:20" ht="18" customHeight="1">
      <c r="A11" s="32" t="s">
        <v>31</v>
      </c>
      <c r="B11" s="11">
        <v>0</v>
      </c>
      <c r="C11" s="11">
        <v>1008</v>
      </c>
      <c r="D11" s="11">
        <v>646</v>
      </c>
      <c r="E11" s="11" t="s">
        <v>25</v>
      </c>
      <c r="F11" s="11">
        <v>104</v>
      </c>
      <c r="G11" s="11" t="s">
        <v>25</v>
      </c>
      <c r="H11" s="11">
        <v>0</v>
      </c>
      <c r="I11" s="11" t="s">
        <v>25</v>
      </c>
      <c r="J11" s="32" t="s">
        <v>31</v>
      </c>
      <c r="K11" s="11">
        <v>4640</v>
      </c>
      <c r="L11" s="11">
        <v>9</v>
      </c>
      <c r="M11" s="11">
        <v>3075</v>
      </c>
      <c r="N11" s="11">
        <v>121</v>
      </c>
      <c r="O11" s="11" t="s">
        <v>25</v>
      </c>
      <c r="P11" s="11" t="s">
        <v>25</v>
      </c>
      <c r="Q11" s="11">
        <v>419</v>
      </c>
      <c r="R11" s="11">
        <v>185</v>
      </c>
      <c r="S11" s="11">
        <v>10</v>
      </c>
      <c r="T11" s="45">
        <f>SUM(K11:S11,B11:I11)</f>
        <v>10217</v>
      </c>
    </row>
    <row r="12" spans="1:20" ht="18" customHeight="1">
      <c r="A12" s="32" t="s">
        <v>32</v>
      </c>
      <c r="B12" s="12">
        <v>0</v>
      </c>
      <c r="C12" s="12" t="s">
        <v>25</v>
      </c>
      <c r="D12" s="12" t="s">
        <v>25</v>
      </c>
      <c r="E12" s="12" t="s">
        <v>25</v>
      </c>
      <c r="F12" s="12" t="s">
        <v>25</v>
      </c>
      <c r="G12" s="12" t="s">
        <v>25</v>
      </c>
      <c r="H12" s="12" t="s">
        <v>25</v>
      </c>
      <c r="I12" s="12">
        <v>0</v>
      </c>
      <c r="J12" s="32" t="s">
        <v>32</v>
      </c>
      <c r="K12" s="12">
        <v>17</v>
      </c>
      <c r="L12" s="12" t="s">
        <v>25</v>
      </c>
      <c r="M12" s="12" t="s">
        <v>25</v>
      </c>
      <c r="N12" s="12" t="s">
        <v>25</v>
      </c>
      <c r="O12" s="12" t="s">
        <v>25</v>
      </c>
      <c r="P12" s="12" t="s">
        <v>25</v>
      </c>
      <c r="Q12" s="12" t="s">
        <v>25</v>
      </c>
      <c r="R12" s="12" t="s">
        <v>25</v>
      </c>
      <c r="S12" s="12">
        <v>0</v>
      </c>
      <c r="T12" s="45">
        <f>SUM(K12:S12,B12:I12)</f>
        <v>17</v>
      </c>
    </row>
    <row r="13" spans="1:20" ht="18" customHeight="1">
      <c r="A13" s="32" t="s">
        <v>33</v>
      </c>
      <c r="B13" s="11"/>
      <c r="C13" s="11"/>
      <c r="D13" s="11"/>
      <c r="E13" s="11"/>
      <c r="F13" s="11"/>
      <c r="G13" s="11"/>
      <c r="H13" s="11"/>
      <c r="I13" s="11"/>
      <c r="J13" s="32" t="s">
        <v>33</v>
      </c>
      <c r="K13" s="11"/>
      <c r="L13" s="11"/>
      <c r="M13" s="11"/>
      <c r="N13" s="11"/>
      <c r="O13" s="11"/>
      <c r="P13" s="11"/>
      <c r="Q13" s="11"/>
      <c r="R13" s="11"/>
      <c r="S13" s="11"/>
      <c r="T13" s="45"/>
    </row>
    <row r="14" spans="1:20" ht="18" customHeight="1">
      <c r="A14" s="33" t="s">
        <v>34</v>
      </c>
      <c r="B14" s="12">
        <v>0</v>
      </c>
      <c r="C14" s="12">
        <v>65</v>
      </c>
      <c r="D14" s="12" t="s">
        <v>25</v>
      </c>
      <c r="E14" s="12" t="s">
        <v>25</v>
      </c>
      <c r="F14" s="12">
        <v>8</v>
      </c>
      <c r="G14" s="12">
        <v>64</v>
      </c>
      <c r="H14" s="12" t="s">
        <v>25</v>
      </c>
      <c r="I14" s="12" t="s">
        <v>25</v>
      </c>
      <c r="J14" s="33" t="s">
        <v>34</v>
      </c>
      <c r="K14" s="12">
        <v>2434</v>
      </c>
      <c r="L14" s="12" t="s">
        <v>25</v>
      </c>
      <c r="M14" s="12" t="s">
        <v>25</v>
      </c>
      <c r="N14" s="12">
        <v>889</v>
      </c>
      <c r="O14" s="12" t="s">
        <v>25</v>
      </c>
      <c r="P14" s="12" t="s">
        <v>25</v>
      </c>
      <c r="Q14" s="12">
        <v>1</v>
      </c>
      <c r="R14" s="12">
        <v>165</v>
      </c>
      <c r="S14" s="12">
        <v>15</v>
      </c>
      <c r="T14" s="45">
        <f t="shared" ref="T14:T26" si="0">SUM(K14:S14,B14:I14)</f>
        <v>3641</v>
      </c>
    </row>
    <row r="15" spans="1:20" ht="18" customHeight="1">
      <c r="A15" s="33" t="s">
        <v>35</v>
      </c>
      <c r="B15" s="11">
        <v>0</v>
      </c>
      <c r="C15" s="11" t="s">
        <v>25</v>
      </c>
      <c r="D15" s="11" t="s">
        <v>25</v>
      </c>
      <c r="E15" s="11" t="s">
        <v>25</v>
      </c>
      <c r="F15" s="11" t="s">
        <v>25</v>
      </c>
      <c r="G15" s="11" t="s">
        <v>25</v>
      </c>
      <c r="H15" s="11" t="s">
        <v>25</v>
      </c>
      <c r="I15" s="11" t="s">
        <v>25</v>
      </c>
      <c r="J15" s="33" t="s">
        <v>35</v>
      </c>
      <c r="K15" s="11" t="s">
        <v>25</v>
      </c>
      <c r="L15" s="11">
        <v>0</v>
      </c>
      <c r="M15" s="11" t="s">
        <v>25</v>
      </c>
      <c r="N15" s="11" t="s">
        <v>25</v>
      </c>
      <c r="O15" s="11" t="s">
        <v>25</v>
      </c>
      <c r="P15" s="11" t="s">
        <v>25</v>
      </c>
      <c r="Q15" s="11" t="s">
        <v>25</v>
      </c>
      <c r="R15" s="11" t="s">
        <v>25</v>
      </c>
      <c r="S15" s="11" t="s">
        <v>25</v>
      </c>
      <c r="T15" s="45">
        <f t="shared" si="0"/>
        <v>0</v>
      </c>
    </row>
    <row r="16" spans="1:20" ht="18" customHeight="1">
      <c r="A16" s="33" t="s">
        <v>36</v>
      </c>
      <c r="B16" s="12">
        <v>0</v>
      </c>
      <c r="C16" s="12" t="s">
        <v>25</v>
      </c>
      <c r="D16" s="12" t="s">
        <v>25</v>
      </c>
      <c r="E16" s="12" t="s">
        <v>25</v>
      </c>
      <c r="F16" s="12" t="s">
        <v>25</v>
      </c>
      <c r="G16" s="12" t="s">
        <v>25</v>
      </c>
      <c r="H16" s="12" t="s">
        <v>25</v>
      </c>
      <c r="I16" s="12" t="s">
        <v>25</v>
      </c>
      <c r="J16" s="33" t="s">
        <v>36</v>
      </c>
      <c r="K16" s="12" t="s">
        <v>25</v>
      </c>
      <c r="L16" s="12" t="s">
        <v>25</v>
      </c>
      <c r="M16" s="12">
        <v>0</v>
      </c>
      <c r="N16" s="12" t="s">
        <v>25</v>
      </c>
      <c r="O16" s="12" t="s">
        <v>25</v>
      </c>
      <c r="P16" s="12" t="s">
        <v>25</v>
      </c>
      <c r="Q16" s="12" t="s">
        <v>25</v>
      </c>
      <c r="R16" s="12" t="s">
        <v>25</v>
      </c>
      <c r="S16" s="12" t="s">
        <v>25</v>
      </c>
      <c r="T16" s="45">
        <f t="shared" si="0"/>
        <v>0</v>
      </c>
    </row>
    <row r="17" spans="1:20" ht="18" customHeight="1">
      <c r="A17" s="32" t="s">
        <v>37</v>
      </c>
      <c r="B17" s="11">
        <v>0</v>
      </c>
      <c r="C17" s="11" t="s">
        <v>25</v>
      </c>
      <c r="D17" s="11" t="s">
        <v>25</v>
      </c>
      <c r="E17" s="11" t="s">
        <v>25</v>
      </c>
      <c r="F17" s="11" t="s">
        <v>25</v>
      </c>
      <c r="G17" s="11" t="s">
        <v>25</v>
      </c>
      <c r="H17" s="11" t="s">
        <v>25</v>
      </c>
      <c r="I17" s="11" t="s">
        <v>25</v>
      </c>
      <c r="J17" s="32" t="s">
        <v>37</v>
      </c>
      <c r="K17" s="11" t="s">
        <v>25</v>
      </c>
      <c r="L17" s="11">
        <v>21</v>
      </c>
      <c r="M17" s="11" t="s">
        <v>25</v>
      </c>
      <c r="N17" s="11">
        <v>5</v>
      </c>
      <c r="O17" s="11" t="s">
        <v>25</v>
      </c>
      <c r="P17" s="11" t="s">
        <v>25</v>
      </c>
      <c r="Q17" s="11" t="s">
        <v>25</v>
      </c>
      <c r="R17" s="11" t="s">
        <v>25</v>
      </c>
      <c r="S17" s="11" t="s">
        <v>25</v>
      </c>
      <c r="T17" s="45">
        <f t="shared" si="0"/>
        <v>26</v>
      </c>
    </row>
    <row r="18" spans="1:20" ht="18" customHeight="1">
      <c r="A18" s="32" t="s">
        <v>38</v>
      </c>
      <c r="B18" s="12">
        <v>0</v>
      </c>
      <c r="C18" s="12" t="s">
        <v>25</v>
      </c>
      <c r="D18" s="12" t="s">
        <v>25</v>
      </c>
      <c r="E18" s="12" t="s">
        <v>25</v>
      </c>
      <c r="F18" s="12" t="s">
        <v>25</v>
      </c>
      <c r="G18" s="12" t="s">
        <v>25</v>
      </c>
      <c r="H18" s="12" t="s">
        <v>25</v>
      </c>
      <c r="I18" s="12" t="s">
        <v>25</v>
      </c>
      <c r="J18" s="32" t="s">
        <v>38</v>
      </c>
      <c r="K18" s="12" t="s">
        <v>25</v>
      </c>
      <c r="L18" s="12">
        <v>38</v>
      </c>
      <c r="M18" s="12" t="s">
        <v>25</v>
      </c>
      <c r="N18" s="12" t="s">
        <v>25</v>
      </c>
      <c r="O18" s="12">
        <v>0</v>
      </c>
      <c r="P18" s="12" t="s">
        <v>25</v>
      </c>
      <c r="Q18" s="12" t="s">
        <v>25</v>
      </c>
      <c r="R18" s="12" t="s">
        <v>25</v>
      </c>
      <c r="S18" s="12">
        <v>0</v>
      </c>
      <c r="T18" s="45">
        <f t="shared" si="0"/>
        <v>38</v>
      </c>
    </row>
    <row r="19" spans="1:20" ht="18" customHeight="1">
      <c r="A19" s="34" t="s">
        <v>39</v>
      </c>
      <c r="B19" s="11">
        <v>0</v>
      </c>
      <c r="C19" s="11" t="s">
        <v>25</v>
      </c>
      <c r="D19" s="11">
        <v>0</v>
      </c>
      <c r="E19" s="11" t="s">
        <v>25</v>
      </c>
      <c r="F19" s="11" t="s">
        <v>25</v>
      </c>
      <c r="G19" s="11" t="s">
        <v>25</v>
      </c>
      <c r="H19" s="11" t="s">
        <v>25</v>
      </c>
      <c r="I19" s="11" t="s">
        <v>25</v>
      </c>
      <c r="J19" s="32" t="s">
        <v>40</v>
      </c>
      <c r="K19" s="11">
        <v>32</v>
      </c>
      <c r="L19" s="11">
        <v>40</v>
      </c>
      <c r="M19" s="11" t="s">
        <v>25</v>
      </c>
      <c r="N19" s="11" t="s">
        <v>25</v>
      </c>
      <c r="O19" s="11" t="s">
        <v>25</v>
      </c>
      <c r="P19" s="11">
        <v>0</v>
      </c>
      <c r="Q19" s="11" t="s">
        <v>25</v>
      </c>
      <c r="R19" s="11" t="s">
        <v>25</v>
      </c>
      <c r="S19" s="11">
        <v>0</v>
      </c>
      <c r="T19" s="45">
        <f t="shared" si="0"/>
        <v>72</v>
      </c>
    </row>
    <row r="20" spans="1:20" ht="18" customHeight="1">
      <c r="A20" s="32" t="s">
        <v>41</v>
      </c>
      <c r="B20" s="12">
        <v>0</v>
      </c>
      <c r="C20" s="12">
        <v>5</v>
      </c>
      <c r="D20" s="12" t="s">
        <v>25</v>
      </c>
      <c r="E20" s="12" t="s">
        <v>25</v>
      </c>
      <c r="F20" s="12" t="s">
        <v>25</v>
      </c>
      <c r="G20" s="12" t="s">
        <v>25</v>
      </c>
      <c r="H20" s="12" t="s">
        <v>25</v>
      </c>
      <c r="I20" s="12" t="s">
        <v>25</v>
      </c>
      <c r="J20" s="32" t="s">
        <v>41</v>
      </c>
      <c r="K20" s="12">
        <v>422</v>
      </c>
      <c r="L20" s="12">
        <v>845</v>
      </c>
      <c r="M20" s="12" t="s">
        <v>25</v>
      </c>
      <c r="N20" s="12">
        <v>110</v>
      </c>
      <c r="O20" s="12">
        <v>4</v>
      </c>
      <c r="P20" s="12" t="s">
        <v>25</v>
      </c>
      <c r="Q20" s="12">
        <v>47</v>
      </c>
      <c r="R20" s="12">
        <v>439</v>
      </c>
      <c r="S20" s="12">
        <v>3</v>
      </c>
      <c r="T20" s="45">
        <f t="shared" si="0"/>
        <v>1875</v>
      </c>
    </row>
    <row r="21" spans="1:20" ht="18" customHeight="1">
      <c r="A21" s="32" t="s">
        <v>42</v>
      </c>
      <c r="B21" s="11">
        <v>0</v>
      </c>
      <c r="C21" s="11">
        <v>6</v>
      </c>
      <c r="D21" s="11" t="s">
        <v>25</v>
      </c>
      <c r="E21" s="11" t="s">
        <v>25</v>
      </c>
      <c r="F21" s="11" t="s">
        <v>25</v>
      </c>
      <c r="G21" s="11" t="s">
        <v>25</v>
      </c>
      <c r="H21" s="11" t="s">
        <v>25</v>
      </c>
      <c r="I21" s="11" t="s">
        <v>25</v>
      </c>
      <c r="J21" s="32" t="s">
        <v>42</v>
      </c>
      <c r="K21" s="11" t="s">
        <v>25</v>
      </c>
      <c r="L21" s="11" t="s">
        <v>25</v>
      </c>
      <c r="M21" s="11" t="s">
        <v>25</v>
      </c>
      <c r="N21" s="11">
        <v>1</v>
      </c>
      <c r="O21" s="11" t="s">
        <v>25</v>
      </c>
      <c r="P21" s="11" t="s">
        <v>25</v>
      </c>
      <c r="Q21" s="11" t="s">
        <v>25</v>
      </c>
      <c r="R21" s="11">
        <v>0</v>
      </c>
      <c r="S21" s="11" t="s">
        <v>25</v>
      </c>
      <c r="T21" s="45">
        <f t="shared" si="0"/>
        <v>7</v>
      </c>
    </row>
    <row r="22" spans="1:20" ht="18" customHeight="1">
      <c r="A22" s="32" t="s">
        <v>43</v>
      </c>
      <c r="B22" s="12">
        <v>0</v>
      </c>
      <c r="C22" s="12" t="s">
        <v>25</v>
      </c>
      <c r="D22" s="12" t="s">
        <v>25</v>
      </c>
      <c r="E22" s="12" t="s">
        <v>25</v>
      </c>
      <c r="F22" s="12" t="s">
        <v>25</v>
      </c>
      <c r="G22" s="12" t="s">
        <v>25</v>
      </c>
      <c r="H22" s="12" t="s">
        <v>25</v>
      </c>
      <c r="I22" s="12" t="s">
        <v>25</v>
      </c>
      <c r="J22" s="32" t="s">
        <v>43</v>
      </c>
      <c r="K22" s="12">
        <v>76</v>
      </c>
      <c r="L22" s="12">
        <v>160</v>
      </c>
      <c r="M22" s="12">
        <v>128</v>
      </c>
      <c r="N22" s="12">
        <v>48</v>
      </c>
      <c r="O22" s="12" t="s">
        <v>25</v>
      </c>
      <c r="P22" s="12" t="s">
        <v>25</v>
      </c>
      <c r="Q22" s="12">
        <v>69</v>
      </c>
      <c r="R22" s="12">
        <v>16</v>
      </c>
      <c r="S22" s="12">
        <v>0</v>
      </c>
      <c r="T22" s="45">
        <f t="shared" si="0"/>
        <v>497</v>
      </c>
    </row>
    <row r="23" spans="1:20" ht="18" customHeight="1">
      <c r="A23" s="32" t="s">
        <v>44</v>
      </c>
      <c r="B23" s="11">
        <v>0</v>
      </c>
      <c r="C23" s="11">
        <v>19</v>
      </c>
      <c r="D23" s="11" t="s">
        <v>25</v>
      </c>
      <c r="E23" s="11" t="s">
        <v>25</v>
      </c>
      <c r="F23" s="11" t="s">
        <v>25</v>
      </c>
      <c r="G23" s="11" t="s">
        <v>25</v>
      </c>
      <c r="H23" s="11" t="s">
        <v>25</v>
      </c>
      <c r="I23" s="11" t="s">
        <v>25</v>
      </c>
      <c r="J23" s="32" t="s">
        <v>44</v>
      </c>
      <c r="K23" s="11">
        <v>12</v>
      </c>
      <c r="L23" s="11">
        <v>754</v>
      </c>
      <c r="M23" s="11">
        <v>22</v>
      </c>
      <c r="N23" s="11">
        <v>147</v>
      </c>
      <c r="O23" s="11" t="s">
        <v>25</v>
      </c>
      <c r="P23" s="11" t="s">
        <v>25</v>
      </c>
      <c r="Q23" s="11" t="s">
        <v>25</v>
      </c>
      <c r="R23" s="11">
        <v>6</v>
      </c>
      <c r="S23" s="11">
        <v>8</v>
      </c>
      <c r="T23" s="45">
        <f t="shared" si="0"/>
        <v>968</v>
      </c>
    </row>
    <row r="24" spans="1:20" ht="18" customHeight="1">
      <c r="A24" s="32" t="s">
        <v>45</v>
      </c>
      <c r="B24" s="12">
        <v>0</v>
      </c>
      <c r="C24" s="12" t="s">
        <v>25</v>
      </c>
      <c r="D24" s="12" t="s">
        <v>25</v>
      </c>
      <c r="E24" s="12" t="s">
        <v>25</v>
      </c>
      <c r="F24" s="12" t="s">
        <v>25</v>
      </c>
      <c r="G24" s="12" t="s">
        <v>25</v>
      </c>
      <c r="H24" s="12" t="s">
        <v>25</v>
      </c>
      <c r="I24" s="12" t="s">
        <v>25</v>
      </c>
      <c r="J24" s="32" t="s">
        <v>45</v>
      </c>
      <c r="K24" s="13" t="s">
        <v>25</v>
      </c>
      <c r="L24" s="12" t="s">
        <v>25</v>
      </c>
      <c r="M24" s="12" t="s">
        <v>25</v>
      </c>
      <c r="N24" s="12" t="s">
        <v>25</v>
      </c>
      <c r="O24" s="12" t="s">
        <v>25</v>
      </c>
      <c r="P24" s="12" t="s">
        <v>25</v>
      </c>
      <c r="Q24" s="12" t="s">
        <v>25</v>
      </c>
      <c r="R24" s="12" t="s">
        <v>25</v>
      </c>
      <c r="S24" s="12" t="s">
        <v>25</v>
      </c>
      <c r="T24" s="45">
        <f t="shared" si="0"/>
        <v>0</v>
      </c>
    </row>
    <row r="25" spans="1:20" ht="18" customHeight="1">
      <c r="A25" s="32" t="s">
        <v>46</v>
      </c>
      <c r="B25" s="11">
        <v>0</v>
      </c>
      <c r="C25" s="11" t="s">
        <v>25</v>
      </c>
      <c r="D25" s="11" t="s">
        <v>25</v>
      </c>
      <c r="E25" s="11" t="s">
        <v>25</v>
      </c>
      <c r="F25" s="11" t="s">
        <v>25</v>
      </c>
      <c r="G25" s="11" t="s">
        <v>25</v>
      </c>
      <c r="H25" s="11" t="s">
        <v>25</v>
      </c>
      <c r="I25" s="11" t="s">
        <v>25</v>
      </c>
      <c r="J25" s="32" t="s">
        <v>46</v>
      </c>
      <c r="K25" s="14" t="s">
        <v>25</v>
      </c>
      <c r="L25" s="11" t="s">
        <v>25</v>
      </c>
      <c r="M25" s="11" t="s">
        <v>25</v>
      </c>
      <c r="N25" s="11" t="s">
        <v>25</v>
      </c>
      <c r="O25" s="11" t="s">
        <v>25</v>
      </c>
      <c r="P25" s="11" t="s">
        <v>25</v>
      </c>
      <c r="Q25" s="11" t="s">
        <v>25</v>
      </c>
      <c r="R25" s="11" t="s">
        <v>25</v>
      </c>
      <c r="S25" s="11" t="s">
        <v>25</v>
      </c>
      <c r="T25" s="45">
        <f t="shared" si="0"/>
        <v>0</v>
      </c>
    </row>
    <row r="26" spans="1:20" ht="18" customHeight="1">
      <c r="A26" s="35" t="s">
        <v>47</v>
      </c>
      <c r="B26" s="15">
        <v>0</v>
      </c>
      <c r="C26" s="15" t="s">
        <v>25</v>
      </c>
      <c r="D26" s="15" t="s">
        <v>25</v>
      </c>
      <c r="E26" s="15" t="s">
        <v>25</v>
      </c>
      <c r="F26" s="15" t="s">
        <v>25</v>
      </c>
      <c r="G26" s="15" t="s">
        <v>25</v>
      </c>
      <c r="H26" s="15" t="s">
        <v>25</v>
      </c>
      <c r="I26" s="15" t="s">
        <v>25</v>
      </c>
      <c r="J26" s="35" t="s">
        <v>47</v>
      </c>
      <c r="K26" s="16" t="s">
        <v>25</v>
      </c>
      <c r="L26" s="15" t="s">
        <v>25</v>
      </c>
      <c r="M26" s="15" t="s">
        <v>25</v>
      </c>
      <c r="N26" s="15" t="s">
        <v>25</v>
      </c>
      <c r="O26" s="15" t="s">
        <v>25</v>
      </c>
      <c r="P26" s="15" t="s">
        <v>25</v>
      </c>
      <c r="Q26" s="15" t="s">
        <v>25</v>
      </c>
      <c r="R26" s="15" t="s">
        <v>25</v>
      </c>
      <c r="S26" s="15">
        <v>0</v>
      </c>
      <c r="T26" s="46">
        <f t="shared" si="0"/>
        <v>0</v>
      </c>
    </row>
    <row r="27" spans="1:20" s="1" customFormat="1" ht="20.100000000000001" customHeight="1">
      <c r="A27" s="28" t="s">
        <v>0</v>
      </c>
      <c r="B27" s="29" t="s">
        <v>1</v>
      </c>
      <c r="C27" s="2"/>
      <c r="D27" s="2"/>
      <c r="E27" s="2"/>
      <c r="F27" s="2"/>
      <c r="G27" s="2"/>
      <c r="H27" s="2"/>
      <c r="I27" s="3"/>
      <c r="J27" s="28" t="s">
        <v>0</v>
      </c>
      <c r="K27" s="29" t="s">
        <v>1</v>
      </c>
      <c r="L27" s="2"/>
      <c r="M27" s="2"/>
      <c r="N27" s="2"/>
      <c r="O27" s="2"/>
      <c r="P27" s="2"/>
      <c r="Q27" s="2"/>
      <c r="R27" s="2"/>
      <c r="S27" s="2"/>
      <c r="T27" s="47" t="s">
        <v>2</v>
      </c>
    </row>
    <row r="28" spans="1:20" s="1" customFormat="1" ht="20.100000000000001" customHeight="1">
      <c r="A28" s="4"/>
      <c r="B28" s="29" t="s">
        <v>3</v>
      </c>
      <c r="C28" s="2"/>
      <c r="D28" s="2"/>
      <c r="E28" s="2"/>
      <c r="F28" s="2"/>
      <c r="G28" s="2"/>
      <c r="H28" s="2"/>
      <c r="I28" s="3"/>
      <c r="J28" s="4"/>
      <c r="K28" s="29" t="s">
        <v>4</v>
      </c>
      <c r="L28" s="2"/>
      <c r="M28" s="2"/>
      <c r="N28" s="3"/>
      <c r="O28" s="2" t="s">
        <v>5</v>
      </c>
      <c r="P28" s="2"/>
      <c r="Q28" s="2"/>
      <c r="R28" s="2"/>
      <c r="S28" s="3"/>
      <c r="T28" s="48"/>
    </row>
    <row r="29" spans="1:20" ht="45" customHeight="1">
      <c r="A29" s="5"/>
      <c r="B29" s="30" t="s">
        <v>6</v>
      </c>
      <c r="C29" s="30" t="s">
        <v>7</v>
      </c>
      <c r="D29" s="30" t="s">
        <v>8</v>
      </c>
      <c r="E29" s="30" t="s">
        <v>9</v>
      </c>
      <c r="F29" s="30" t="s">
        <v>10</v>
      </c>
      <c r="G29" s="30" t="s">
        <v>11</v>
      </c>
      <c r="H29" s="30" t="s">
        <v>12</v>
      </c>
      <c r="I29" s="30" t="s">
        <v>13</v>
      </c>
      <c r="J29" s="5"/>
      <c r="K29" s="30" t="s">
        <v>14</v>
      </c>
      <c r="L29" s="30" t="s">
        <v>15</v>
      </c>
      <c r="M29" s="30" t="s">
        <v>16</v>
      </c>
      <c r="N29" s="30" t="s">
        <v>17</v>
      </c>
      <c r="O29" s="30" t="s">
        <v>18</v>
      </c>
      <c r="P29" s="30" t="s">
        <v>19</v>
      </c>
      <c r="Q29" s="30" t="s">
        <v>20</v>
      </c>
      <c r="R29" s="30" t="s">
        <v>21</v>
      </c>
      <c r="S29" s="30" t="s">
        <v>22</v>
      </c>
      <c r="T29" s="43"/>
    </row>
    <row r="30" spans="1:20" ht="18" customHeight="1">
      <c r="A30" s="36" t="s">
        <v>48</v>
      </c>
      <c r="B30" s="12"/>
      <c r="C30" s="12"/>
      <c r="D30" s="12"/>
      <c r="E30" s="12"/>
      <c r="F30" s="12"/>
      <c r="G30" s="12"/>
      <c r="H30" s="12"/>
      <c r="I30" s="12"/>
      <c r="J30" s="36" t="s">
        <v>48</v>
      </c>
      <c r="K30" s="13"/>
      <c r="L30" s="12"/>
      <c r="M30" s="12"/>
      <c r="N30" s="12"/>
      <c r="O30" s="12"/>
      <c r="P30" s="12"/>
      <c r="Q30" s="12"/>
      <c r="R30" s="12"/>
      <c r="S30" s="12"/>
      <c r="T30" s="45"/>
    </row>
    <row r="31" spans="1:20" ht="18" customHeight="1">
      <c r="A31" s="33" t="s">
        <v>49</v>
      </c>
      <c r="B31" s="11">
        <v>0</v>
      </c>
      <c r="C31" s="11" t="s">
        <v>25</v>
      </c>
      <c r="D31" s="11" t="s">
        <v>25</v>
      </c>
      <c r="E31" s="11" t="s">
        <v>25</v>
      </c>
      <c r="F31" s="11" t="s">
        <v>25</v>
      </c>
      <c r="G31" s="11" t="s">
        <v>25</v>
      </c>
      <c r="H31" s="11" t="s">
        <v>25</v>
      </c>
      <c r="I31" s="11" t="s">
        <v>25</v>
      </c>
      <c r="J31" s="33" t="s">
        <v>49</v>
      </c>
      <c r="K31" s="11" t="s">
        <v>25</v>
      </c>
      <c r="L31" s="11" t="s">
        <v>25</v>
      </c>
      <c r="M31" s="11" t="s">
        <v>25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45">
        <f>SUM(K31:S31,B31:I31)</f>
        <v>0</v>
      </c>
    </row>
    <row r="32" spans="1:20" ht="18" customHeight="1">
      <c r="A32" s="32" t="s">
        <v>50</v>
      </c>
      <c r="B32" s="12"/>
      <c r="C32" s="12"/>
      <c r="D32" s="12"/>
      <c r="E32" s="12"/>
      <c r="F32" s="12"/>
      <c r="G32" s="12"/>
      <c r="H32" s="12"/>
      <c r="I32" s="12"/>
      <c r="J32" s="32" t="s">
        <v>50</v>
      </c>
      <c r="K32" s="12"/>
      <c r="L32" s="12"/>
      <c r="M32" s="12"/>
      <c r="N32" s="12"/>
      <c r="O32" s="12"/>
      <c r="P32" s="12"/>
      <c r="Q32" s="12"/>
      <c r="R32" s="12"/>
      <c r="S32" s="12"/>
      <c r="T32" s="45"/>
    </row>
    <row r="33" spans="1:20" ht="18" customHeight="1">
      <c r="A33" s="33" t="s">
        <v>51</v>
      </c>
      <c r="B33" s="11">
        <v>0</v>
      </c>
      <c r="C33" s="11" t="s">
        <v>25</v>
      </c>
      <c r="D33" s="11" t="s">
        <v>25</v>
      </c>
      <c r="E33" s="11" t="s">
        <v>25</v>
      </c>
      <c r="F33" s="11" t="s">
        <v>25</v>
      </c>
      <c r="G33" s="11" t="s">
        <v>25</v>
      </c>
      <c r="H33" s="11" t="s">
        <v>25</v>
      </c>
      <c r="I33" s="11" t="s">
        <v>25</v>
      </c>
      <c r="J33" s="33" t="s">
        <v>51</v>
      </c>
      <c r="K33" s="11">
        <v>83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>
        <v>26</v>
      </c>
      <c r="S33" s="11">
        <v>0</v>
      </c>
      <c r="T33" s="45">
        <f>SUM(K33:S33,B33:I33)</f>
        <v>109</v>
      </c>
    </row>
    <row r="34" spans="1:20" ht="18" customHeight="1">
      <c r="A34" s="33" t="s">
        <v>52</v>
      </c>
      <c r="B34" s="12">
        <v>0</v>
      </c>
      <c r="C34" s="12" t="s">
        <v>25</v>
      </c>
      <c r="D34" s="12" t="s">
        <v>25</v>
      </c>
      <c r="E34" s="12" t="s">
        <v>25</v>
      </c>
      <c r="F34" s="12" t="s">
        <v>25</v>
      </c>
      <c r="G34" s="12" t="s">
        <v>25</v>
      </c>
      <c r="H34" s="12" t="s">
        <v>25</v>
      </c>
      <c r="I34" s="12" t="s">
        <v>25</v>
      </c>
      <c r="J34" s="33" t="s">
        <v>52</v>
      </c>
      <c r="K34" s="12" t="s">
        <v>25</v>
      </c>
      <c r="L34" s="12" t="s">
        <v>25</v>
      </c>
      <c r="M34" s="12" t="s">
        <v>25</v>
      </c>
      <c r="N34" s="12" t="s">
        <v>25</v>
      </c>
      <c r="O34" s="12" t="s">
        <v>25</v>
      </c>
      <c r="P34" s="12" t="s">
        <v>25</v>
      </c>
      <c r="Q34" s="12" t="s">
        <v>25</v>
      </c>
      <c r="R34" s="12" t="s">
        <v>25</v>
      </c>
      <c r="S34" s="12" t="s">
        <v>25</v>
      </c>
      <c r="T34" s="45">
        <f>SUM(K34:S34,B34:I34)</f>
        <v>0</v>
      </c>
    </row>
    <row r="35" spans="1:20" s="17" customFormat="1" ht="18" customHeight="1">
      <c r="A35" s="37" t="s">
        <v>53</v>
      </c>
      <c r="B35" s="11">
        <v>0</v>
      </c>
      <c r="C35" s="11" t="s">
        <v>25</v>
      </c>
      <c r="D35" s="11" t="s">
        <v>25</v>
      </c>
      <c r="E35" s="11" t="s">
        <v>25</v>
      </c>
      <c r="F35" s="11" t="s">
        <v>25</v>
      </c>
      <c r="G35" s="11" t="s">
        <v>25</v>
      </c>
      <c r="H35" s="11" t="s">
        <v>25</v>
      </c>
      <c r="I35" s="11" t="s">
        <v>25</v>
      </c>
      <c r="J35" s="37" t="s">
        <v>53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49">
        <f>SUM(K35:S35,B35:I35)</f>
        <v>0</v>
      </c>
    </row>
    <row r="36" spans="1:20" ht="18" customHeight="1">
      <c r="A36" s="32" t="s">
        <v>54</v>
      </c>
      <c r="B36" s="18"/>
      <c r="C36" s="18"/>
      <c r="D36" s="18"/>
      <c r="E36" s="18"/>
      <c r="F36" s="18"/>
      <c r="G36" s="18"/>
      <c r="H36" s="18"/>
      <c r="I36" s="18"/>
      <c r="J36" s="32" t="s">
        <v>54</v>
      </c>
      <c r="K36" s="18"/>
      <c r="L36" s="18"/>
      <c r="M36" s="18"/>
      <c r="N36" s="18"/>
      <c r="O36" s="18"/>
      <c r="P36" s="18"/>
      <c r="Q36" s="18"/>
      <c r="R36" s="18"/>
      <c r="S36" s="18"/>
      <c r="T36" s="50"/>
    </row>
    <row r="37" spans="1:20" ht="18" customHeight="1">
      <c r="A37" s="33" t="s">
        <v>55</v>
      </c>
      <c r="B37" s="11">
        <v>0</v>
      </c>
      <c r="C37" s="11" t="s">
        <v>25</v>
      </c>
      <c r="D37" s="11" t="s">
        <v>25</v>
      </c>
      <c r="E37" s="11" t="s">
        <v>25</v>
      </c>
      <c r="F37" s="11" t="s">
        <v>25</v>
      </c>
      <c r="G37" s="11" t="s">
        <v>25</v>
      </c>
      <c r="H37" s="11" t="s">
        <v>25</v>
      </c>
      <c r="I37" s="11" t="s">
        <v>25</v>
      </c>
      <c r="J37" s="33" t="s">
        <v>55</v>
      </c>
      <c r="K37" s="11">
        <v>877</v>
      </c>
      <c r="L37" s="11" t="s">
        <v>25</v>
      </c>
      <c r="M37" s="11" t="s">
        <v>25</v>
      </c>
      <c r="N37" s="11">
        <v>357</v>
      </c>
      <c r="O37" s="11" t="s">
        <v>25</v>
      </c>
      <c r="P37" s="11" t="s">
        <v>25</v>
      </c>
      <c r="Q37" s="11" t="s">
        <v>25</v>
      </c>
      <c r="R37" s="11">
        <v>324</v>
      </c>
      <c r="S37" s="11" t="s">
        <v>25</v>
      </c>
      <c r="T37" s="45">
        <f>SUM(K37:S37,B37:I37)</f>
        <v>1558</v>
      </c>
    </row>
    <row r="38" spans="1:20" ht="18" customHeight="1">
      <c r="A38" s="33" t="s">
        <v>56</v>
      </c>
      <c r="B38" s="12">
        <v>0</v>
      </c>
      <c r="C38" s="12" t="s">
        <v>25</v>
      </c>
      <c r="D38" s="12" t="s">
        <v>25</v>
      </c>
      <c r="E38" s="12" t="s">
        <v>25</v>
      </c>
      <c r="F38" s="12" t="s">
        <v>25</v>
      </c>
      <c r="G38" s="12" t="s">
        <v>25</v>
      </c>
      <c r="H38" s="12" t="s">
        <v>25</v>
      </c>
      <c r="I38" s="12" t="s">
        <v>25</v>
      </c>
      <c r="J38" s="33" t="s">
        <v>56</v>
      </c>
      <c r="K38" s="12" t="s">
        <v>25</v>
      </c>
      <c r="L38" s="12" t="s">
        <v>25</v>
      </c>
      <c r="M38" s="12" t="s">
        <v>25</v>
      </c>
      <c r="N38" s="12" t="s">
        <v>25</v>
      </c>
      <c r="O38" s="12" t="s">
        <v>25</v>
      </c>
      <c r="P38" s="12" t="s">
        <v>25</v>
      </c>
      <c r="Q38" s="12" t="s">
        <v>25</v>
      </c>
      <c r="R38" s="12" t="s">
        <v>25</v>
      </c>
      <c r="S38" s="12" t="s">
        <v>25</v>
      </c>
      <c r="T38" s="45">
        <f>SUM(K38:S38,B38:I38)</f>
        <v>0</v>
      </c>
    </row>
    <row r="39" spans="1:20" ht="18" customHeight="1">
      <c r="A39" s="33" t="s">
        <v>57</v>
      </c>
      <c r="B39" s="11">
        <v>0</v>
      </c>
      <c r="C39" s="11" t="s">
        <v>25</v>
      </c>
      <c r="D39" s="11" t="s">
        <v>25</v>
      </c>
      <c r="E39" s="11" t="s">
        <v>25</v>
      </c>
      <c r="F39" s="11" t="s">
        <v>25</v>
      </c>
      <c r="G39" s="11" t="s">
        <v>25</v>
      </c>
      <c r="H39" s="11" t="s">
        <v>25</v>
      </c>
      <c r="I39" s="11" t="s">
        <v>25</v>
      </c>
      <c r="J39" s="33" t="s">
        <v>57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45">
        <f>SUM(K39:S39,B39:I39)</f>
        <v>0</v>
      </c>
    </row>
    <row r="40" spans="1:20" ht="18" customHeight="1">
      <c r="A40" s="32" t="s">
        <v>58</v>
      </c>
      <c r="B40" s="12"/>
      <c r="C40" s="12"/>
      <c r="D40" s="12"/>
      <c r="E40" s="12"/>
      <c r="F40" s="12"/>
      <c r="G40" s="12"/>
      <c r="H40" s="12"/>
      <c r="I40" s="12"/>
      <c r="J40" s="32" t="s">
        <v>58</v>
      </c>
      <c r="K40" s="12"/>
      <c r="L40" s="12"/>
      <c r="M40" s="12"/>
      <c r="N40" s="12"/>
      <c r="O40" s="12"/>
      <c r="P40" s="12"/>
      <c r="Q40" s="12"/>
      <c r="R40" s="12"/>
      <c r="S40" s="12"/>
      <c r="T40" s="45"/>
    </row>
    <row r="41" spans="1:20" ht="18" customHeight="1">
      <c r="A41" s="33" t="s">
        <v>59</v>
      </c>
      <c r="B41" s="11">
        <v>0</v>
      </c>
      <c r="C41" s="11" t="s">
        <v>25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33" t="s">
        <v>59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45">
        <f>SUM(K41:S41,B41:I41)</f>
        <v>0</v>
      </c>
    </row>
    <row r="42" spans="1:20" ht="18" customHeight="1">
      <c r="A42" s="33" t="s">
        <v>60</v>
      </c>
      <c r="B42" s="12">
        <v>0</v>
      </c>
      <c r="C42" s="12" t="s">
        <v>25</v>
      </c>
      <c r="D42" s="12" t="s">
        <v>25</v>
      </c>
      <c r="E42" s="12" t="s">
        <v>25</v>
      </c>
      <c r="F42" s="12" t="s">
        <v>25</v>
      </c>
      <c r="G42" s="12" t="s">
        <v>25</v>
      </c>
      <c r="H42" s="12" t="s">
        <v>25</v>
      </c>
      <c r="I42" s="12" t="s">
        <v>25</v>
      </c>
      <c r="J42" s="33" t="s">
        <v>60</v>
      </c>
      <c r="K42" s="12" t="s">
        <v>25</v>
      </c>
      <c r="L42" s="12" t="s">
        <v>25</v>
      </c>
      <c r="M42" s="12" t="s">
        <v>25</v>
      </c>
      <c r="N42" s="12" t="s">
        <v>25</v>
      </c>
      <c r="O42" s="12" t="s">
        <v>25</v>
      </c>
      <c r="P42" s="12" t="s">
        <v>25</v>
      </c>
      <c r="Q42" s="12" t="s">
        <v>25</v>
      </c>
      <c r="R42" s="12" t="s">
        <v>25</v>
      </c>
      <c r="S42" s="12" t="s">
        <v>25</v>
      </c>
      <c r="T42" s="45">
        <f>SUM(K42:S42,B42:I42)</f>
        <v>0</v>
      </c>
    </row>
    <row r="43" spans="1:20" ht="18" customHeight="1">
      <c r="A43" s="32" t="s">
        <v>61</v>
      </c>
      <c r="B43" s="11">
        <v>0</v>
      </c>
      <c r="C43" s="11" t="s">
        <v>25</v>
      </c>
      <c r="D43" s="11" t="s">
        <v>25</v>
      </c>
      <c r="E43" s="11" t="s">
        <v>25</v>
      </c>
      <c r="F43" s="11" t="s">
        <v>25</v>
      </c>
      <c r="G43" s="11" t="s">
        <v>25</v>
      </c>
      <c r="H43" s="11" t="s">
        <v>25</v>
      </c>
      <c r="I43" s="11" t="s">
        <v>25</v>
      </c>
      <c r="J43" s="32" t="s">
        <v>61</v>
      </c>
      <c r="K43" s="11">
        <v>0</v>
      </c>
      <c r="L43" s="11" t="s">
        <v>25</v>
      </c>
      <c r="M43" s="11" t="s">
        <v>25</v>
      </c>
      <c r="N43" s="11" t="s">
        <v>25</v>
      </c>
      <c r="O43" s="11" t="s">
        <v>25</v>
      </c>
      <c r="P43" s="11" t="s">
        <v>25</v>
      </c>
      <c r="Q43" s="11" t="s">
        <v>25</v>
      </c>
      <c r="R43" s="11" t="s">
        <v>25</v>
      </c>
      <c r="S43" s="11" t="s">
        <v>25</v>
      </c>
      <c r="T43" s="45">
        <f>SUM(K43:S43,B43:I43)</f>
        <v>0</v>
      </c>
    </row>
    <row r="44" spans="1:20" ht="18" customHeight="1">
      <c r="A44" s="38" t="s">
        <v>62</v>
      </c>
      <c r="B44" s="12"/>
      <c r="C44" s="12"/>
      <c r="D44" s="12"/>
      <c r="E44" s="12"/>
      <c r="F44" s="12"/>
      <c r="G44" s="12"/>
      <c r="H44" s="12"/>
      <c r="I44" s="12"/>
      <c r="J44" s="38" t="s">
        <v>62</v>
      </c>
      <c r="K44" s="12"/>
      <c r="L44" s="12"/>
      <c r="M44" s="12"/>
      <c r="N44" s="12"/>
      <c r="O44" s="12"/>
      <c r="P44" s="12"/>
      <c r="Q44" s="12"/>
      <c r="R44" s="12"/>
      <c r="S44" s="12"/>
      <c r="T44" s="45"/>
    </row>
    <row r="45" spans="1:20" ht="18" customHeight="1">
      <c r="A45" s="33" t="s">
        <v>63</v>
      </c>
      <c r="B45" s="11">
        <v>0</v>
      </c>
      <c r="C45" s="11">
        <v>235</v>
      </c>
      <c r="D45" s="11" t="s">
        <v>25</v>
      </c>
      <c r="E45" s="11" t="s">
        <v>25</v>
      </c>
      <c r="F45" s="11" t="s">
        <v>25</v>
      </c>
      <c r="G45" s="11" t="s">
        <v>25</v>
      </c>
      <c r="H45" s="11" t="s">
        <v>25</v>
      </c>
      <c r="I45" s="11" t="s">
        <v>25</v>
      </c>
      <c r="J45" s="33" t="s">
        <v>63</v>
      </c>
      <c r="K45" s="11">
        <v>1997</v>
      </c>
      <c r="L45" s="11">
        <v>9091</v>
      </c>
      <c r="M45" s="11">
        <v>909</v>
      </c>
      <c r="N45" s="11">
        <v>30</v>
      </c>
      <c r="O45" s="11" t="s">
        <v>25</v>
      </c>
      <c r="P45" s="11" t="s">
        <v>25</v>
      </c>
      <c r="Q45" s="11" t="s">
        <v>25</v>
      </c>
      <c r="R45" s="11">
        <v>261</v>
      </c>
      <c r="S45" s="11">
        <v>0</v>
      </c>
      <c r="T45" s="45">
        <f t="shared" ref="T45:T52" si="1">SUM(K45:S45,B45:I45)</f>
        <v>12523</v>
      </c>
    </row>
    <row r="46" spans="1:20" ht="18" customHeight="1">
      <c r="A46" s="33" t="s">
        <v>64</v>
      </c>
      <c r="B46" s="12">
        <v>0</v>
      </c>
      <c r="C46" s="12">
        <v>64</v>
      </c>
      <c r="D46" s="12" t="s">
        <v>25</v>
      </c>
      <c r="E46" s="12" t="s">
        <v>25</v>
      </c>
      <c r="F46" s="12" t="s">
        <v>25</v>
      </c>
      <c r="G46" s="12" t="s">
        <v>25</v>
      </c>
      <c r="H46" s="12" t="s">
        <v>25</v>
      </c>
      <c r="I46" s="12" t="s">
        <v>25</v>
      </c>
      <c r="J46" s="33" t="s">
        <v>64</v>
      </c>
      <c r="K46" s="12">
        <v>1187</v>
      </c>
      <c r="L46" s="12">
        <v>677</v>
      </c>
      <c r="M46" s="12" t="s">
        <v>25</v>
      </c>
      <c r="N46" s="12" t="s">
        <v>25</v>
      </c>
      <c r="O46" s="12" t="s">
        <v>25</v>
      </c>
      <c r="P46" s="12" t="s">
        <v>25</v>
      </c>
      <c r="Q46" s="12" t="s">
        <v>25</v>
      </c>
      <c r="R46" s="12">
        <v>3</v>
      </c>
      <c r="S46" s="12" t="s">
        <v>25</v>
      </c>
      <c r="T46" s="45">
        <f t="shared" si="1"/>
        <v>1931</v>
      </c>
    </row>
    <row r="47" spans="1:20" ht="18" customHeight="1">
      <c r="A47" s="33" t="s">
        <v>65</v>
      </c>
      <c r="B47" s="11">
        <v>0</v>
      </c>
      <c r="C47" s="11" t="s">
        <v>25</v>
      </c>
      <c r="D47" s="11" t="s">
        <v>25</v>
      </c>
      <c r="E47" s="11" t="s">
        <v>25</v>
      </c>
      <c r="F47" s="11" t="s">
        <v>25</v>
      </c>
      <c r="G47" s="11" t="s">
        <v>25</v>
      </c>
      <c r="H47" s="11" t="s">
        <v>25</v>
      </c>
      <c r="I47" s="11" t="s">
        <v>25</v>
      </c>
      <c r="J47" s="33" t="s">
        <v>65</v>
      </c>
      <c r="K47" s="11" t="s">
        <v>25</v>
      </c>
      <c r="L47" s="11" t="s">
        <v>25</v>
      </c>
      <c r="M47" s="11" t="s">
        <v>25</v>
      </c>
      <c r="N47" s="11" t="s">
        <v>25</v>
      </c>
      <c r="O47" s="11" t="s">
        <v>25</v>
      </c>
      <c r="P47" s="11" t="s">
        <v>25</v>
      </c>
      <c r="Q47" s="11" t="s">
        <v>25</v>
      </c>
      <c r="R47" s="11" t="s">
        <v>25</v>
      </c>
      <c r="S47" s="11" t="s">
        <v>25</v>
      </c>
      <c r="T47" s="45">
        <f t="shared" si="1"/>
        <v>0</v>
      </c>
    </row>
    <row r="48" spans="1:20" ht="18" customHeight="1">
      <c r="A48" s="33" t="s">
        <v>66</v>
      </c>
      <c r="B48" s="12">
        <v>0</v>
      </c>
      <c r="C48" s="12">
        <v>752</v>
      </c>
      <c r="D48" s="12" t="s">
        <v>25</v>
      </c>
      <c r="E48" s="12" t="s">
        <v>25</v>
      </c>
      <c r="F48" s="12" t="s">
        <v>25</v>
      </c>
      <c r="G48" s="12" t="s">
        <v>25</v>
      </c>
      <c r="H48" s="12" t="s">
        <v>25</v>
      </c>
      <c r="I48" s="12" t="s">
        <v>25</v>
      </c>
      <c r="J48" s="33" t="s">
        <v>66</v>
      </c>
      <c r="K48" s="12" t="s">
        <v>25</v>
      </c>
      <c r="L48" s="12" t="s">
        <v>25</v>
      </c>
      <c r="M48" s="12" t="s">
        <v>25</v>
      </c>
      <c r="N48" s="12" t="s">
        <v>25</v>
      </c>
      <c r="O48" s="12" t="s">
        <v>25</v>
      </c>
      <c r="P48" s="12" t="s">
        <v>25</v>
      </c>
      <c r="Q48" s="12" t="s">
        <v>25</v>
      </c>
      <c r="R48" s="12" t="s">
        <v>25</v>
      </c>
      <c r="S48" s="12" t="s">
        <v>25</v>
      </c>
      <c r="T48" s="45">
        <f t="shared" si="1"/>
        <v>752</v>
      </c>
    </row>
    <row r="49" spans="1:20" ht="18" customHeight="1">
      <c r="A49" s="33" t="s">
        <v>67</v>
      </c>
      <c r="B49" s="11">
        <v>64</v>
      </c>
      <c r="C49" s="11">
        <v>382</v>
      </c>
      <c r="D49" s="11" t="s">
        <v>25</v>
      </c>
      <c r="E49" s="11" t="s">
        <v>25</v>
      </c>
      <c r="F49" s="11" t="s">
        <v>25</v>
      </c>
      <c r="G49" s="11" t="s">
        <v>25</v>
      </c>
      <c r="H49" s="11" t="s">
        <v>25</v>
      </c>
      <c r="I49" s="11" t="s">
        <v>25</v>
      </c>
      <c r="J49" s="33" t="s">
        <v>67</v>
      </c>
      <c r="K49" s="11" t="s">
        <v>25</v>
      </c>
      <c r="L49" s="11" t="s">
        <v>25</v>
      </c>
      <c r="M49" s="11" t="s">
        <v>25</v>
      </c>
      <c r="N49" s="11" t="s">
        <v>25</v>
      </c>
      <c r="O49" s="11" t="s">
        <v>25</v>
      </c>
      <c r="P49" s="11" t="s">
        <v>25</v>
      </c>
      <c r="Q49" s="11" t="s">
        <v>25</v>
      </c>
      <c r="R49" s="11" t="s">
        <v>25</v>
      </c>
      <c r="S49" s="11" t="s">
        <v>25</v>
      </c>
      <c r="T49" s="45">
        <f t="shared" si="1"/>
        <v>446</v>
      </c>
    </row>
    <row r="50" spans="1:20" ht="18" customHeight="1">
      <c r="A50" s="39" t="s">
        <v>68</v>
      </c>
      <c r="B50" s="12">
        <v>0</v>
      </c>
      <c r="C50" s="12" t="s">
        <v>25</v>
      </c>
      <c r="D50" s="12">
        <v>0</v>
      </c>
      <c r="E50" s="12" t="s">
        <v>25</v>
      </c>
      <c r="F50" s="12" t="s">
        <v>25</v>
      </c>
      <c r="G50" s="12" t="s">
        <v>25</v>
      </c>
      <c r="H50" s="12" t="s">
        <v>25</v>
      </c>
      <c r="I50" s="12" t="s">
        <v>25</v>
      </c>
      <c r="J50" s="39" t="s">
        <v>68</v>
      </c>
      <c r="K50" s="12">
        <v>0</v>
      </c>
      <c r="L50" s="12" t="s">
        <v>25</v>
      </c>
      <c r="M50" s="12" t="s">
        <v>25</v>
      </c>
      <c r="N50" s="12" t="s">
        <v>25</v>
      </c>
      <c r="O50" s="12" t="s">
        <v>25</v>
      </c>
      <c r="P50" s="12" t="s">
        <v>25</v>
      </c>
      <c r="Q50" s="12" t="s">
        <v>25</v>
      </c>
      <c r="R50" s="12" t="s">
        <v>25</v>
      </c>
      <c r="S50" s="12">
        <v>0</v>
      </c>
      <c r="T50" s="45">
        <f t="shared" si="1"/>
        <v>0</v>
      </c>
    </row>
    <row r="51" spans="1:20" ht="18" customHeight="1">
      <c r="A51" s="38" t="s">
        <v>69</v>
      </c>
      <c r="B51" s="11">
        <v>400</v>
      </c>
      <c r="C51" s="11" t="s">
        <v>25</v>
      </c>
      <c r="D51" s="11" t="s">
        <v>25</v>
      </c>
      <c r="E51" s="11" t="s">
        <v>25</v>
      </c>
      <c r="F51" s="11" t="s">
        <v>25</v>
      </c>
      <c r="G51" s="11" t="s">
        <v>25</v>
      </c>
      <c r="H51" s="11" t="s">
        <v>25</v>
      </c>
      <c r="I51" s="11" t="s">
        <v>25</v>
      </c>
      <c r="J51" s="38" t="s">
        <v>69</v>
      </c>
      <c r="K51" s="11" t="s">
        <v>25</v>
      </c>
      <c r="L51" s="11" t="s">
        <v>25</v>
      </c>
      <c r="M51" s="11" t="s">
        <v>25</v>
      </c>
      <c r="N51" s="11" t="s">
        <v>25</v>
      </c>
      <c r="O51" s="11" t="s">
        <v>25</v>
      </c>
      <c r="P51" s="11" t="s">
        <v>25</v>
      </c>
      <c r="Q51" s="11" t="s">
        <v>25</v>
      </c>
      <c r="R51" s="11" t="s">
        <v>25</v>
      </c>
      <c r="S51" s="11">
        <v>19</v>
      </c>
      <c r="T51" s="45">
        <f t="shared" si="1"/>
        <v>419</v>
      </c>
    </row>
    <row r="52" spans="1:20" ht="18" customHeight="1">
      <c r="A52" s="38" t="s">
        <v>70</v>
      </c>
      <c r="B52" s="12">
        <v>11205</v>
      </c>
      <c r="C52" s="12">
        <v>1965</v>
      </c>
      <c r="D52" s="12">
        <v>680</v>
      </c>
      <c r="E52" s="12" t="s">
        <v>25</v>
      </c>
      <c r="F52" s="12" t="s">
        <v>25</v>
      </c>
      <c r="G52" s="12" t="s">
        <v>25</v>
      </c>
      <c r="H52" s="12" t="s">
        <v>25</v>
      </c>
      <c r="I52" s="12" t="s">
        <v>25</v>
      </c>
      <c r="J52" s="38" t="s">
        <v>70</v>
      </c>
      <c r="K52" s="12">
        <v>44796</v>
      </c>
      <c r="L52" s="12">
        <v>7977</v>
      </c>
      <c r="M52" s="12" t="s">
        <v>25</v>
      </c>
      <c r="N52" s="12">
        <v>900</v>
      </c>
      <c r="O52" s="12">
        <v>259</v>
      </c>
      <c r="P52" s="12" t="s">
        <v>25</v>
      </c>
      <c r="Q52" s="12" t="s">
        <v>25</v>
      </c>
      <c r="R52" s="12">
        <v>8568</v>
      </c>
      <c r="S52" s="12">
        <v>0</v>
      </c>
      <c r="T52" s="45">
        <f t="shared" si="1"/>
        <v>76350</v>
      </c>
    </row>
    <row r="53" spans="1:20" s="17" customFormat="1" ht="36.75" customHeight="1">
      <c r="A53" s="56" t="s">
        <v>2</v>
      </c>
      <c r="B53" s="51">
        <f t="shared" ref="B53:I53" si="2">SUM(B5:B35)+SUM(B36:B52)</f>
        <v>13676</v>
      </c>
      <c r="C53" s="51">
        <f t="shared" si="2"/>
        <v>22785</v>
      </c>
      <c r="D53" s="51">
        <f t="shared" si="2"/>
        <v>19203</v>
      </c>
      <c r="E53" s="51">
        <f t="shared" si="2"/>
        <v>0</v>
      </c>
      <c r="F53" s="51">
        <f t="shared" si="2"/>
        <v>3524</v>
      </c>
      <c r="G53" s="51">
        <f t="shared" si="2"/>
        <v>4089</v>
      </c>
      <c r="H53" s="51">
        <f t="shared" si="2"/>
        <v>0</v>
      </c>
      <c r="I53" s="51">
        <f t="shared" si="2"/>
        <v>0</v>
      </c>
      <c r="J53" s="56" t="s">
        <v>2</v>
      </c>
      <c r="K53" s="51">
        <f t="shared" ref="K53:T53" si="3">SUM(K4:K35)+SUM(K36:K52)</f>
        <v>154894</v>
      </c>
      <c r="L53" s="51">
        <f t="shared" si="3"/>
        <v>23353</v>
      </c>
      <c r="M53" s="51">
        <f t="shared" si="3"/>
        <v>110286</v>
      </c>
      <c r="N53" s="51">
        <f t="shared" si="3"/>
        <v>21500</v>
      </c>
      <c r="O53" s="51">
        <f t="shared" si="3"/>
        <v>2145</v>
      </c>
      <c r="P53" s="51">
        <f t="shared" si="3"/>
        <v>0</v>
      </c>
      <c r="Q53" s="51">
        <f t="shared" si="3"/>
        <v>2239</v>
      </c>
      <c r="R53" s="51">
        <f t="shared" si="3"/>
        <v>17505</v>
      </c>
      <c r="S53" s="51">
        <f t="shared" si="3"/>
        <v>3927</v>
      </c>
      <c r="T53" s="51">
        <f t="shared" si="3"/>
        <v>399126</v>
      </c>
    </row>
    <row r="54" spans="1:20" ht="30" customHeight="1">
      <c r="A54" s="40" t="s">
        <v>71</v>
      </c>
      <c r="B54" s="20">
        <f t="shared" ref="B54:G54" si="4">(B53-B57)</f>
        <v>5254</v>
      </c>
      <c r="C54" s="20">
        <f t="shared" si="4"/>
        <v>5808</v>
      </c>
      <c r="D54" s="20">
        <f t="shared" si="4"/>
        <v>-7901</v>
      </c>
      <c r="E54" s="20">
        <f t="shared" si="4"/>
        <v>-24</v>
      </c>
      <c r="F54" s="20">
        <f t="shared" si="4"/>
        <v>2409</v>
      </c>
      <c r="G54" s="20">
        <f t="shared" si="4"/>
        <v>-3599</v>
      </c>
      <c r="H54" s="20">
        <v>0</v>
      </c>
      <c r="I54" s="20">
        <v>0</v>
      </c>
      <c r="J54" s="19" t="s">
        <v>71</v>
      </c>
      <c r="K54" s="20">
        <f t="shared" ref="K54:T54" si="5">(K53-K57)</f>
        <v>32983</v>
      </c>
      <c r="L54" s="20">
        <f t="shared" si="5"/>
        <v>-3039</v>
      </c>
      <c r="M54" s="20">
        <f t="shared" si="5"/>
        <v>17060</v>
      </c>
      <c r="N54" s="20">
        <f t="shared" si="5"/>
        <v>-3425</v>
      </c>
      <c r="O54" s="20">
        <f t="shared" si="5"/>
        <v>-35711</v>
      </c>
      <c r="P54" s="20">
        <v>0</v>
      </c>
      <c r="Q54" s="20">
        <f t="shared" si="5"/>
        <v>1165</v>
      </c>
      <c r="R54" s="20">
        <f t="shared" si="5"/>
        <v>-2753</v>
      </c>
      <c r="S54" s="20">
        <f t="shared" si="5"/>
        <v>-295</v>
      </c>
      <c r="T54" s="52">
        <f t="shared" si="5"/>
        <v>7932</v>
      </c>
    </row>
    <row r="55" spans="1:20" ht="30" customHeight="1">
      <c r="A55" s="40" t="s">
        <v>72</v>
      </c>
      <c r="B55" s="21">
        <f t="shared" ref="B55:G55" si="6">(B53-B57)/ABS(B57)</f>
        <v>0.62384231773925436</v>
      </c>
      <c r="C55" s="21">
        <f t="shared" si="6"/>
        <v>0.34210991341226366</v>
      </c>
      <c r="D55" s="21">
        <f t="shared" si="6"/>
        <v>-0.29150678866587959</v>
      </c>
      <c r="E55" s="22" t="s">
        <v>73</v>
      </c>
      <c r="F55" s="21">
        <f t="shared" si="6"/>
        <v>2.1605381165919284</v>
      </c>
      <c r="G55" s="21">
        <f t="shared" si="6"/>
        <v>-0.46813215400624347</v>
      </c>
      <c r="H55" s="22" t="s">
        <v>73</v>
      </c>
      <c r="I55" s="22" t="s">
        <v>73</v>
      </c>
      <c r="J55" s="19" t="s">
        <v>72</v>
      </c>
      <c r="K55" s="21">
        <f>(K53-K57)/ABS(K57)</f>
        <v>0.27054982733305444</v>
      </c>
      <c r="L55" s="21">
        <f>(L53-L57)/ABS(L57)</f>
        <v>-0.11514852985753259</v>
      </c>
      <c r="M55" s="21">
        <f t="shared" ref="M55:T55" si="7">(M53-M57)/ABS(M57)</f>
        <v>0.18299615986956427</v>
      </c>
      <c r="N55" s="21">
        <f t="shared" si="7"/>
        <v>-0.13741223671013039</v>
      </c>
      <c r="O55" s="21">
        <f t="shared" si="7"/>
        <v>-0.94333791208791207</v>
      </c>
      <c r="P55" s="21" t="s">
        <v>73</v>
      </c>
      <c r="Q55" s="21">
        <f t="shared" si="7"/>
        <v>1.084729981378026</v>
      </c>
      <c r="R55" s="21">
        <f t="shared" si="7"/>
        <v>-0.13589692960805608</v>
      </c>
      <c r="S55" s="21">
        <f t="shared" si="7"/>
        <v>-6.9872098531501656E-2</v>
      </c>
      <c r="T55" s="53">
        <f t="shared" si="7"/>
        <v>2.0276384607125875E-2</v>
      </c>
    </row>
    <row r="56" spans="1:20" ht="30" customHeight="1">
      <c r="A56" s="59" t="s">
        <v>74</v>
      </c>
      <c r="B56" s="54">
        <f t="shared" ref="B56:G56" si="8">B53/$T53</f>
        <v>3.4264868738192948E-2</v>
      </c>
      <c r="C56" s="54">
        <f t="shared" si="8"/>
        <v>5.7087235609807427E-2</v>
      </c>
      <c r="D56" s="54">
        <f t="shared" si="8"/>
        <v>4.8112626088002285E-2</v>
      </c>
      <c r="E56" s="54">
        <f t="shared" si="8"/>
        <v>0</v>
      </c>
      <c r="F56" s="60">
        <f t="shared" si="8"/>
        <v>8.8292920030266127E-3</v>
      </c>
      <c r="G56" s="54">
        <f t="shared" si="8"/>
        <v>1.0244885073886443E-2</v>
      </c>
      <c r="H56" s="54">
        <v>0</v>
      </c>
      <c r="I56" s="54">
        <v>0</v>
      </c>
      <c r="J56" s="59" t="s">
        <v>74</v>
      </c>
      <c r="K56" s="54">
        <f>K53/$T53</f>
        <v>0.38808296127037578</v>
      </c>
      <c r="L56" s="54">
        <f>L53/$T53</f>
        <v>5.8510345104052355E-2</v>
      </c>
      <c r="M56" s="54">
        <f t="shared" ref="M56:T56" si="9">M53/$T53</f>
        <v>0.27631875648291515</v>
      </c>
      <c r="N56" s="54">
        <f t="shared" si="9"/>
        <v>5.3867700926524459E-2</v>
      </c>
      <c r="O56" s="54">
        <f t="shared" si="9"/>
        <v>5.3742427203439516E-3</v>
      </c>
      <c r="P56" s="54">
        <v>0</v>
      </c>
      <c r="Q56" s="60">
        <f t="shared" si="9"/>
        <v>5.6097573197436395E-3</v>
      </c>
      <c r="R56" s="54">
        <f t="shared" si="9"/>
        <v>4.38583304520377E-2</v>
      </c>
      <c r="S56" s="54">
        <f t="shared" si="9"/>
        <v>9.8389982110912346E-3</v>
      </c>
      <c r="T56" s="54">
        <f t="shared" si="9"/>
        <v>1</v>
      </c>
    </row>
    <row r="57" spans="1:20" ht="18">
      <c r="A57" s="57" t="s">
        <v>75</v>
      </c>
      <c r="B57" s="55">
        <v>8422</v>
      </c>
      <c r="C57" s="55">
        <v>16977</v>
      </c>
      <c r="D57" s="55">
        <v>27104</v>
      </c>
      <c r="E57" s="55">
        <v>24</v>
      </c>
      <c r="F57" s="55">
        <v>1115</v>
      </c>
      <c r="G57" s="55">
        <v>7688</v>
      </c>
      <c r="H57" s="52">
        <v>0</v>
      </c>
      <c r="I57" s="52">
        <v>0</v>
      </c>
      <c r="J57" s="57" t="s">
        <v>75</v>
      </c>
      <c r="K57" s="55">
        <v>121911</v>
      </c>
      <c r="L57" s="58">
        <v>26392</v>
      </c>
      <c r="M57" s="55">
        <v>93226</v>
      </c>
      <c r="N57" s="55">
        <v>24925</v>
      </c>
      <c r="O57" s="55">
        <v>37856</v>
      </c>
      <c r="P57" s="52">
        <v>0</v>
      </c>
      <c r="Q57" s="55">
        <v>1074</v>
      </c>
      <c r="R57" s="55">
        <v>20258</v>
      </c>
      <c r="S57" s="55">
        <v>4222</v>
      </c>
      <c r="T57" s="55">
        <v>391194</v>
      </c>
    </row>
    <row r="58" spans="1:20">
      <c r="B58" s="24"/>
      <c r="D58" s="23"/>
      <c r="L58" s="24">
        <f>SUM(K53:N53)</f>
        <v>310033</v>
      </c>
    </row>
    <row r="59" spans="1:20" ht="15">
      <c r="C59" s="25"/>
      <c r="D59" s="24"/>
      <c r="L59" s="26">
        <f>SUM(K53:O53)/T53</f>
        <v>0.78215400650421174</v>
      </c>
    </row>
    <row r="60" spans="1:20" ht="15">
      <c r="C60" s="25"/>
      <c r="D60" s="25"/>
    </row>
    <row r="61" spans="1:20">
      <c r="L61" s="24"/>
    </row>
    <row r="62" spans="1:20">
      <c r="L62" s="27"/>
    </row>
  </sheetData>
  <phoneticPr fontId="2" type="noConversion"/>
  <printOptions horizontalCentered="1" verticalCentered="1" gridLinesSet="0"/>
  <pageMargins left="0.45" right="0.45" top="0.95" bottom="0.95" header="0.5" footer="0.5"/>
  <pageSetup paperSize="9" scale="59" orientation="landscape" horizontalDpi="1200" verticalDpi="1200" r:id="rId1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9</vt:lpstr>
      <vt:lpstr>'Table 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2024-11-20T08:29:22Z</dcterms:created>
  <dcterms:modified xsi:type="dcterms:W3CDTF">2025-12-08T07:07:50Z</dcterms:modified>
</cp:coreProperties>
</file>