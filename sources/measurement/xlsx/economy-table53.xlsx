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63CCE1E-D163-44E0-BCD4-5A95C825ED9B}" xr6:coauthVersionLast="47" xr6:coauthVersionMax="47" xr10:uidLastSave="{00000000-0000-0000-0000-000000000000}"/>
  <bookViews>
    <workbookView xWindow="-120" yWindow="-120" windowWidth="38640" windowHeight="21240" xr2:uid="{D975842A-4EE0-40FE-985F-F43F7DE63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Q3" i="1"/>
  <c r="F4" i="1"/>
  <c r="Q4" i="1"/>
  <c r="F5" i="1"/>
  <c r="Q5" i="1"/>
  <c r="F6" i="1"/>
  <c r="Q6" i="1"/>
  <c r="F7" i="1"/>
  <c r="Q7" i="1"/>
  <c r="F8" i="1"/>
  <c r="Q8" i="1"/>
  <c r="F9" i="1"/>
  <c r="Q9" i="1"/>
  <c r="F10" i="1"/>
  <c r="Q10" i="1"/>
  <c r="F11" i="1"/>
  <c r="Q11" i="1"/>
  <c r="F12" i="1"/>
  <c r="Q12" i="1"/>
  <c r="Q18" i="1" l="1"/>
  <c r="Q20" i="1"/>
  <c r="Q22" i="1" s="1"/>
</calcChain>
</file>

<file path=xl/sharedStrings.xml><?xml version="1.0" encoding="utf-8"?>
<sst xmlns="http://schemas.openxmlformats.org/spreadsheetml/2006/main" count="39" uniqueCount="22">
  <si>
    <t>Product</t>
  </si>
  <si>
    <t>Quanity</t>
  </si>
  <si>
    <t>Width in mm</t>
  </si>
  <si>
    <t>X</t>
  </si>
  <si>
    <t>Height in mm</t>
  </si>
  <si>
    <t>M/2</t>
  </si>
  <si>
    <t>Price</t>
  </si>
  <si>
    <t>Corner Notch's</t>
  </si>
  <si>
    <t>Cut - Outs</t>
  </si>
  <si>
    <t>Holes 6 -15 mm</t>
  </si>
  <si>
    <t>Holes 16 -38 mm</t>
  </si>
  <si>
    <t>Total</t>
  </si>
  <si>
    <t>quanity</t>
  </si>
  <si>
    <t>price</t>
  </si>
  <si>
    <t>6mm White Toughened, Lacobel, P/A/R</t>
  </si>
  <si>
    <t>6mm Black Toughened, Lacobel, P/A/R</t>
  </si>
  <si>
    <t>6mm Light Grey Toughened, Lacobel, P/A/R</t>
  </si>
  <si>
    <t>6mm Dark Grey Toughened, Lacobel, P/A/R</t>
  </si>
  <si>
    <t>Template Charge</t>
  </si>
  <si>
    <t>Silicone</t>
  </si>
  <si>
    <t>Vat 20%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</si>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</sst>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0.000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/>
    <xf numFmtId="164" fontId="3" fillId="2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AEB9-0EF6-4257-A74C-166A75BFCDEE}">
  <dimension ref="A1:Q22"/>
  <sheetViews>
    <sheetView tabSelected="1" zoomScaleNormal="100" workbookViewId="0">
      <selection activeCell="D6" sqref="D6"/>
    </sheetView>
  </sheetViews>
  <sheetFormatPr defaultRowHeight="15"/>
  <cols>
    <col min="1" max="1" width="39.28515625" customWidth="1"/>
  </cols>
  <sheetData>
    <row r="1" spans="1:17" ht="14.1" customHeigh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/>
      <c r="J1" s="15" t="s">
        <v>8</v>
      </c>
      <c r="K1" s="15"/>
      <c r="L1" s="15" t="s">
        <v>9</v>
      </c>
      <c r="M1" s="15"/>
      <c r="N1" s="15" t="s">
        <v>10</v>
      </c>
      <c r="O1" s="15"/>
      <c r="P1" s="1"/>
      <c r="Q1" s="12" t="s">
        <v>11</v>
      </c>
    </row>
    <row r="2" spans="1:17">
      <c r="A2" s="13"/>
      <c r="B2" s="14"/>
      <c r="C2" s="14"/>
      <c r="D2" s="14"/>
      <c r="E2" s="14"/>
      <c r="F2" s="14"/>
      <c r="G2" s="14"/>
      <c r="H2" s="10" t="s">
        <v>12</v>
      </c>
      <c r="I2" s="10" t="s">
        <v>13</v>
      </c>
      <c r="J2" s="10" t="s">
        <v>12</v>
      </c>
      <c r="K2" s="10" t="s">
        <v>13</v>
      </c>
      <c r="L2" s="10" t="s">
        <v>12</v>
      </c>
      <c r="M2" s="10" t="s">
        <v>13</v>
      </c>
      <c r="N2" s="10" t="s">
        <v>12</v>
      </c>
      <c r="O2" s="10" t="s">
        <v>13</v>
      </c>
      <c r="P2" s="1"/>
      <c r="Q2" s="12"/>
    </row>
    <row r="3" spans="1:17" ht="30" customHeight="1">
      <c r="A3" s="16" t="s">
        <v>14</v>
      </c>
      <c r="B3" s="4">
        <v>1</v>
      </c>
      <c r="C3" s="6">
        <v>0.6</v>
      </c>
      <c r="D3" s="6" t="s">
        <v>3</v>
      </c>
      <c r="E3" s="6">
        <v>0.25</v>
      </c>
      <c r="F3" s="11">
        <f t="shared" ref="F3:F12" si="0">C3*E3</f>
        <v>0.15</v>
      </c>
      <c r="G3" s="7">
        <v>20.475000000000001</v>
      </c>
      <c r="H3" s="4">
        <v>2</v>
      </c>
      <c r="I3" s="8">
        <v>65</v>
      </c>
      <c r="J3" s="4"/>
      <c r="K3" s="8">
        <v>0</v>
      </c>
      <c r="L3" s="4">
        <v>1</v>
      </c>
      <c r="M3" s="9">
        <v>4</v>
      </c>
      <c r="N3" s="4">
        <v>1</v>
      </c>
      <c r="O3" s="9">
        <v>8</v>
      </c>
      <c r="P3" s="1"/>
      <c r="Q3" s="8">
        <f t="shared" ref="Q3:Q12" si="1">O3+M3+K3+I3+G3</f>
        <v>97.474999999999994</v>
      </c>
    </row>
    <row r="4" spans="1:17" ht="36.950000000000003" customHeight="1">
      <c r="A4" s="16" t="s">
        <v>15</v>
      </c>
      <c r="B4" s="4">
        <v>1</v>
      </c>
      <c r="C4" s="6">
        <v>1.2</v>
      </c>
      <c r="D4" s="1" t="s">
        <v>3</v>
      </c>
      <c r="E4" s="6">
        <v>0.8</v>
      </c>
      <c r="F4" s="11">
        <f t="shared" si="0"/>
        <v>0.96</v>
      </c>
      <c r="G4" s="7">
        <v>131.04</v>
      </c>
      <c r="H4" s="4">
        <v>1</v>
      </c>
      <c r="I4" s="8">
        <v>32.5</v>
      </c>
      <c r="J4" s="4">
        <v>2</v>
      </c>
      <c r="K4" s="8">
        <v>100</v>
      </c>
      <c r="L4" s="4">
        <v>2</v>
      </c>
      <c r="M4" s="9">
        <v>8</v>
      </c>
      <c r="N4" s="4"/>
      <c r="O4" s="9">
        <v>0</v>
      </c>
      <c r="P4" s="1"/>
      <c r="Q4" s="8">
        <f t="shared" si="1"/>
        <v>271.53999999999996</v>
      </c>
    </row>
    <row r="5" spans="1:17" ht="34.5" customHeight="1">
      <c r="A5" s="16" t="s">
        <v>16</v>
      </c>
      <c r="B5" s="4">
        <v>1</v>
      </c>
      <c r="C5" s="6">
        <v>0.6</v>
      </c>
      <c r="D5" s="1" t="s">
        <v>3</v>
      </c>
      <c r="E5" s="6">
        <v>0.3</v>
      </c>
      <c r="F5" s="11">
        <f t="shared" si="0"/>
        <v>0.18</v>
      </c>
      <c r="G5" s="7">
        <v>24.57</v>
      </c>
      <c r="H5" s="4">
        <v>3</v>
      </c>
      <c r="I5" s="8">
        <v>97.5</v>
      </c>
      <c r="J5" s="4">
        <v>1</v>
      </c>
      <c r="K5" s="8">
        <v>50</v>
      </c>
      <c r="L5" s="4">
        <v>3</v>
      </c>
      <c r="M5" s="9">
        <v>12</v>
      </c>
      <c r="N5" s="4">
        <v>1</v>
      </c>
      <c r="O5" s="9">
        <v>8</v>
      </c>
      <c r="P5" s="1"/>
      <c r="Q5" s="8">
        <f t="shared" si="1"/>
        <v>192.07</v>
      </c>
    </row>
    <row r="6" spans="1:17" ht="29.1" customHeight="1">
      <c r="A6" s="16" t="s">
        <v>17</v>
      </c>
      <c r="B6" s="4"/>
      <c r="C6" s="6"/>
      <c r="D6" s="1" t="s">
        <v>3</v>
      </c>
      <c r="E6" s="6"/>
      <c r="F6" s="11">
        <f t="shared" si="0"/>
        <v>0</v>
      </c>
      <c r="G6" s="7">
        <v>0</v>
      </c>
      <c r="H6" s="4"/>
      <c r="I6" s="8">
        <v>0</v>
      </c>
      <c r="J6" s="4"/>
      <c r="K6" s="8">
        <v>0</v>
      </c>
      <c r="L6" s="4"/>
      <c r="M6" s="9">
        <v>0</v>
      </c>
      <c r="N6" s="4"/>
      <c r="O6" s="9">
        <v>0</v>
      </c>
      <c r="P6" s="1"/>
      <c r="Q6" s="8">
        <f t="shared" si="1"/>
        <v>0</v>
      </c>
    </row>
    <row r="7" spans="1:17">
      <c r="A7" s="5"/>
      <c r="B7" s="4"/>
      <c r="C7" s="6"/>
      <c r="D7" s="4" t="s">
        <v>3</v>
      </c>
      <c r="E7" s="6"/>
      <c r="F7" s="11">
        <f t="shared" si="0"/>
        <v>0</v>
      </c>
      <c r="G7" s="7">
        <v>0</v>
      </c>
      <c r="H7" s="4"/>
      <c r="I7" s="8">
        <v>0</v>
      </c>
      <c r="J7" s="4"/>
      <c r="K7" s="8">
        <v>0</v>
      </c>
      <c r="L7" s="4"/>
      <c r="M7" s="9">
        <v>0</v>
      </c>
      <c r="N7" s="4"/>
      <c r="O7" s="9">
        <v>0</v>
      </c>
      <c r="P7" s="1"/>
      <c r="Q7" s="8">
        <f t="shared" si="1"/>
        <v>0</v>
      </c>
    </row>
    <row r="8" spans="1:17">
      <c r="A8" s="5"/>
      <c r="B8" s="4"/>
      <c r="C8" s="6"/>
      <c r="D8" s="4" t="s">
        <v>3</v>
      </c>
      <c r="E8" s="6"/>
      <c r="F8" s="11">
        <f t="shared" si="0"/>
        <v>0</v>
      </c>
      <c r="G8" s="7">
        <v>0</v>
      </c>
      <c r="H8" s="4"/>
      <c r="I8" s="8">
        <v>0</v>
      </c>
      <c r="J8" s="4"/>
      <c r="K8" s="8">
        <v>0</v>
      </c>
      <c r="L8" s="4"/>
      <c r="M8" s="9">
        <v>0</v>
      </c>
      <c r="N8" s="4"/>
      <c r="O8" s="9">
        <v>0</v>
      </c>
      <c r="P8" s="1"/>
      <c r="Q8" s="8">
        <f t="shared" si="1"/>
        <v>0</v>
      </c>
    </row>
    <row r="9" spans="1:17">
      <c r="A9" s="5"/>
      <c r="B9" s="4"/>
      <c r="C9" s="6"/>
      <c r="D9" s="4" t="s">
        <v>3</v>
      </c>
      <c r="E9" s="6"/>
      <c r="F9" s="11">
        <f t="shared" si="0"/>
        <v>0</v>
      </c>
      <c r="G9" s="7">
        <v>0</v>
      </c>
      <c r="H9" s="4"/>
      <c r="I9" s="8">
        <v>0</v>
      </c>
      <c r="J9" s="4"/>
      <c r="K9" s="8">
        <v>0</v>
      </c>
      <c r="L9" s="4"/>
      <c r="M9" s="9">
        <v>0</v>
      </c>
      <c r="N9" s="4"/>
      <c r="O9" s="9">
        <v>0</v>
      </c>
      <c r="P9" s="1"/>
      <c r="Q9" s="8">
        <f t="shared" si="1"/>
        <v>0</v>
      </c>
    </row>
    <row r="10" spans="1:17">
      <c r="A10" s="5"/>
      <c r="B10" s="4"/>
      <c r="C10" s="6"/>
      <c r="D10" s="4" t="s">
        <v>3</v>
      </c>
      <c r="E10" s="6"/>
      <c r="F10" s="11">
        <f t="shared" si="0"/>
        <v>0</v>
      </c>
      <c r="G10" s="7">
        <v>0</v>
      </c>
      <c r="H10" s="4"/>
      <c r="I10" s="8">
        <v>0</v>
      </c>
      <c r="J10" s="4"/>
      <c r="K10" s="8">
        <v>0</v>
      </c>
      <c r="L10" s="4"/>
      <c r="M10" s="9">
        <v>0</v>
      </c>
      <c r="N10" s="4"/>
      <c r="O10" s="9">
        <v>0</v>
      </c>
      <c r="P10" s="1"/>
      <c r="Q10" s="8">
        <f t="shared" si="1"/>
        <v>0</v>
      </c>
    </row>
    <row r="11" spans="1:17">
      <c r="A11" s="5"/>
      <c r="B11" s="4"/>
      <c r="C11" s="6"/>
      <c r="D11" s="4" t="s">
        <v>3</v>
      </c>
      <c r="E11" s="6"/>
      <c r="F11" s="11">
        <f t="shared" si="0"/>
        <v>0</v>
      </c>
      <c r="G11" s="7">
        <v>0</v>
      </c>
      <c r="H11" s="4"/>
      <c r="I11" s="8">
        <v>0</v>
      </c>
      <c r="J11" s="4"/>
      <c r="K11" s="8">
        <v>0</v>
      </c>
      <c r="L11" s="4"/>
      <c r="M11" s="9">
        <v>0</v>
      </c>
      <c r="N11" s="4"/>
      <c r="O11" s="9">
        <v>0</v>
      </c>
      <c r="P11" s="1"/>
      <c r="Q11" s="8">
        <f t="shared" si="1"/>
        <v>0</v>
      </c>
    </row>
    <row r="12" spans="1:17">
      <c r="A12" s="5"/>
      <c r="B12" s="4"/>
      <c r="C12" s="6"/>
      <c r="D12" s="4" t="s">
        <v>3</v>
      </c>
      <c r="E12" s="6"/>
      <c r="F12" s="11">
        <f t="shared" si="0"/>
        <v>0</v>
      </c>
      <c r="G12" s="7">
        <v>0</v>
      </c>
      <c r="H12" s="4"/>
      <c r="I12" s="8">
        <v>0</v>
      </c>
      <c r="J12" s="4"/>
      <c r="K12" s="8">
        <v>0</v>
      </c>
      <c r="L12" s="4"/>
      <c r="M12" s="9">
        <v>0</v>
      </c>
      <c r="N12" s="4"/>
      <c r="O12" s="9">
        <v>0</v>
      </c>
      <c r="P12" s="1"/>
      <c r="Q12" s="8">
        <f t="shared" si="1"/>
        <v>0</v>
      </c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7" t="s">
        <v>18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/>
      <c r="Q14" s="8">
        <v>0</v>
      </c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7" t="s">
        <v>19</v>
      </c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1"/>
      <c r="Q16" s="8">
        <v>0</v>
      </c>
    </row>
    <row r="17" spans="1:17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 t="s">
        <v>11</v>
      </c>
      <c r="P18" s="1"/>
      <c r="Q18" s="8">
        <f>SUM(Q3:Q17)</f>
        <v>561.08500000000004</v>
      </c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" t="s">
        <v>20</v>
      </c>
      <c r="P20" s="1"/>
      <c r="Q20" s="8">
        <f>Q18*20%</f>
        <v>112.21700000000001</v>
      </c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/>
      <c r="P21" s="1"/>
      <c r="Q21" s="1"/>
    </row>
    <row r="22" spans="1:17" ht="28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3" t="s">
        <v>21</v>
      </c>
      <c r="P22" s="1"/>
      <c r="Q22" s="8">
        <f>Q18+Q20</f>
        <v>673.30200000000002</v>
      </c>
    </row>
  </sheetData>
  <mergeCells count="12">
    <mergeCell ref="Q1:Q2"/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2024-12-05T04:33:13Z</dcterms:created>
  <dcterms:modified xsi:type="dcterms:W3CDTF">2025-12-01T04:41:28Z</dcterms:modified>
</cp:coreProperties>
</file>