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A054B6BE-B9FC-43EE-BDA9-D8AD7A2A597E}" xr6:coauthVersionLast="47" xr6:coauthVersionMax="47" xr10:uidLastSave="{00000000-0000-0000-0000-000000000000}"/>
  <workbookProtection workbookPassword="F2B9" lockStructure="1"/>
  <bookViews>
    <workbookView xWindow="-120" yWindow="-120" windowWidth="38640" windowHeight="21240" xr2:uid="{00000000-000D-0000-FFFF-FFFF00000000}"/>
  </bookViews>
  <sheets>
    <sheet name="Annex A QDS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<sst xmlns="http://schemas.openxmlformats.org/spreadsheetml/2006/main" count="170" uniqueCount="133">
  <si>
    <t>SPENDING</t>
  </si>
  <si>
    <t>RESULTS</t>
  </si>
  <si>
    <t>PEOPLE</t>
  </si>
  <si>
    <t>Budget</t>
  </si>
  <si>
    <t>£million</t>
  </si>
  <si>
    <t>Common Areas of Spend</t>
  </si>
  <si>
    <t>Q4 2011-12</t>
  </si>
  <si>
    <t>Q3 2011-12</t>
  </si>
  <si>
    <t>Input Indicators</t>
  </si>
  <si>
    <t>Current</t>
  </si>
  <si>
    <t>Previous</t>
  </si>
  <si>
    <t xml:space="preserve">Whole Department Family - Workforce Size </t>
  </si>
  <si>
    <t>Q4 2010-11</t>
  </si>
  <si>
    <t>Estate Costs</t>
  </si>
  <si>
    <t>Total office estate (m2)</t>
  </si>
  <si>
    <t>1 Cost per head of population of total police force cost (£, current = 2011-12, previous = 2010-11)</t>
  </si>
  <si>
    <t>Payroll Staff
[Total full-time equivalent by]
(current = at 31 Mar 2012, previous = at 31 Dec 2011)</t>
  </si>
  <si>
    <t>Department and Agencies</t>
  </si>
  <si>
    <t>Total Departmental Expenditure Limit (DEL)</t>
  </si>
  <si>
    <r>
      <t>Total cost of office estate</t>
    </r>
    <r>
      <rPr>
        <sz val="11"/>
        <rFont val="Calibri"/>
        <family val="2"/>
      </rPr>
      <t xml:space="preserve"> (£million)</t>
    </r>
  </si>
  <si>
    <t>Not applicable</t>
  </si>
  <si>
    <t>2 Cost per case of managing a drug misusing offender into treatment and recovery (£, current = 2011-12, previous = 2010-11)</t>
  </si>
  <si>
    <t>Non-departmental public bodies</t>
  </si>
  <si>
    <r>
      <rPr>
        <b/>
        <sz val="11"/>
        <color indexed="8"/>
        <rFont val="Calibri"/>
        <family val="2"/>
      </rPr>
      <t>of which Resource DEL</t>
    </r>
    <r>
      <rPr>
        <sz val="11"/>
        <color indexed="8"/>
        <rFont val="Calibri"/>
        <family val="2"/>
      </rPr>
      <t xml:space="preserve"> (excl. Depreciation)</t>
    </r>
  </si>
  <si>
    <t>Cost per FTE (£)</t>
  </si>
  <si>
    <t>3 Cost per passenger processed at the UK border (£, current = 2011-12, previous = 2010-11)</t>
  </si>
  <si>
    <t>Department Family</t>
  </si>
  <si>
    <t>Up to top 5 contributory elements</t>
  </si>
  <si>
    <t>A: Crime and Policing</t>
  </si>
  <si>
    <t>Cost per m2 (£)</t>
  </si>
  <si>
    <t>4 Cost per decision for all permanent and temporary migration applications (£, current = 2011-12, previous = 2010-11)</t>
  </si>
  <si>
    <t>Average Staff Costs
(£, current = at 31 Mar 2012, previous = at 31 Dec 2011)</t>
  </si>
  <si>
    <t>B: UK Border Agency</t>
  </si>
  <si>
    <t>Procurement</t>
  </si>
  <si>
    <r>
      <t xml:space="preserve">Total Procurement Spend </t>
    </r>
    <r>
      <rPr>
        <sz val="11"/>
        <rFont val="Calibri"/>
        <family val="2"/>
      </rPr>
      <t>(£million)</t>
    </r>
  </si>
  <si>
    <t>5 Cost of producing and issuing a passport (£, current = 2011-12, previous = 2010-11)</t>
  </si>
  <si>
    <t>Contingent Labour
[Total full-time equivalent by] 
(current = at 31 Mar 2012, previous = at 31 Dec 2011)</t>
  </si>
  <si>
    <t>C: Security &amp; Counter Terrorism</t>
  </si>
  <si>
    <t>Price of standard box of A4 white copier paper (£/2500 sheets)</t>
  </si>
  <si>
    <t>Impact Indicators</t>
  </si>
  <si>
    <t>D: Identity &amp; Passports</t>
  </si>
  <si>
    <t>Average price of energy (£/KWH)</t>
  </si>
  <si>
    <t>1 Crime rates - violent and property crime reported to the police (current = 12 months to the end of December 2011, previous = 12 months to the end of December 2010)</t>
  </si>
  <si>
    <t>E: Central Home Office</t>
  </si>
  <si>
    <t>IT</t>
  </si>
  <si>
    <t>Total 3rd Party ICT Cost (£million)</t>
  </si>
  <si>
    <t>2a Number of known organised criminals (current = 30 June 2011)</t>
  </si>
  <si>
    <t>Department and Agencies Only</t>
  </si>
  <si>
    <t>Purchase of goods and services within Resource DEL</t>
  </si>
  <si>
    <t>Cost of desktop provision per FTE (£)</t>
  </si>
  <si>
    <t>2b Number of organised crime groups (current = 30 June 2011)</t>
  </si>
  <si>
    <t>Workforce Shape
[Total full-time equivalent by]
(%, current = at 31 Mar 2012, previous = at 31 Dec 2011)</t>
  </si>
  <si>
    <t>Administrative Assistants and Administrative Officers</t>
  </si>
  <si>
    <t>Payroll within Resource DEL</t>
  </si>
  <si>
    <t>Corporate Service Cost</t>
  </si>
  <si>
    <r>
      <t xml:space="preserve">Human Resources </t>
    </r>
    <r>
      <rPr>
        <sz val="11"/>
        <rFont val="Calibri"/>
        <family val="2"/>
      </rPr>
      <t>(£million)</t>
    </r>
  </si>
  <si>
    <t>3 Net migration  to the UK (current = year  to Sept 2011, previous = year to June 2011)</t>
  </si>
  <si>
    <t>Executive Officers</t>
  </si>
  <si>
    <t>Grants within Resource DEL</t>
  </si>
  <si>
    <r>
      <t xml:space="preserve">Finance </t>
    </r>
    <r>
      <rPr>
        <sz val="11"/>
        <rFont val="Calibri"/>
        <family val="2"/>
      </rPr>
      <t>(£million)</t>
    </r>
  </si>
  <si>
    <t>4 Annual level of tax revenue that is protected through detecting goods where excise duty has not been declared (£million, current =January - March 2012, previous= October - December 2011)</t>
  </si>
  <si>
    <t>Higher and Senior Executive Officers</t>
  </si>
  <si>
    <t>of which Capital DEL</t>
  </si>
  <si>
    <r>
      <t xml:space="preserve">Procurement </t>
    </r>
    <r>
      <rPr>
        <sz val="11"/>
        <rFont val="Calibri"/>
        <family val="2"/>
      </rPr>
      <t>(£million)</t>
    </r>
  </si>
  <si>
    <t>5 Clearance of passengers at the border within published standards (%, current = current =January - March 2012, previous= October - December 2011)</t>
  </si>
  <si>
    <t>Grade 7/6</t>
  </si>
  <si>
    <r>
      <t xml:space="preserve">Legal </t>
    </r>
    <r>
      <rPr>
        <sz val="11"/>
        <rFont val="Calibri"/>
        <family val="2"/>
      </rPr>
      <t>(£million)</t>
    </r>
  </si>
  <si>
    <t>6 Percentage of migration applications decided within published standards (%, current =January - March 2012, previous= October - December 2011)</t>
  </si>
  <si>
    <t>Senior Civil Servants</t>
  </si>
  <si>
    <r>
      <t xml:space="preserve">Communications </t>
    </r>
    <r>
      <rPr>
        <sz val="11"/>
        <rFont val="Calibri"/>
        <family val="2"/>
      </rPr>
      <t>(£million)</t>
    </r>
  </si>
  <si>
    <t>7 Percentage of asylum applications concluded in one year (%, current =January - March 2012, previous= October - December 2011)</t>
  </si>
  <si>
    <t>Part Time</t>
  </si>
  <si>
    <t>Fraud, Error, Debt</t>
  </si>
  <si>
    <r>
      <t>Total Identified Fraud</t>
    </r>
    <r>
      <rPr>
        <sz val="11"/>
        <rFont val="Calibri"/>
        <family val="2"/>
      </rPr>
      <t xml:space="preserve"> (£million)</t>
    </r>
  </si>
  <si>
    <t>8 Passport applications processed within target (%, current = Q4 2011-12, previous = Q3 2011-12)</t>
  </si>
  <si>
    <t>Workforce Dynamics</t>
  </si>
  <si>
    <t>Recruitment Exceptions (current = Q4  2011-12, previous = Q3 2011-12)</t>
  </si>
  <si>
    <r>
      <t xml:space="preserve">Total known Errors </t>
    </r>
    <r>
      <rPr>
        <sz val="11"/>
        <rFont val="Calibri"/>
        <family val="2"/>
      </rPr>
      <t>(£million)</t>
    </r>
  </si>
  <si>
    <t>9a Number of organisations that voluntarily report on the gender diversity of their workforce (Organisations with 250+ employees, current=2009-11)</t>
  </si>
  <si>
    <t>Annual Turnover Rate (%, current = at 31 Mar 2012, previous = at 31 Dec 2011)</t>
  </si>
  <si>
    <r>
      <t xml:space="preserve">Total Debt </t>
    </r>
    <r>
      <rPr>
        <sz val="11"/>
        <rFont val="Calibri"/>
        <family val="2"/>
      </rPr>
      <t>(£million)</t>
    </r>
  </si>
  <si>
    <t>9b Number of organisations that voluntarily report on their gender pay gap  (Organisations with 250+ employees, current=2009-11)</t>
  </si>
  <si>
    <t>Workforce Diversity
[Total]
(%, current = at 31 Mar 2012, previous = at 31 Dec 2011)</t>
  </si>
  <si>
    <t>Black and Minority Ethnic</t>
  </si>
  <si>
    <t>Total Annually Managed Expenditure (AME)</t>
  </si>
  <si>
    <t>Debtor Days</t>
  </si>
  <si>
    <t>Other Data Sets</t>
  </si>
  <si>
    <t>Women</t>
  </si>
  <si>
    <t>Voluntary and community sector (VCS)/Small and medium enterprises (SME)</t>
  </si>
  <si>
    <r>
      <t>Procurement spend with SME</t>
    </r>
    <r>
      <rPr>
        <sz val="11"/>
        <rFont val="Calibri"/>
        <family val="2"/>
      </rPr>
      <t xml:space="preserve"> (£million)</t>
    </r>
  </si>
  <si>
    <t>1  Non-asylum passengers initially refused entry (current = Q1 2012, previous = Q4 2011 (calendar years))</t>
  </si>
  <si>
    <t>Disabled</t>
  </si>
  <si>
    <r>
      <t xml:space="preserve">Procurement spend with VCS </t>
    </r>
    <r>
      <rPr>
        <sz val="11"/>
        <rFont val="Calibri"/>
        <family val="2"/>
      </rPr>
      <t>(£million)</t>
    </r>
  </si>
  <si>
    <t>2 Total removals and voluntary departures  (current = Q1 2012, previous = Q4 2011 (calendar years))</t>
  </si>
  <si>
    <t>Workforce Diversity
[Senior Civil Servants only]
(%, current = at 31 Mar 2012, previous = at 31 Dec 2011)</t>
  </si>
  <si>
    <r>
      <t xml:space="preserve">Grants to VCS </t>
    </r>
    <r>
      <rPr>
        <sz val="11"/>
        <rFont val="Calibri"/>
        <family val="2"/>
      </rPr>
      <t>(£million)</t>
    </r>
  </si>
  <si>
    <t>3 Number of asylum applications received (current = Q1 2012, previous = Q4 2011 (calendar years))</t>
  </si>
  <si>
    <t>Major Projects (Top 5)</t>
  </si>
  <si>
    <t>Cost</t>
  </si>
  <si>
    <t>4 Number of hits that the Police.uk has received (current= January 2011 - June 2012, previous= January 2011 - March 2012)</t>
  </si>
  <si>
    <t>Women (Top Management Posts)</t>
  </si>
  <si>
    <t>A: Compass - Ongoing contract provision for UKBA accommodation and related services (£million)</t>
  </si>
  <si>
    <t>Structural Reform Plan Actions</t>
  </si>
  <si>
    <t>Q1 2012-13</t>
  </si>
  <si>
    <t>Financial Indicators</t>
  </si>
  <si>
    <t>B: e-Borders - This programme will create an integrated and more secure border for the 21st century (£million)</t>
  </si>
  <si>
    <t>Total number of actions completed over the quarter</t>
  </si>
  <si>
    <t>Attendance (AWDL) (see measurement annex for time coverage)</t>
  </si>
  <si>
    <t>Actual</t>
  </si>
  <si>
    <t>Accuracy of Cash Forecasting ( +/- %)</t>
  </si>
  <si>
    <t>4.74 </t>
  </si>
  <si>
    <t>C: Cyclamen - To deter the illicit importation of freight entering the UK, whilst minimising the disruption to legitimate passengers and freight (£million)</t>
  </si>
  <si>
    <t>Total number of actions overdue at the end of the quarter</t>
  </si>
  <si>
    <t>Standardised</t>
  </si>
  <si>
    <r>
      <t xml:space="preserve">Working Capital Forecast (% variance of </t>
    </r>
    <r>
      <rPr>
        <sz val="11"/>
        <rFont val="Calibri"/>
        <family val="2"/>
      </rPr>
      <t>Actual v Forecast)</t>
    </r>
  </si>
  <si>
    <t> 38.16</t>
  </si>
  <si>
    <t>D: Disclosure and Barring Programme - To reduce costs and enhance vetting services offered by CRB and ISA (£million)</t>
  </si>
  <si>
    <t>Number of overdue actions that are attributable to external factors</t>
  </si>
  <si>
    <t>Department only; People Survey Metrics</t>
  </si>
  <si>
    <t>2011 survey</t>
  </si>
  <si>
    <t>2010 survey</t>
  </si>
  <si>
    <r>
      <t xml:space="preserve">Net Book Value (% variance of </t>
    </r>
    <r>
      <rPr>
        <sz val="11"/>
        <rFont val="Calibri"/>
        <family val="2"/>
      </rPr>
      <t>Actual v Forecast)</t>
    </r>
  </si>
  <si>
    <t> 5.03</t>
  </si>
  <si>
    <t>E: New Passport Programme - To deliver a new supplier and design for UK passport (£million)</t>
  </si>
  <si>
    <t>Total number of actions ongoing</t>
  </si>
  <si>
    <t>Engagement Index (%)</t>
  </si>
  <si>
    <t>£m whole life cost of ALL major projects</t>
  </si>
  <si>
    <t>Total number of actions in the business plan that have yet to start</t>
  </si>
  <si>
    <t>Theme scores  (%)</t>
  </si>
  <si>
    <t>Leadership and Managing Change</t>
  </si>
  <si>
    <t>My Work</t>
  </si>
  <si>
    <t>My Line Manager</t>
  </si>
  <si>
    <t>Organisational Objectives &amp; 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</si>
</sst>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12" x14ac:knownFonts="1">
    <font>
      <sz val="11"/>
      <color indexed="8"/>
      <name val="Calibri"/>
      <family val="2"/>
    </font>
    <font>
      <sz val="11"/>
      <name val="Calibri"/>
      <family val="2"/>
    </font>
    <font>
      <b/>
      <sz val="26"/>
      <color indexed="9"/>
      <name val="Calibri"/>
      <family val="2"/>
    </font>
    <font>
      <b/>
      <sz val="11"/>
      <color indexed="8"/>
      <name val="Calibri"/>
      <family val="2"/>
    </font>
    <font>
      <b/>
      <sz val="14"/>
      <color indexed="9"/>
      <name val="Calibri"/>
      <family val="2"/>
    </font>
    <font>
      <sz val="14"/>
      <color indexed="8"/>
      <name val="Calibri"/>
      <family val="2"/>
    </font>
    <font>
      <b/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/>
      <right/>
      <top/>
      <bottom style="medium">
        <color indexed="9"/>
      </bottom>
      <diagonal/>
    </border>
    <border>
      <left style="medium">
        <color indexed="9"/>
      </left>
      <right/>
      <top style="thick">
        <color indexed="9"/>
      </top>
      <bottom style="medium">
        <color indexed="9"/>
      </bottom>
      <diagonal/>
    </border>
    <border>
      <left/>
      <right/>
      <top style="thick">
        <color indexed="9"/>
      </top>
      <bottom style="medium">
        <color indexed="9"/>
      </bottom>
      <diagonal/>
    </border>
    <border>
      <left/>
      <right style="medium">
        <color indexed="9"/>
      </right>
      <top style="medium">
        <color indexed="9"/>
      </top>
      <bottom/>
      <diagonal/>
    </border>
    <border>
      <left/>
      <right style="medium">
        <color indexed="9"/>
      </right>
      <top style="thick">
        <color indexed="9"/>
      </top>
      <bottom style="medium">
        <color indexed="9"/>
      </bottom>
      <diagonal/>
    </border>
    <border>
      <left style="medium">
        <color indexed="9"/>
      </left>
      <right/>
      <top/>
      <bottom style="medium">
        <color indexed="9"/>
      </bottom>
      <diagonal/>
    </border>
    <border>
      <left/>
      <right style="medium">
        <color indexed="9"/>
      </right>
      <top/>
      <bottom style="medium">
        <color indexed="9"/>
      </bottom>
      <diagonal/>
    </border>
  </borders>
  <cellStyleXfs count="6">
    <xf numFmtId="0" fontId="0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0" fillId="0" borderId="0"/>
  </cellStyleXfs>
  <cellXfs count="96">
    <xf numFmtId="0" fontId="0" fillId="0" borderId="0" xfId="0"/>
    <xf numFmtId="0" fontId="11" fillId="2" borderId="1" xfId="2" applyFill="1" applyBorder="1" applyAlignment="1">
      <alignment vertical="center" wrapText="1"/>
    </xf>
    <xf numFmtId="0" fontId="11" fillId="3" borderId="1" xfId="2" applyFill="1" applyBorder="1" applyAlignment="1">
      <alignment vertical="center" wrapText="1"/>
    </xf>
    <xf numFmtId="0" fontId="3" fillId="3" borderId="5" xfId="2" applyFont="1" applyFill="1" applyBorder="1" applyAlignment="1">
      <alignment horizontal="center" vertical="center" wrapText="1"/>
    </xf>
    <xf numFmtId="0" fontId="11" fillId="0" borderId="7" xfId="2" applyBorder="1" applyAlignment="1">
      <alignment vertical="center" wrapText="1"/>
    </xf>
    <xf numFmtId="3" fontId="1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11" fillId="0" borderId="3" xfId="2" applyBorder="1" applyAlignment="1">
      <alignment vertical="center" wrapText="1"/>
    </xf>
    <xf numFmtId="4" fontId="1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11" fillId="3" borderId="5" xfId="2" applyFill="1" applyBorder="1" applyAlignment="1">
      <alignment vertical="center" wrapText="1"/>
    </xf>
    <xf numFmtId="0" fontId="5" fillId="3" borderId="1" xfId="2" applyFont="1" applyFill="1" applyBorder="1" applyAlignment="1">
      <alignment vertical="center" wrapText="1"/>
    </xf>
    <xf numFmtId="0" fontId="6" fillId="3" borderId="1" xfId="2" applyFont="1" applyFill="1" applyBorder="1" applyAlignment="1">
      <alignment vertical="center" wrapText="1"/>
    </xf>
    <xf numFmtId="0" fontId="5" fillId="3" borderId="6" xfId="2" applyFont="1" applyFill="1" applyBorder="1" applyAlignment="1">
      <alignment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11" fillId="3" borderId="7" xfId="2" applyFill="1" applyBorder="1" applyAlignment="1">
      <alignment vertical="center" wrapText="1"/>
    </xf>
    <xf numFmtId="0" fontId="11" fillId="3" borderId="12" xfId="2" applyFill="1" applyBorder="1" applyAlignment="1">
      <alignment vertical="center" wrapText="1"/>
    </xf>
    <xf numFmtId="0" fontId="3" fillId="3" borderId="1" xfId="2" applyFont="1" applyFill="1" applyBorder="1" applyAlignment="1">
      <alignment vertical="center" wrapText="1"/>
    </xf>
    <xf numFmtId="2" fontId="1" fillId="2" borderId="1" xfId="2" applyNumberFormat="1" applyFont="1" applyFill="1" applyBorder="1" applyAlignment="1" applyProtection="1">
      <alignment horizontal="center" vertical="center" wrapText="1"/>
      <protection locked="0"/>
    </xf>
    <xf numFmtId="4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3" borderId="2" xfId="2" applyFill="1" applyBorder="1" applyAlignment="1">
      <alignment horizontal="center" vertical="center" wrapText="1"/>
    </xf>
    <xf numFmtId="0" fontId="11" fillId="3" borderId="1" xfId="2" applyFill="1" applyBorder="1" applyAlignment="1">
      <alignment horizontal="center" vertical="center" wrapText="1"/>
    </xf>
    <xf numFmtId="0" fontId="1" fillId="2" borderId="1" xfId="2" applyFont="1" applyFill="1" applyBorder="1" applyAlignment="1" applyProtection="1">
      <alignment horizontal="center" vertical="center" wrapText="1"/>
      <protection locked="0"/>
    </xf>
    <xf numFmtId="3" fontId="1" fillId="2" borderId="1" xfId="1" applyNumberFormat="1" applyFont="1" applyFill="1" applyBorder="1" applyAlignment="1" applyProtection="1">
      <alignment horizontal="center" vertical="center" wrapText="1"/>
      <protection locked="0"/>
    </xf>
    <xf numFmtId="3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3" borderId="6" xfId="2" applyFill="1" applyBorder="1" applyAlignment="1">
      <alignment vertical="center" wrapText="1"/>
    </xf>
    <xf numFmtId="0" fontId="7" fillId="3" borderId="2" xfId="2" applyFont="1" applyFill="1" applyBorder="1" applyAlignment="1">
      <alignment horizontal="center" vertical="center" wrapText="1"/>
    </xf>
    <xf numFmtId="0" fontId="11" fillId="3" borderId="4" xfId="2" applyFill="1" applyBorder="1" applyAlignment="1">
      <alignment vertical="center" wrapText="1"/>
    </xf>
    <xf numFmtId="0" fontId="11" fillId="0" borderId="14" xfId="2" applyBorder="1" applyAlignment="1">
      <alignment vertical="center" wrapText="1"/>
    </xf>
    <xf numFmtId="164" fontId="1" fillId="2" borderId="1" xfId="2" applyNumberFormat="1" applyFont="1" applyFill="1" applyBorder="1" applyAlignment="1" applyProtection="1">
      <alignment horizontal="center" vertical="center" wrapText="1"/>
      <protection locked="0"/>
    </xf>
    <xf numFmtId="164" fontId="1" fillId="5" borderId="1" xfId="2" applyNumberFormat="1" applyFont="1" applyFill="1" applyBorder="1" applyAlignment="1" applyProtection="1">
      <alignment horizontal="center" vertical="center" wrapText="1"/>
      <protection locked="0"/>
    </xf>
    <xf numFmtId="1" fontId="1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9" fillId="3" borderId="4" xfId="2" applyFont="1" applyFill="1" applyBorder="1" applyAlignment="1">
      <alignment horizontal="center" vertical="center" wrapText="1"/>
    </xf>
    <xf numFmtId="14" fontId="9" fillId="3" borderId="4" xfId="2" applyNumberFormat="1" applyFont="1" applyFill="1" applyBorder="1" applyAlignment="1">
      <alignment horizontal="center" vertical="center" wrapText="1"/>
    </xf>
    <xf numFmtId="0" fontId="7" fillId="3" borderId="12" xfId="2" applyFont="1" applyFill="1" applyBorder="1" applyAlignment="1">
      <alignment horizontal="center" vertical="center" wrapText="1"/>
    </xf>
    <xf numFmtId="0" fontId="11" fillId="0" borderId="9" xfId="2" applyBorder="1" applyAlignment="1">
      <alignment vertical="center" wrapText="1"/>
    </xf>
    <xf numFmtId="0" fontId="11" fillId="0" borderId="15" xfId="2" applyBorder="1" applyAlignment="1">
      <alignment vertical="center" wrapText="1"/>
    </xf>
    <xf numFmtId="0" fontId="4" fillId="6" borderId="1" xfId="2" applyFont="1" applyFill="1" applyBorder="1" applyAlignment="1">
      <alignment vertical="center" wrapText="1"/>
    </xf>
    <xf numFmtId="0" fontId="11" fillId="6" borderId="1" xfId="2" applyFill="1" applyBorder="1" applyAlignment="1">
      <alignment horizontal="center" vertical="center" wrapText="1"/>
    </xf>
    <xf numFmtId="0" fontId="11" fillId="6" borderId="7" xfId="2" applyFill="1" applyBorder="1" applyAlignment="1">
      <alignment vertical="center" wrapText="1"/>
    </xf>
    <xf numFmtId="0" fontId="11" fillId="6" borderId="1" xfId="2" applyFill="1" applyBorder="1" applyAlignment="1">
      <alignment vertical="center" wrapText="1"/>
    </xf>
    <xf numFmtId="0" fontId="1" fillId="7" borderId="1" xfId="2" applyFont="1" applyFill="1" applyBorder="1" applyAlignment="1">
      <alignment vertical="center" wrapText="1"/>
    </xf>
    <xf numFmtId="49" fontId="1" fillId="7" borderId="1" xfId="2" applyNumberFormat="1" applyFont="1" applyFill="1" applyBorder="1" applyAlignment="1">
      <alignment vertical="center" wrapText="1"/>
    </xf>
    <xf numFmtId="49" fontId="1" fillId="7" borderId="1" xfId="2" applyNumberFormat="1" applyFont="1" applyFill="1" applyBorder="1" applyAlignment="1" applyProtection="1">
      <alignment horizontal="left" vertical="center" wrapText="1"/>
      <protection locked="0"/>
    </xf>
    <xf numFmtId="49" fontId="1" fillId="7" borderId="1" xfId="0" applyNumberFormat="1" applyFont="1" applyFill="1" applyBorder="1" applyAlignment="1" applyProtection="1">
      <alignment horizontal="left" vertical="center" wrapText="1"/>
      <protection locked="0"/>
    </xf>
    <xf numFmtId="49" fontId="11" fillId="7" borderId="1" xfId="2" applyNumberFormat="1" applyFill="1" applyBorder="1" applyAlignment="1" applyProtection="1">
      <alignment horizontal="left" vertical="center" wrapText="1"/>
      <protection locked="0"/>
    </xf>
    <xf numFmtId="0" fontId="11" fillId="7" borderId="1" xfId="2" applyFill="1" applyBorder="1" applyAlignment="1">
      <alignment vertical="center" wrapText="1"/>
    </xf>
    <xf numFmtId="0" fontId="11" fillId="7" borderId="1" xfId="2" applyFill="1" applyBorder="1" applyAlignment="1">
      <alignment vertical="center"/>
    </xf>
    <xf numFmtId="0" fontId="2" fillId="6" borderId="4" xfId="2" applyFont="1" applyFill="1" applyBorder="1" applyAlignment="1">
      <alignment horizontal="center" vertical="center" wrapText="1"/>
    </xf>
    <xf numFmtId="0" fontId="2" fillId="6" borderId="1" xfId="2" applyFont="1" applyFill="1" applyBorder="1" applyAlignment="1">
      <alignment horizontal="center" vertical="center" wrapText="1"/>
    </xf>
    <xf numFmtId="0" fontId="2" fillId="6" borderId="1" xfId="2" applyFont="1" applyFill="1" applyBorder="1" applyAlignment="1">
      <alignment vertical="center" wrapText="1"/>
    </xf>
    <xf numFmtId="0" fontId="2" fillId="6" borderId="6" xfId="2" applyFont="1" applyFill="1" applyBorder="1" applyAlignment="1">
      <alignment horizontal="center" wrapText="1"/>
    </xf>
    <xf numFmtId="0" fontId="2" fillId="6" borderId="3" xfId="2" applyFont="1" applyFill="1" applyBorder="1" applyAlignment="1">
      <alignment horizontal="center" wrapText="1"/>
    </xf>
    <xf numFmtId="0" fontId="2" fillId="6" borderId="7" xfId="2" applyFont="1" applyFill="1" applyBorder="1" applyAlignment="1">
      <alignment horizontal="center" wrapText="1"/>
    </xf>
    <xf numFmtId="0" fontId="4" fillId="6" borderId="6" xfId="2" applyFont="1" applyFill="1" applyBorder="1" applyAlignment="1">
      <alignment vertical="center" wrapText="1"/>
    </xf>
    <xf numFmtId="0" fontId="4" fillId="6" borderId="3" xfId="2" applyFont="1" applyFill="1" applyBorder="1" applyAlignment="1">
      <alignment vertical="center" wrapText="1"/>
    </xf>
    <xf numFmtId="0" fontId="4" fillId="6" borderId="7" xfId="2" applyFont="1" applyFill="1" applyBorder="1" applyAlignment="1">
      <alignment vertical="center" wrapText="1"/>
    </xf>
    <xf numFmtId="0" fontId="11" fillId="6" borderId="6" xfId="2" applyFill="1" applyBorder="1" applyAlignment="1">
      <alignment horizontal="center" vertical="center" wrapText="1"/>
    </xf>
    <xf numFmtId="0" fontId="11" fillId="6" borderId="7" xfId="2" applyFill="1" applyBorder="1" applyAlignment="1">
      <alignment horizontal="center" vertical="center" wrapText="1"/>
    </xf>
    <xf numFmtId="0" fontId="4" fillId="6" borderId="1" xfId="2" applyFont="1" applyFill="1" applyBorder="1" applyAlignment="1">
      <alignment vertical="center" wrapText="1"/>
    </xf>
    <xf numFmtId="0" fontId="8" fillId="6" borderId="1" xfId="2" applyFont="1" applyFill="1" applyBorder="1" applyAlignment="1">
      <alignment vertical="center" wrapText="1"/>
    </xf>
    <xf numFmtId="0" fontId="11" fillId="3" borderId="1" xfId="2" applyFill="1" applyBorder="1" applyAlignment="1">
      <alignment vertical="center" wrapText="1"/>
    </xf>
    <xf numFmtId="0" fontId="11" fillId="4" borderId="6" xfId="2" applyFill="1" applyBorder="1" applyAlignment="1">
      <alignment vertical="center" wrapText="1"/>
    </xf>
    <xf numFmtId="0" fontId="11" fillId="4" borderId="3" xfId="2" applyFill="1" applyBorder="1" applyAlignment="1">
      <alignment vertical="center" wrapText="1"/>
    </xf>
    <xf numFmtId="0" fontId="11" fillId="0" borderId="7" xfId="2" applyBorder="1" applyAlignment="1">
      <alignment vertical="center" wrapText="1"/>
    </xf>
    <xf numFmtId="0" fontId="3" fillId="7" borderId="6" xfId="2" applyFont="1" applyFill="1" applyBorder="1" applyAlignment="1">
      <alignment vertical="center" wrapText="1"/>
    </xf>
    <xf numFmtId="0" fontId="3" fillId="7" borderId="3" xfId="2" applyFont="1" applyFill="1" applyBorder="1" applyAlignment="1">
      <alignment vertical="center" wrapText="1"/>
    </xf>
    <xf numFmtId="0" fontId="3" fillId="7" borderId="7" xfId="2" applyFont="1" applyFill="1" applyBorder="1" applyAlignment="1">
      <alignment vertical="center" wrapText="1"/>
    </xf>
    <xf numFmtId="0" fontId="11" fillId="7" borderId="6" xfId="2" applyFill="1" applyBorder="1" applyAlignment="1">
      <alignment vertical="center" wrapText="1"/>
    </xf>
    <xf numFmtId="0" fontId="11" fillId="7" borderId="3" xfId="2" applyFill="1" applyBorder="1" applyAlignment="1">
      <alignment vertical="center" wrapText="1"/>
    </xf>
    <xf numFmtId="0" fontId="11" fillId="7" borderId="7" xfId="2" applyFill="1" applyBorder="1" applyAlignment="1">
      <alignment vertical="center" wrapText="1"/>
    </xf>
    <xf numFmtId="49" fontId="1" fillId="2" borderId="6" xfId="4" applyNumberFormat="1" applyFont="1" applyFill="1" applyBorder="1" applyAlignment="1" applyProtection="1">
      <alignment vertical="center" wrapText="1"/>
      <protection locked="0"/>
    </xf>
    <xf numFmtId="49" fontId="1" fillId="2" borderId="7" xfId="4" applyNumberFormat="1" applyFont="1" applyFill="1" applyBorder="1" applyAlignment="1" applyProtection="1">
      <alignment vertical="center" wrapText="1"/>
      <protection locked="0"/>
    </xf>
    <xf numFmtId="0" fontId="11" fillId="7" borderId="6" xfId="2" applyFill="1" applyBorder="1" applyAlignment="1">
      <alignment horizontal="center" vertical="center" wrapText="1"/>
    </xf>
    <xf numFmtId="0" fontId="11" fillId="7" borderId="7" xfId="2" applyFill="1" applyBorder="1" applyAlignment="1">
      <alignment horizontal="center" vertical="center"/>
    </xf>
    <xf numFmtId="0" fontId="11" fillId="7" borderId="5" xfId="2" applyFill="1" applyBorder="1" applyAlignment="1">
      <alignment horizontal="center" vertical="center" wrapText="1"/>
    </xf>
    <xf numFmtId="0" fontId="11" fillId="7" borderId="8" xfId="2" applyFill="1" applyBorder="1" applyAlignment="1">
      <alignment horizontal="center" vertical="center" wrapText="1"/>
    </xf>
    <xf numFmtId="0" fontId="11" fillId="7" borderId="4" xfId="2" applyFill="1" applyBorder="1" applyAlignment="1">
      <alignment horizontal="center" vertical="center" wrapText="1"/>
    </xf>
    <xf numFmtId="0" fontId="5" fillId="6" borderId="7" xfId="2" applyFont="1" applyFill="1" applyBorder="1" applyAlignment="1">
      <alignment vertical="center" wrapText="1"/>
    </xf>
    <xf numFmtId="0" fontId="1" fillId="7" borderId="6" xfId="2" applyFont="1" applyFill="1" applyBorder="1" applyAlignment="1">
      <alignment horizontal="left" vertical="center" wrapText="1"/>
    </xf>
    <xf numFmtId="0" fontId="1" fillId="7" borderId="3" xfId="2" applyFont="1" applyFill="1" applyBorder="1" applyAlignment="1">
      <alignment horizontal="left" vertical="center" wrapText="1"/>
    </xf>
    <xf numFmtId="0" fontId="1" fillId="7" borderId="7" xfId="2" applyFont="1" applyFill="1" applyBorder="1" applyAlignment="1">
      <alignment horizontal="left" vertical="center" wrapText="1"/>
    </xf>
    <xf numFmtId="49" fontId="1" fillId="7" borderId="6" xfId="2" applyNumberFormat="1" applyFont="1" applyFill="1" applyBorder="1" applyAlignment="1" applyProtection="1">
      <alignment vertical="center" wrapText="1"/>
      <protection locked="0"/>
    </xf>
    <xf numFmtId="0" fontId="7" fillId="7" borderId="3" xfId="2" applyFont="1" applyFill="1" applyBorder="1" applyAlignment="1">
      <alignment vertical="center" wrapText="1"/>
    </xf>
    <xf numFmtId="0" fontId="7" fillId="7" borderId="7" xfId="2" applyFont="1" applyFill="1" applyBorder="1" applyAlignment="1">
      <alignment vertical="center" wrapText="1"/>
    </xf>
    <xf numFmtId="0" fontId="11" fillId="6" borderId="3" xfId="2" applyFill="1" applyBorder="1" applyAlignment="1">
      <alignment vertical="center" wrapText="1"/>
    </xf>
    <xf numFmtId="0" fontId="11" fillId="6" borderId="7" xfId="2" applyFill="1" applyBorder="1" applyAlignment="1">
      <alignment vertical="center" wrapText="1"/>
    </xf>
    <xf numFmtId="0" fontId="11" fillId="7" borderId="5" xfId="2" applyFill="1" applyBorder="1" applyAlignment="1">
      <alignment vertical="center" wrapText="1"/>
    </xf>
    <xf numFmtId="0" fontId="11" fillId="7" borderId="8" xfId="2" applyFill="1" applyBorder="1" applyAlignment="1">
      <alignment vertical="center" wrapText="1"/>
    </xf>
    <xf numFmtId="0" fontId="11" fillId="7" borderId="4" xfId="2" applyFill="1" applyBorder="1" applyAlignment="1">
      <alignment vertical="center" wrapText="1"/>
    </xf>
    <xf numFmtId="0" fontId="11" fillId="3" borderId="0" xfId="2" applyFill="1" applyAlignment="1">
      <alignment horizontal="left" vertical="top" wrapText="1"/>
    </xf>
    <xf numFmtId="0" fontId="11" fillId="3" borderId="9" xfId="2" applyFill="1" applyBorder="1" applyAlignment="1">
      <alignment horizontal="left" vertical="top" wrapText="1"/>
    </xf>
    <xf numFmtId="0" fontId="1" fillId="7" borderId="10" xfId="2" applyFont="1" applyFill="1" applyBorder="1" applyAlignment="1">
      <alignment vertical="center" wrapText="1"/>
    </xf>
    <xf numFmtId="0" fontId="1" fillId="7" borderId="11" xfId="2" applyFont="1" applyFill="1" applyBorder="1" applyAlignment="1">
      <alignment vertical="center" wrapText="1"/>
    </xf>
    <xf numFmtId="0" fontId="7" fillId="7" borderId="13" xfId="2" applyFont="1" applyFill="1" applyBorder="1" applyAlignment="1">
      <alignment vertical="center" wrapText="1"/>
    </xf>
    <xf numFmtId="0" fontId="4" fillId="6" borderId="6" xfId="2" applyFont="1" applyFill="1" applyBorder="1" applyAlignment="1">
      <alignment horizontal="left" vertical="center" wrapText="1"/>
    </xf>
    <xf numFmtId="0" fontId="4" fillId="6" borderId="3" xfId="2" applyFont="1" applyFill="1" applyBorder="1" applyAlignment="1">
      <alignment horizontal="left" vertical="center" wrapText="1"/>
    </xf>
    <xf numFmtId="0" fontId="4" fillId="6" borderId="7" xfId="2" applyFont="1" applyFill="1" applyBorder="1" applyAlignment="1">
      <alignment horizontal="left" vertical="center" wrapText="1"/>
    </xf>
  </cellXfs>
  <cellStyles count="6">
    <cellStyle name="Normal 2" xfId="2" xr:uid="{00000000-0005-0000-0000-000031000000}"/>
    <cellStyle name="Normal 2 2" xfId="3" xr:uid="{00000000-0005-0000-0000-000032000000}"/>
    <cellStyle name="Normal 3" xfId="4" xr:uid="{00000000-0005-0000-0000-000033000000}"/>
    <cellStyle name="Normal 4" xfId="5" xr:uid="{00000000-0005-0000-0000-000034000000}"/>
    <cellStyle name="Обычный" xfId="0" builtinId="0"/>
    <cellStyle name="Финансовый" xfId="1" builtinId="3"/>
  </cellStyles>
  <dxfs count="13"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9" defaultPivotStyle="PivotStyleLight16"/>
  <colors>
    <mruColors>
      <color rgb="FFFF0000"/>
      <color rgb="FF800080"/>
      <color rgb="FF0000FF"/>
      <color rgb="FF993300"/>
      <color rgb="FF969696"/>
      <color rgb="FFFFFFFF"/>
      <color rgb="FFCCCCFF"/>
      <color rgb="FFBFBFB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904875</xdr:colOff>
      <xdr:row>0</xdr:row>
      <xdr:rowOff>0</xdr:rowOff>
    </xdr:from>
    <xdr:to>
      <xdr:col>16</xdr:col>
      <xdr:colOff>904875</xdr:colOff>
      <xdr:row>6</xdr:row>
      <xdr:rowOff>9525</xdr:rowOff>
    </xdr:to>
    <xdr:pic>
      <xdr:nvPicPr>
        <xdr:cNvPr id="1025" name="Picture 2" descr="mod-logo[1]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61595" y="0"/>
          <a:ext cx="0" cy="1857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66"/>
  <sheetViews>
    <sheetView tabSelected="1" topLeftCell="A3" zoomScale="85" zoomScaleNormal="85" workbookViewId="0">
      <selection activeCell="P13" sqref="P13:P18"/>
    </sheetView>
  </sheetViews>
  <sheetFormatPr defaultColWidth="0" defaultRowHeight="17.649999999999999" customHeight="1" zeroHeight="1" x14ac:dyDescent="0.25"/>
  <cols>
    <col min="1" max="1" width="18.85546875" style="2" customWidth="1"/>
    <col min="2" max="2" width="11.5703125" style="2" customWidth="1"/>
    <col min="3" max="3" width="13.5703125" style="2" customWidth="1"/>
    <col min="4" max="5" width="13.7109375" style="2" customWidth="1"/>
    <col min="6" max="6" width="1" style="2" customWidth="1"/>
    <col min="7" max="7" width="15.7109375" style="2" customWidth="1"/>
    <col min="8" max="8" width="34.5703125" style="2" customWidth="1"/>
    <col min="9" max="9" width="13.7109375" style="2" customWidth="1"/>
    <col min="10" max="10" width="13.85546875" style="2" customWidth="1"/>
    <col min="11" max="11" width="2.5703125" style="2" customWidth="1"/>
    <col min="12" max="12" width="96.140625" style="2" customWidth="1"/>
    <col min="13" max="14" width="13.85546875" style="2" customWidth="1"/>
    <col min="15" max="15" width="2.7109375" style="2" customWidth="1"/>
    <col min="16" max="16" width="22.7109375" style="2" customWidth="1"/>
    <col min="17" max="17" width="33.140625" style="2" customWidth="1"/>
    <col min="18" max="19" width="13.85546875" style="2" customWidth="1"/>
    <col min="20" max="20" width="0.42578125" style="2" hidden="1" customWidth="1"/>
    <col min="21" max="16384" width="0" style="2" hidden="1"/>
  </cols>
  <sheetData>
    <row r="1" spans="1:256" ht="31.35" customHeight="1" x14ac:dyDescent="0.5">
      <c r="A1" s="46" t="s">
        <v>0</v>
      </c>
      <c r="B1" s="46"/>
      <c r="C1" s="46"/>
      <c r="D1" s="46"/>
      <c r="E1" s="46"/>
      <c r="F1" s="47"/>
      <c r="G1" s="47"/>
      <c r="H1" s="47"/>
      <c r="I1" s="47"/>
      <c r="J1" s="48"/>
      <c r="L1" s="49" t="s">
        <v>1</v>
      </c>
      <c r="M1" s="50"/>
      <c r="N1" s="51"/>
      <c r="O1" s="19"/>
      <c r="P1" s="47" t="s">
        <v>2</v>
      </c>
      <c r="Q1" s="47"/>
      <c r="R1" s="47"/>
      <c r="S1" s="47"/>
    </row>
    <row r="2" spans="1:256" ht="9.75" customHeight="1" x14ac:dyDescent="0.25">
      <c r="A2" s="3"/>
      <c r="B2" s="3"/>
      <c r="C2" s="3"/>
      <c r="D2" s="3"/>
      <c r="E2" s="3"/>
      <c r="F2" s="12"/>
      <c r="G2" s="12"/>
      <c r="H2" s="12"/>
      <c r="I2" s="12"/>
      <c r="J2" s="15"/>
      <c r="L2" s="12"/>
      <c r="M2" s="12"/>
      <c r="N2" s="12"/>
      <c r="O2" s="19"/>
      <c r="P2" s="12"/>
      <c r="Q2" s="12"/>
      <c r="R2" s="12"/>
      <c r="S2" s="12"/>
    </row>
    <row r="3" spans="1:256" ht="31.35" customHeight="1" x14ac:dyDescent="0.25">
      <c r="A3" s="52" t="s">
        <v>3</v>
      </c>
      <c r="B3" s="53"/>
      <c r="C3" s="54"/>
      <c r="D3" s="55" t="s">
        <v>4</v>
      </c>
      <c r="E3" s="56"/>
      <c r="F3" s="37"/>
      <c r="G3" s="57" t="s">
        <v>5</v>
      </c>
      <c r="H3" s="57"/>
      <c r="I3" s="36" t="s">
        <v>6</v>
      </c>
      <c r="J3" s="36" t="s">
        <v>7</v>
      </c>
      <c r="K3" s="38"/>
      <c r="L3" s="35" t="s">
        <v>8</v>
      </c>
      <c r="M3" s="36" t="s">
        <v>9</v>
      </c>
      <c r="N3" s="36" t="s">
        <v>10</v>
      </c>
      <c r="O3" s="38"/>
      <c r="P3" s="58" t="s">
        <v>11</v>
      </c>
      <c r="Q3" s="58"/>
      <c r="R3" s="36" t="s">
        <v>9</v>
      </c>
      <c r="S3" s="36" t="s">
        <v>10</v>
      </c>
    </row>
    <row r="4" spans="1:256" ht="9.75" customHeight="1" x14ac:dyDescent="0.25">
      <c r="A4" s="59"/>
      <c r="B4" s="59"/>
      <c r="C4" s="59"/>
      <c r="D4" s="59"/>
      <c r="E4" s="59"/>
      <c r="F4" s="13"/>
      <c r="G4" s="59"/>
      <c r="H4" s="59"/>
      <c r="I4" s="59"/>
      <c r="J4" s="59"/>
      <c r="M4" s="19"/>
      <c r="N4" s="19"/>
      <c r="P4" s="59"/>
      <c r="Q4" s="59"/>
      <c r="R4" s="59"/>
      <c r="S4" s="59"/>
    </row>
    <row r="5" spans="1:256" ht="31.35" customHeight="1" thickBot="1" x14ac:dyDescent="0.3">
      <c r="A5" s="60"/>
      <c r="B5" s="61"/>
      <c r="C5" s="62"/>
      <c r="D5" s="36" t="s">
        <v>6</v>
      </c>
      <c r="E5" s="36" t="s">
        <v>12</v>
      </c>
      <c r="F5" s="13"/>
      <c r="G5" s="85" t="s">
        <v>13</v>
      </c>
      <c r="H5" s="39" t="s">
        <v>14</v>
      </c>
      <c r="I5" s="5">
        <v>256858</v>
      </c>
      <c r="J5" s="5">
        <v>268884</v>
      </c>
      <c r="L5" s="41" t="s">
        <v>15</v>
      </c>
      <c r="M5" s="20">
        <v>198</v>
      </c>
      <c r="N5" s="5">
        <v>206</v>
      </c>
      <c r="P5" s="73" t="s">
        <v>16</v>
      </c>
      <c r="Q5" s="44" t="s">
        <v>17</v>
      </c>
      <c r="R5" s="5">
        <v>24645</v>
      </c>
      <c r="S5" s="5">
        <v>24844</v>
      </c>
    </row>
    <row r="6" spans="1:256" ht="31.35" customHeight="1" thickBot="1" x14ac:dyDescent="0.3">
      <c r="A6" s="63" t="s">
        <v>18</v>
      </c>
      <c r="B6" s="64"/>
      <c r="C6" s="65"/>
      <c r="D6" s="5">
        <v>2731.5810000000001</v>
      </c>
      <c r="E6" s="5">
        <v>2557.4</v>
      </c>
      <c r="F6" s="13"/>
      <c r="G6" s="86"/>
      <c r="H6" s="39" t="s">
        <v>19</v>
      </c>
      <c r="I6" s="16">
        <v>31.12</v>
      </c>
      <c r="J6" s="17" t="s">
        <v>20</v>
      </c>
      <c r="L6" s="41" t="s">
        <v>21</v>
      </c>
      <c r="M6" s="5">
        <v>2921</v>
      </c>
      <c r="N6" s="5">
        <v>3063</v>
      </c>
      <c r="P6" s="74"/>
      <c r="Q6" s="44" t="s">
        <v>22</v>
      </c>
      <c r="R6" s="5">
        <v>6075</v>
      </c>
      <c r="S6" s="5">
        <v>6121</v>
      </c>
    </row>
    <row r="7" spans="1:256" ht="31.35" customHeight="1" thickBot="1" x14ac:dyDescent="0.3">
      <c r="A7" s="66" t="s">
        <v>23</v>
      </c>
      <c r="B7" s="67"/>
      <c r="C7" s="68"/>
      <c r="D7" s="5">
        <v>2508.6979999999999</v>
      </c>
      <c r="E7" s="5">
        <v>2305.6</v>
      </c>
      <c r="F7" s="13"/>
      <c r="G7" s="86"/>
      <c r="H7" s="39" t="s">
        <v>24</v>
      </c>
      <c r="I7" s="5">
        <v>1515</v>
      </c>
      <c r="J7" s="17" t="s">
        <v>20</v>
      </c>
      <c r="L7" s="41" t="s">
        <v>25</v>
      </c>
      <c r="M7" s="20">
        <v>2.87</v>
      </c>
      <c r="N7" s="7">
        <v>3.25</v>
      </c>
      <c r="P7" s="75"/>
      <c r="Q7" s="44" t="s">
        <v>26</v>
      </c>
      <c r="R7" s="5">
        <v>30720</v>
      </c>
      <c r="S7" s="5">
        <v>30965</v>
      </c>
    </row>
    <row r="8" spans="1:256" ht="31.35" customHeight="1" x14ac:dyDescent="0.25">
      <c r="A8" s="85" t="s">
        <v>27</v>
      </c>
      <c r="B8" s="69" t="s">
        <v>28</v>
      </c>
      <c r="C8" s="70"/>
      <c r="D8" s="5">
        <v>1746.5930000000001</v>
      </c>
      <c r="E8" s="5">
        <v>1633.6</v>
      </c>
      <c r="F8" s="13"/>
      <c r="G8" s="87"/>
      <c r="H8" s="39" t="s">
        <v>29</v>
      </c>
      <c r="I8" s="5">
        <v>121</v>
      </c>
      <c r="J8" s="17" t="s">
        <v>20</v>
      </c>
      <c r="L8" s="41" t="s">
        <v>30</v>
      </c>
      <c r="M8" s="20">
        <v>223</v>
      </c>
      <c r="N8" s="5">
        <v>212</v>
      </c>
      <c r="P8" s="71" t="s">
        <v>31</v>
      </c>
      <c r="Q8" s="72"/>
      <c r="R8" s="5">
        <v>38218</v>
      </c>
      <c r="S8" s="5">
        <v>37827</v>
      </c>
    </row>
    <row r="9" spans="1:256" ht="31.35" customHeight="1" x14ac:dyDescent="0.25">
      <c r="A9" s="86"/>
      <c r="B9" s="69" t="s">
        <v>32</v>
      </c>
      <c r="C9" s="70"/>
      <c r="D9" s="5">
        <v>422.661</v>
      </c>
      <c r="E9" s="5">
        <v>372.9</v>
      </c>
      <c r="F9" s="13"/>
      <c r="G9" s="85" t="s">
        <v>33</v>
      </c>
      <c r="H9" s="39" t="s">
        <v>34</v>
      </c>
      <c r="I9" s="7">
        <v>852.24</v>
      </c>
      <c r="J9" s="7">
        <v>677.28</v>
      </c>
      <c r="L9" s="41" t="s">
        <v>35</v>
      </c>
      <c r="M9" s="20">
        <v>64.680000000000007</v>
      </c>
      <c r="N9" s="5">
        <v>71</v>
      </c>
      <c r="P9" s="73" t="s">
        <v>36</v>
      </c>
      <c r="Q9" s="45" t="s">
        <v>17</v>
      </c>
      <c r="R9" s="5">
        <v>392</v>
      </c>
      <c r="S9" s="5">
        <v>479</v>
      </c>
    </row>
    <row r="10" spans="1:256" ht="31.35" customHeight="1" x14ac:dyDescent="0.25">
      <c r="A10" s="86"/>
      <c r="B10" s="69" t="s">
        <v>37</v>
      </c>
      <c r="C10" s="70"/>
      <c r="D10" s="5">
        <v>287.40499999999997</v>
      </c>
      <c r="E10" s="5">
        <v>224.9</v>
      </c>
      <c r="F10" s="13"/>
      <c r="G10" s="86"/>
      <c r="H10" s="39" t="s">
        <v>38</v>
      </c>
      <c r="I10" s="7">
        <v>11.39</v>
      </c>
      <c r="J10" s="7">
        <v>11.39</v>
      </c>
      <c r="L10" s="35" t="s">
        <v>39</v>
      </c>
      <c r="M10" s="36" t="s">
        <v>9</v>
      </c>
      <c r="N10" s="36" t="s">
        <v>10</v>
      </c>
      <c r="P10" s="74"/>
      <c r="Q10" s="45" t="s">
        <v>22</v>
      </c>
      <c r="R10" s="5">
        <v>190.19</v>
      </c>
      <c r="S10" s="5">
        <v>187</v>
      </c>
    </row>
    <row r="11" spans="1:256" ht="31.35" customHeight="1" x14ac:dyDescent="0.25">
      <c r="A11" s="86"/>
      <c r="B11" s="69" t="s">
        <v>40</v>
      </c>
      <c r="C11" s="70"/>
      <c r="D11" s="5">
        <v>-26.248999999999999</v>
      </c>
      <c r="E11" s="5">
        <v>-13.4</v>
      </c>
      <c r="F11" s="13"/>
      <c r="G11" s="87"/>
      <c r="H11" s="39" t="s">
        <v>41</v>
      </c>
      <c r="I11" s="7">
        <v>0.09</v>
      </c>
      <c r="J11" s="7">
        <v>0.09</v>
      </c>
      <c r="L11" s="41" t="s">
        <v>42</v>
      </c>
      <c r="M11" s="5">
        <v>3448334</v>
      </c>
      <c r="N11" s="5">
        <v>3533597</v>
      </c>
      <c r="P11" s="75"/>
      <c r="Q11" s="44" t="s">
        <v>26</v>
      </c>
      <c r="R11" s="5">
        <v>582</v>
      </c>
      <c r="S11" s="5">
        <v>666</v>
      </c>
    </row>
    <row r="12" spans="1:256" ht="31.35" customHeight="1" x14ac:dyDescent="0.25">
      <c r="A12" s="87"/>
      <c r="B12" s="69" t="s">
        <v>43</v>
      </c>
      <c r="C12" s="70"/>
      <c r="D12" s="5">
        <v>78.287999999999997</v>
      </c>
      <c r="E12" s="5">
        <v>87.5</v>
      </c>
      <c r="F12" s="13"/>
      <c r="G12" s="85" t="s">
        <v>44</v>
      </c>
      <c r="H12" s="39" t="s">
        <v>45</v>
      </c>
      <c r="I12" s="7">
        <v>216.84</v>
      </c>
      <c r="J12" s="7">
        <v>110.58</v>
      </c>
      <c r="L12" s="41" t="s">
        <v>46</v>
      </c>
      <c r="M12" s="5">
        <v>38861</v>
      </c>
      <c r="N12" s="20" t="s">
        <v>20</v>
      </c>
      <c r="P12" s="52" t="s">
        <v>47</v>
      </c>
      <c r="Q12" s="76"/>
      <c r="R12" s="36" t="s">
        <v>9</v>
      </c>
      <c r="S12" s="36" t="s">
        <v>10</v>
      </c>
    </row>
    <row r="13" spans="1:256" ht="31.35" customHeight="1" x14ac:dyDescent="0.25">
      <c r="A13" s="66" t="s">
        <v>48</v>
      </c>
      <c r="B13" s="67"/>
      <c r="C13" s="68"/>
      <c r="D13" s="5">
        <v>684.83500000000004</v>
      </c>
      <c r="E13" s="5">
        <v>660.1</v>
      </c>
      <c r="F13" s="13"/>
      <c r="G13" s="87"/>
      <c r="H13" s="39" t="s">
        <v>49</v>
      </c>
      <c r="I13" s="7">
        <v>243.15</v>
      </c>
      <c r="J13" s="7">
        <v>237.27</v>
      </c>
      <c r="L13" s="41" t="s">
        <v>50</v>
      </c>
      <c r="M13" s="5">
        <v>7255</v>
      </c>
      <c r="N13" s="20" t="s">
        <v>20</v>
      </c>
      <c r="P13" s="73" t="s">
        <v>51</v>
      </c>
      <c r="Q13" s="44" t="s">
        <v>52</v>
      </c>
      <c r="R13" s="27">
        <v>32.1</v>
      </c>
      <c r="S13" s="27">
        <v>32.4</v>
      </c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  <c r="GD13" s="28"/>
      <c r="GE13" s="28"/>
      <c r="GF13" s="28"/>
      <c r="GG13" s="28"/>
      <c r="GH13" s="28"/>
      <c r="GI13" s="28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T13" s="28"/>
      <c r="GU13" s="28"/>
      <c r="GV13" s="28"/>
      <c r="GW13" s="28"/>
      <c r="GX13" s="28"/>
      <c r="GY13" s="28"/>
      <c r="GZ13" s="28"/>
      <c r="HA13" s="28"/>
      <c r="HB13" s="28"/>
      <c r="HC13" s="28"/>
      <c r="HD13" s="28"/>
      <c r="HE13" s="28"/>
      <c r="HF13" s="28"/>
      <c r="HG13" s="28"/>
      <c r="HH13" s="28"/>
      <c r="HI13" s="28"/>
      <c r="HJ13" s="28"/>
      <c r="HK13" s="28"/>
      <c r="HL13" s="28"/>
      <c r="HM13" s="28"/>
      <c r="HN13" s="28"/>
      <c r="HO13" s="28"/>
      <c r="HP13" s="28"/>
      <c r="HQ13" s="28"/>
      <c r="HR13" s="28"/>
      <c r="HS13" s="28"/>
      <c r="HT13" s="28"/>
      <c r="HU13" s="28"/>
      <c r="HV13" s="28"/>
      <c r="HW13" s="28"/>
      <c r="HX13" s="28"/>
      <c r="HY13" s="28"/>
      <c r="HZ13" s="28"/>
      <c r="IA13" s="28"/>
      <c r="IB13" s="28"/>
      <c r="IC13" s="28"/>
      <c r="ID13" s="28"/>
      <c r="IE13" s="28"/>
      <c r="IF13" s="28"/>
      <c r="IG13" s="28"/>
      <c r="IH13" s="28"/>
      <c r="II13" s="28"/>
      <c r="IJ13" s="28"/>
      <c r="IK13" s="28"/>
      <c r="IL13" s="28"/>
      <c r="IM13" s="28"/>
      <c r="IN13" s="28"/>
      <c r="IO13" s="28"/>
      <c r="IP13" s="28"/>
      <c r="IQ13" s="28"/>
      <c r="IR13" s="28"/>
      <c r="IS13" s="28"/>
      <c r="IT13" s="28"/>
      <c r="IU13" s="28"/>
      <c r="IV13" s="28"/>
    </row>
    <row r="14" spans="1:256" ht="31.35" customHeight="1" x14ac:dyDescent="0.25">
      <c r="A14" s="66" t="s">
        <v>53</v>
      </c>
      <c r="B14" s="67"/>
      <c r="C14" s="68"/>
      <c r="D14" s="5">
        <v>390.21499999999997</v>
      </c>
      <c r="E14" s="5">
        <v>428.9</v>
      </c>
      <c r="F14" s="13"/>
      <c r="G14" s="85" t="s">
        <v>54</v>
      </c>
      <c r="H14" s="40" t="s">
        <v>55</v>
      </c>
      <c r="I14" s="7">
        <v>18.14</v>
      </c>
      <c r="J14" s="7">
        <v>18.07</v>
      </c>
      <c r="K14" s="13"/>
      <c r="L14" s="41" t="s">
        <v>56</v>
      </c>
      <c r="M14" s="21">
        <v>252000</v>
      </c>
      <c r="N14" s="5">
        <v>250000</v>
      </c>
      <c r="P14" s="74"/>
      <c r="Q14" s="44" t="s">
        <v>57</v>
      </c>
      <c r="R14" s="27">
        <v>37.6</v>
      </c>
      <c r="S14" s="27">
        <v>37.6</v>
      </c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  <c r="FS14" s="28"/>
      <c r="FT14" s="28"/>
      <c r="FU14" s="28"/>
      <c r="FV14" s="28"/>
      <c r="FW14" s="28"/>
      <c r="FX14" s="28"/>
      <c r="FY14" s="28"/>
      <c r="FZ14" s="28"/>
      <c r="GA14" s="28"/>
      <c r="GB14" s="28"/>
      <c r="GC14" s="28"/>
      <c r="GD14" s="28"/>
      <c r="GE14" s="28"/>
      <c r="GF14" s="28"/>
      <c r="GG14" s="28"/>
      <c r="GH14" s="28"/>
      <c r="GI14" s="28"/>
      <c r="GJ14" s="28"/>
      <c r="GK14" s="28"/>
      <c r="GL14" s="28"/>
      <c r="GM14" s="28"/>
      <c r="GN14" s="28"/>
      <c r="GO14" s="28"/>
      <c r="GP14" s="28"/>
      <c r="GQ14" s="28"/>
      <c r="GR14" s="28"/>
      <c r="GS14" s="28"/>
      <c r="GT14" s="28"/>
      <c r="GU14" s="28"/>
      <c r="GV14" s="28"/>
      <c r="GW14" s="28"/>
      <c r="GX14" s="28"/>
      <c r="GY14" s="28"/>
      <c r="GZ14" s="28"/>
      <c r="HA14" s="28"/>
      <c r="HB14" s="28"/>
      <c r="HC14" s="28"/>
      <c r="HD14" s="28"/>
      <c r="HE14" s="28"/>
      <c r="HF14" s="28"/>
      <c r="HG14" s="28"/>
      <c r="HH14" s="28"/>
      <c r="HI14" s="28"/>
      <c r="HJ14" s="28"/>
      <c r="HK14" s="28"/>
      <c r="HL14" s="28"/>
      <c r="HM14" s="28"/>
      <c r="HN14" s="28"/>
      <c r="HO14" s="28"/>
      <c r="HP14" s="28"/>
      <c r="HQ14" s="28"/>
      <c r="HR14" s="28"/>
      <c r="HS14" s="28"/>
      <c r="HT14" s="28"/>
      <c r="HU14" s="28"/>
      <c r="HV14" s="28"/>
      <c r="HW14" s="28"/>
      <c r="HX14" s="28"/>
      <c r="HY14" s="28"/>
      <c r="HZ14" s="28"/>
      <c r="IA14" s="28"/>
      <c r="IB14" s="28"/>
      <c r="IC14" s="28"/>
      <c r="ID14" s="28"/>
      <c r="IE14" s="28"/>
      <c r="IF14" s="28"/>
      <c r="IG14" s="28"/>
      <c r="IH14" s="28"/>
      <c r="II14" s="28"/>
      <c r="IJ14" s="28"/>
      <c r="IK14" s="28"/>
      <c r="IL14" s="28"/>
      <c r="IM14" s="28"/>
      <c r="IN14" s="28"/>
      <c r="IO14" s="28"/>
      <c r="IP14" s="28"/>
      <c r="IQ14" s="28"/>
      <c r="IR14" s="28"/>
      <c r="IS14" s="28"/>
      <c r="IT14" s="28"/>
      <c r="IU14" s="28"/>
      <c r="IV14" s="28"/>
    </row>
    <row r="15" spans="1:256" ht="31.35" customHeight="1" x14ac:dyDescent="0.25">
      <c r="A15" s="66" t="s">
        <v>58</v>
      </c>
      <c r="B15" s="67"/>
      <c r="C15" s="68"/>
      <c r="D15" s="5">
        <v>1843.8409999999999</v>
      </c>
      <c r="E15" s="5">
        <v>1659.8</v>
      </c>
      <c r="F15" s="13"/>
      <c r="G15" s="86"/>
      <c r="H15" s="40" t="s">
        <v>59</v>
      </c>
      <c r="I15" s="7">
        <v>7.73</v>
      </c>
      <c r="J15" s="7">
        <v>7.63</v>
      </c>
      <c r="L15" s="41" t="s">
        <v>60</v>
      </c>
      <c r="M15" s="20">
        <v>60</v>
      </c>
      <c r="N15" s="20">
        <v>90</v>
      </c>
      <c r="P15" s="74"/>
      <c r="Q15" s="44" t="s">
        <v>61</v>
      </c>
      <c r="R15" s="27">
        <v>23</v>
      </c>
      <c r="S15" s="27">
        <v>22.8</v>
      </c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8"/>
      <c r="GG15" s="28"/>
      <c r="GH15" s="28"/>
      <c r="GI15" s="28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8"/>
      <c r="HM15" s="28"/>
      <c r="HN15" s="28"/>
      <c r="HO15" s="28"/>
      <c r="HP15" s="28"/>
      <c r="HQ15" s="28"/>
      <c r="HR15" s="28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8"/>
      <c r="IS15" s="28"/>
      <c r="IT15" s="28"/>
      <c r="IU15" s="28"/>
      <c r="IV15" s="28"/>
    </row>
    <row r="16" spans="1:256" ht="31.35" customHeight="1" x14ac:dyDescent="0.25">
      <c r="A16" s="63" t="s">
        <v>62</v>
      </c>
      <c r="B16" s="67"/>
      <c r="C16" s="68"/>
      <c r="D16" s="5">
        <v>222.88300000000001</v>
      </c>
      <c r="E16" s="5">
        <v>251.8</v>
      </c>
      <c r="F16" s="13"/>
      <c r="G16" s="86"/>
      <c r="H16" s="40" t="s">
        <v>63</v>
      </c>
      <c r="I16" s="7">
        <v>5.28</v>
      </c>
      <c r="J16" s="7">
        <v>4.13</v>
      </c>
      <c r="L16" s="41" t="s">
        <v>64</v>
      </c>
      <c r="M16" s="20">
        <v>98</v>
      </c>
      <c r="N16" s="20">
        <v>98</v>
      </c>
      <c r="P16" s="74"/>
      <c r="Q16" s="44" t="s">
        <v>65</v>
      </c>
      <c r="R16" s="27">
        <v>6.4</v>
      </c>
      <c r="S16" s="27">
        <v>6.3</v>
      </c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8"/>
      <c r="GG16" s="28"/>
      <c r="GH16" s="28"/>
      <c r="GI16" s="28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8"/>
      <c r="HM16" s="28"/>
      <c r="HN16" s="28"/>
      <c r="HO16" s="28"/>
      <c r="HP16" s="28"/>
      <c r="HQ16" s="28"/>
      <c r="HR16" s="28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8"/>
      <c r="IS16" s="28"/>
      <c r="IT16" s="28"/>
      <c r="IU16" s="28"/>
      <c r="IV16" s="28"/>
    </row>
    <row r="17" spans="1:256" ht="31.35" customHeight="1" x14ac:dyDescent="0.25">
      <c r="A17" s="85" t="s">
        <v>27</v>
      </c>
      <c r="B17" s="69" t="s">
        <v>28</v>
      </c>
      <c r="C17" s="70"/>
      <c r="D17" s="5">
        <v>66.988</v>
      </c>
      <c r="E17" s="5">
        <v>87.3</v>
      </c>
      <c r="F17" s="13"/>
      <c r="G17" s="86"/>
      <c r="H17" s="40" t="s">
        <v>66</v>
      </c>
      <c r="I17" s="7">
        <v>23.17</v>
      </c>
      <c r="J17" s="7">
        <v>13.03</v>
      </c>
      <c r="L17" s="41" t="s">
        <v>67</v>
      </c>
      <c r="M17" s="20">
        <v>94</v>
      </c>
      <c r="N17" s="20">
        <v>92</v>
      </c>
      <c r="P17" s="74"/>
      <c r="Q17" s="44" t="s">
        <v>68</v>
      </c>
      <c r="R17" s="27">
        <v>0.9</v>
      </c>
      <c r="S17" s="27">
        <v>0.9</v>
      </c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8"/>
      <c r="GG17" s="28"/>
      <c r="GH17" s="28"/>
      <c r="GI17" s="28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8"/>
      <c r="HM17" s="28"/>
      <c r="HN17" s="28"/>
      <c r="HO17" s="28"/>
      <c r="HP17" s="28"/>
      <c r="HQ17" s="28"/>
      <c r="HR17" s="28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8"/>
      <c r="IS17" s="28"/>
      <c r="IT17" s="28"/>
      <c r="IU17" s="28"/>
      <c r="IV17" s="28"/>
    </row>
    <row r="18" spans="1:256" ht="31.35" customHeight="1" x14ac:dyDescent="0.25">
      <c r="A18" s="86"/>
      <c r="B18" s="69" t="s">
        <v>32</v>
      </c>
      <c r="C18" s="70"/>
      <c r="D18" s="5">
        <v>45.606999999999999</v>
      </c>
      <c r="E18" s="5">
        <v>75.8</v>
      </c>
      <c r="F18" s="13"/>
      <c r="G18" s="87"/>
      <c r="H18" s="40" t="s">
        <v>69</v>
      </c>
      <c r="I18" s="7">
        <v>12.19</v>
      </c>
      <c r="J18" s="7">
        <v>8.23</v>
      </c>
      <c r="L18" s="41" t="s">
        <v>70</v>
      </c>
      <c r="M18" s="20">
        <v>63</v>
      </c>
      <c r="N18" s="20">
        <v>64</v>
      </c>
      <c r="P18" s="75"/>
      <c r="Q18" s="44" t="s">
        <v>71</v>
      </c>
      <c r="R18" s="27">
        <v>19.600000000000001</v>
      </c>
      <c r="S18" s="27">
        <v>19</v>
      </c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8"/>
      <c r="GG18" s="28"/>
      <c r="GH18" s="28"/>
      <c r="GI18" s="28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8"/>
      <c r="HM18" s="28"/>
      <c r="HN18" s="28"/>
      <c r="HO18" s="28"/>
      <c r="HP18" s="28"/>
      <c r="HQ18" s="28"/>
      <c r="HR18" s="28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8"/>
      <c r="IS18" s="28"/>
      <c r="IT18" s="28"/>
      <c r="IU18" s="28"/>
      <c r="IV18" s="28"/>
    </row>
    <row r="19" spans="1:256" ht="31.35" customHeight="1" x14ac:dyDescent="0.25">
      <c r="A19" s="86"/>
      <c r="B19" s="69" t="s">
        <v>37</v>
      </c>
      <c r="C19" s="70"/>
      <c r="D19" s="5">
        <v>58.280999999999999</v>
      </c>
      <c r="E19" s="5">
        <v>63.6</v>
      </c>
      <c r="F19" s="13"/>
      <c r="G19" s="85" t="s">
        <v>72</v>
      </c>
      <c r="H19" s="39" t="s">
        <v>73</v>
      </c>
      <c r="I19" s="7">
        <v>2.5062999999999998E-2</v>
      </c>
      <c r="J19" s="7">
        <v>1.949E-3</v>
      </c>
      <c r="L19" s="41" t="s">
        <v>74</v>
      </c>
      <c r="M19" s="20">
        <v>100</v>
      </c>
      <c r="N19" s="20">
        <v>99</v>
      </c>
      <c r="P19" s="73" t="s">
        <v>75</v>
      </c>
      <c r="Q19" s="44" t="s">
        <v>76</v>
      </c>
      <c r="R19" s="5">
        <v>164</v>
      </c>
      <c r="S19" s="5">
        <v>23</v>
      </c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8"/>
      <c r="GG19" s="28"/>
      <c r="GH19" s="28"/>
      <c r="GI19" s="28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8"/>
      <c r="HM19" s="28"/>
      <c r="HN19" s="28"/>
      <c r="HO19" s="28"/>
      <c r="HP19" s="28"/>
      <c r="HQ19" s="28"/>
      <c r="HR19" s="28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8"/>
      <c r="IS19" s="28"/>
      <c r="IT19" s="28"/>
      <c r="IU19" s="28"/>
      <c r="IV19" s="28"/>
    </row>
    <row r="20" spans="1:256" ht="31.35" customHeight="1" x14ac:dyDescent="0.25">
      <c r="A20" s="86"/>
      <c r="B20" s="69" t="s">
        <v>40</v>
      </c>
      <c r="C20" s="70"/>
      <c r="D20" s="5">
        <v>23.728000000000002</v>
      </c>
      <c r="E20" s="5">
        <v>21.2</v>
      </c>
      <c r="F20" s="13"/>
      <c r="G20" s="86"/>
      <c r="H20" s="39" t="s">
        <v>77</v>
      </c>
      <c r="I20" s="7">
        <v>0</v>
      </c>
      <c r="J20" s="7">
        <v>0.51</v>
      </c>
      <c r="L20" s="42" t="s">
        <v>78</v>
      </c>
      <c r="M20" s="20">
        <v>400</v>
      </c>
      <c r="N20" s="20" t="s">
        <v>20</v>
      </c>
      <c r="P20" s="75"/>
      <c r="Q20" s="44" t="s">
        <v>79</v>
      </c>
      <c r="R20" s="27">
        <v>10.8</v>
      </c>
      <c r="S20" s="27">
        <v>12.5</v>
      </c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E20" s="28"/>
      <c r="GF20" s="28"/>
      <c r="GG20" s="28"/>
      <c r="GH20" s="28"/>
      <c r="GI20" s="28"/>
      <c r="GJ20" s="28"/>
      <c r="GK20" s="28"/>
      <c r="GL20" s="28"/>
      <c r="GM20" s="28"/>
      <c r="GN20" s="28"/>
      <c r="GO20" s="28"/>
      <c r="GP20" s="28"/>
      <c r="GQ20" s="28"/>
      <c r="GR20" s="28"/>
      <c r="GS20" s="28"/>
      <c r="GT20" s="28"/>
      <c r="GU20" s="28"/>
      <c r="GV20" s="28"/>
      <c r="GW20" s="28"/>
      <c r="GX20" s="28"/>
      <c r="GY20" s="28"/>
      <c r="GZ20" s="28"/>
      <c r="HA20" s="28"/>
      <c r="HB20" s="28"/>
      <c r="HC20" s="28"/>
      <c r="HD20" s="28"/>
      <c r="HE20" s="28"/>
      <c r="HF20" s="28"/>
      <c r="HG20" s="28"/>
      <c r="HH20" s="28"/>
      <c r="HI20" s="28"/>
      <c r="HJ20" s="28"/>
      <c r="HK20" s="28"/>
      <c r="HL20" s="28"/>
      <c r="HM20" s="28"/>
      <c r="HN20" s="28"/>
      <c r="HO20" s="28"/>
      <c r="HP20" s="28"/>
      <c r="HQ20" s="28"/>
      <c r="HR20" s="28"/>
      <c r="HS20" s="28"/>
      <c r="HT20" s="28"/>
      <c r="HU20" s="28"/>
      <c r="HV20" s="28"/>
      <c r="HW20" s="28"/>
      <c r="HX20" s="28"/>
      <c r="HY20" s="28"/>
      <c r="HZ20" s="28"/>
      <c r="IA20" s="28"/>
      <c r="IB20" s="28"/>
      <c r="IC20" s="28"/>
      <c r="ID20" s="28"/>
      <c r="IE20" s="28"/>
      <c r="IF20" s="28"/>
      <c r="IG20" s="28"/>
      <c r="IH20" s="28"/>
      <c r="II20" s="28"/>
      <c r="IJ20" s="28"/>
      <c r="IK20" s="28"/>
      <c r="IL20" s="28"/>
      <c r="IM20" s="28"/>
      <c r="IN20" s="28"/>
      <c r="IO20" s="28"/>
      <c r="IP20" s="28"/>
      <c r="IQ20" s="28"/>
      <c r="IR20" s="28"/>
      <c r="IS20" s="28"/>
      <c r="IT20" s="28"/>
      <c r="IU20" s="28"/>
      <c r="IV20" s="28"/>
    </row>
    <row r="21" spans="1:256" ht="31.35" customHeight="1" x14ac:dyDescent="0.25">
      <c r="A21" s="87"/>
      <c r="B21" s="69" t="s">
        <v>43</v>
      </c>
      <c r="C21" s="70"/>
      <c r="D21" s="5">
        <v>28.279</v>
      </c>
      <c r="E21" s="5">
        <v>3.6</v>
      </c>
      <c r="F21" s="13"/>
      <c r="G21" s="86"/>
      <c r="H21" s="39" t="s">
        <v>80</v>
      </c>
      <c r="I21" s="7">
        <v>38.369999999999997</v>
      </c>
      <c r="J21" s="7">
        <v>32.97</v>
      </c>
      <c r="L21" s="42" t="s">
        <v>81</v>
      </c>
      <c r="M21" s="20">
        <v>100</v>
      </c>
      <c r="N21" s="20" t="s">
        <v>20</v>
      </c>
      <c r="P21" s="73" t="s">
        <v>82</v>
      </c>
      <c r="Q21" s="44" t="s">
        <v>83</v>
      </c>
      <c r="R21" s="27">
        <v>23.2</v>
      </c>
      <c r="S21" s="27">
        <v>23.2</v>
      </c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  <c r="FM21" s="28"/>
      <c r="FN21" s="28"/>
      <c r="FO21" s="28"/>
      <c r="FP21" s="28"/>
      <c r="FQ21" s="28"/>
      <c r="FR21" s="28"/>
      <c r="FS21" s="28"/>
      <c r="FT21" s="28"/>
      <c r="FU21" s="28"/>
      <c r="FV21" s="28"/>
      <c r="FW21" s="28"/>
      <c r="FX21" s="28"/>
      <c r="FY21" s="28"/>
      <c r="FZ21" s="28"/>
      <c r="GA21" s="28"/>
      <c r="GB21" s="28"/>
      <c r="GC21" s="28"/>
      <c r="GD21" s="28"/>
      <c r="GE21" s="28"/>
      <c r="GF21" s="28"/>
      <c r="GG21" s="28"/>
      <c r="GH21" s="28"/>
      <c r="GI21" s="28"/>
      <c r="GJ21" s="28"/>
      <c r="GK21" s="28"/>
      <c r="GL21" s="28"/>
      <c r="GM21" s="28"/>
      <c r="GN21" s="28"/>
      <c r="GO21" s="28"/>
      <c r="GP21" s="28"/>
      <c r="GQ21" s="28"/>
      <c r="GR21" s="28"/>
      <c r="GS21" s="28"/>
      <c r="GT21" s="28"/>
      <c r="GU21" s="28"/>
      <c r="GV21" s="28"/>
      <c r="GW21" s="28"/>
      <c r="GX21" s="28"/>
      <c r="GY21" s="28"/>
      <c r="GZ21" s="28"/>
      <c r="HA21" s="28"/>
      <c r="HB21" s="28"/>
      <c r="HC21" s="28"/>
      <c r="HD21" s="28"/>
      <c r="HE21" s="28"/>
      <c r="HF21" s="28"/>
      <c r="HG21" s="28"/>
      <c r="HH21" s="28"/>
      <c r="HI21" s="28"/>
      <c r="HJ21" s="28"/>
      <c r="HK21" s="28"/>
      <c r="HL21" s="28"/>
      <c r="HM21" s="28"/>
      <c r="HN21" s="28"/>
      <c r="HO21" s="28"/>
      <c r="HP21" s="28"/>
      <c r="HQ21" s="28"/>
      <c r="HR21" s="28"/>
      <c r="HS21" s="28"/>
      <c r="HT21" s="28"/>
      <c r="HU21" s="28"/>
      <c r="HV21" s="28"/>
      <c r="HW21" s="28"/>
      <c r="HX21" s="28"/>
      <c r="HY21" s="28"/>
      <c r="HZ21" s="28"/>
      <c r="IA21" s="28"/>
      <c r="IB21" s="28"/>
      <c r="IC21" s="28"/>
      <c r="ID21" s="28"/>
      <c r="IE21" s="28"/>
      <c r="IF21" s="28"/>
      <c r="IG21" s="28"/>
      <c r="IH21" s="28"/>
      <c r="II21" s="28"/>
      <c r="IJ21" s="28"/>
      <c r="IK21" s="28"/>
      <c r="IL21" s="28"/>
      <c r="IM21" s="28"/>
      <c r="IN21" s="28"/>
      <c r="IO21" s="28"/>
      <c r="IP21" s="28"/>
      <c r="IQ21" s="28"/>
      <c r="IR21" s="28"/>
      <c r="IS21" s="28"/>
      <c r="IT21" s="28"/>
      <c r="IU21" s="28"/>
      <c r="IV21" s="28"/>
    </row>
    <row r="22" spans="1:256" ht="31.35" customHeight="1" x14ac:dyDescent="0.25">
      <c r="A22" s="63" t="s">
        <v>84</v>
      </c>
      <c r="B22" s="67"/>
      <c r="C22" s="68"/>
      <c r="D22" s="5">
        <v>374.23</v>
      </c>
      <c r="E22" s="5">
        <v>61.3</v>
      </c>
      <c r="F22" s="13"/>
      <c r="G22" s="87"/>
      <c r="H22" s="39" t="s">
        <v>85</v>
      </c>
      <c r="I22" s="7">
        <v>9.2799999999999994</v>
      </c>
      <c r="J22" s="7">
        <v>5.76</v>
      </c>
      <c r="L22" s="35" t="s">
        <v>86</v>
      </c>
      <c r="M22" s="36" t="s">
        <v>9</v>
      </c>
      <c r="N22" s="36" t="s">
        <v>10</v>
      </c>
      <c r="P22" s="74"/>
      <c r="Q22" s="44" t="s">
        <v>87</v>
      </c>
      <c r="R22" s="27">
        <v>52.3</v>
      </c>
      <c r="S22" s="27">
        <v>52.3</v>
      </c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28"/>
      <c r="FN22" s="28"/>
      <c r="FO22" s="28"/>
      <c r="FP22" s="28"/>
      <c r="FQ22" s="28"/>
      <c r="FR22" s="28"/>
      <c r="FS22" s="28"/>
      <c r="FT22" s="28"/>
      <c r="FU22" s="28"/>
      <c r="FV22" s="28"/>
      <c r="FW22" s="28"/>
      <c r="FX22" s="28"/>
      <c r="FY22" s="28"/>
      <c r="FZ22" s="28"/>
      <c r="GA22" s="28"/>
      <c r="GB22" s="28"/>
      <c r="GC22" s="28"/>
      <c r="GD22" s="28"/>
      <c r="GE22" s="28"/>
      <c r="GF22" s="28"/>
      <c r="GG22" s="28"/>
      <c r="GH22" s="28"/>
      <c r="GI22" s="28"/>
      <c r="GJ22" s="28"/>
      <c r="GK22" s="28"/>
      <c r="GL22" s="28"/>
      <c r="GM22" s="28"/>
      <c r="GN22" s="28"/>
      <c r="GO22" s="28"/>
      <c r="GP22" s="28"/>
      <c r="GQ22" s="28"/>
      <c r="GR22" s="28"/>
      <c r="GS22" s="28"/>
      <c r="GT22" s="28"/>
      <c r="GU22" s="28"/>
      <c r="GV22" s="28"/>
      <c r="GW22" s="28"/>
      <c r="GX22" s="28"/>
      <c r="GY22" s="28"/>
      <c r="GZ22" s="28"/>
      <c r="HA22" s="28"/>
      <c r="HB22" s="28"/>
      <c r="HC22" s="28"/>
      <c r="HD22" s="28"/>
      <c r="HE22" s="28"/>
      <c r="HF22" s="28"/>
      <c r="HG22" s="28"/>
      <c r="HH22" s="28"/>
      <c r="HI22" s="28"/>
      <c r="HJ22" s="28"/>
      <c r="HK22" s="28"/>
      <c r="HL22" s="28"/>
      <c r="HM22" s="28"/>
      <c r="HN22" s="28"/>
      <c r="HO22" s="28"/>
      <c r="HP22" s="28"/>
      <c r="HQ22" s="28"/>
      <c r="HR22" s="28"/>
      <c r="HS22" s="28"/>
      <c r="HT22" s="28"/>
      <c r="HU22" s="28"/>
      <c r="HV22" s="28"/>
      <c r="HW22" s="28"/>
      <c r="HX22" s="28"/>
      <c r="HY22" s="28"/>
      <c r="HZ22" s="28"/>
      <c r="IA22" s="28"/>
      <c r="IB22" s="28"/>
      <c r="IC22" s="28"/>
      <c r="ID22" s="28"/>
      <c r="IE22" s="28"/>
      <c r="IF22" s="28"/>
      <c r="IG22" s="28"/>
      <c r="IH22" s="28"/>
      <c r="II22" s="28"/>
      <c r="IJ22" s="28"/>
      <c r="IK22" s="28"/>
      <c r="IL22" s="28"/>
      <c r="IM22" s="28"/>
      <c r="IN22" s="28"/>
      <c r="IO22" s="28"/>
      <c r="IP22" s="28"/>
      <c r="IQ22" s="28"/>
      <c r="IR22" s="28"/>
      <c r="IS22" s="28"/>
      <c r="IT22" s="28"/>
      <c r="IU22" s="28"/>
      <c r="IV22" s="28"/>
    </row>
    <row r="23" spans="1:256" ht="31.35" customHeight="1" x14ac:dyDescent="0.25">
      <c r="A23" s="85" t="s">
        <v>27</v>
      </c>
      <c r="B23" s="69" t="s">
        <v>28</v>
      </c>
      <c r="C23" s="70"/>
      <c r="D23" s="5">
        <v>384.52600000000001</v>
      </c>
      <c r="E23" s="5">
        <v>34.799999999999997</v>
      </c>
      <c r="F23" s="13"/>
      <c r="G23" s="85" t="s">
        <v>88</v>
      </c>
      <c r="H23" s="39" t="s">
        <v>89</v>
      </c>
      <c r="I23" s="7">
        <v>59.29</v>
      </c>
      <c r="J23" s="7">
        <v>36.42</v>
      </c>
      <c r="L23" s="41" t="s">
        <v>90</v>
      </c>
      <c r="M23" s="5">
        <v>3473</v>
      </c>
      <c r="N23" s="22">
        <v>4148</v>
      </c>
      <c r="P23" s="75"/>
      <c r="Q23" s="44" t="s">
        <v>91</v>
      </c>
      <c r="R23" s="27">
        <v>6.7</v>
      </c>
      <c r="S23" s="27">
        <v>6.7</v>
      </c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28"/>
      <c r="FN23" s="28"/>
      <c r="FO23" s="28"/>
      <c r="FP23" s="28"/>
      <c r="FQ23" s="28"/>
      <c r="FR23" s="28"/>
      <c r="FS23" s="28"/>
      <c r="FT23" s="28"/>
      <c r="FU23" s="28"/>
      <c r="FV23" s="28"/>
      <c r="FW23" s="28"/>
      <c r="FX23" s="28"/>
      <c r="FY23" s="28"/>
      <c r="FZ23" s="28"/>
      <c r="GA23" s="28"/>
      <c r="GB23" s="28"/>
      <c r="GC23" s="28"/>
      <c r="GD23" s="28"/>
      <c r="GE23" s="28"/>
      <c r="GF23" s="28"/>
      <c r="GG23" s="28"/>
      <c r="GH23" s="28"/>
      <c r="GI23" s="28"/>
      <c r="GJ23" s="28"/>
      <c r="GK23" s="28"/>
      <c r="GL23" s="28"/>
      <c r="GM23" s="28"/>
      <c r="GN23" s="28"/>
      <c r="GO23" s="28"/>
      <c r="GP23" s="28"/>
      <c r="GQ23" s="28"/>
      <c r="GR23" s="28"/>
      <c r="GS23" s="28"/>
      <c r="GT23" s="28"/>
      <c r="GU23" s="28"/>
      <c r="GV23" s="28"/>
      <c r="GW23" s="28"/>
      <c r="GX23" s="28"/>
      <c r="GY23" s="28"/>
      <c r="GZ23" s="28"/>
      <c r="HA23" s="28"/>
      <c r="HB23" s="28"/>
      <c r="HC23" s="28"/>
      <c r="HD23" s="28"/>
      <c r="HE23" s="28"/>
      <c r="HF23" s="28"/>
      <c r="HG23" s="28"/>
      <c r="HH23" s="28"/>
      <c r="HI23" s="28"/>
      <c r="HJ23" s="28"/>
      <c r="HK23" s="28"/>
      <c r="HL23" s="28"/>
      <c r="HM23" s="28"/>
      <c r="HN23" s="28"/>
      <c r="HO23" s="28"/>
      <c r="HP23" s="28"/>
      <c r="HQ23" s="28"/>
      <c r="HR23" s="28"/>
      <c r="HS23" s="28"/>
      <c r="HT23" s="28"/>
      <c r="HU23" s="28"/>
      <c r="HV23" s="28"/>
      <c r="HW23" s="28"/>
      <c r="HX23" s="28"/>
      <c r="HY23" s="28"/>
      <c r="HZ23" s="28"/>
      <c r="IA23" s="28"/>
      <c r="IB23" s="28"/>
      <c r="IC23" s="28"/>
      <c r="ID23" s="28"/>
      <c r="IE23" s="28"/>
      <c r="IF23" s="28"/>
      <c r="IG23" s="28"/>
      <c r="IH23" s="28"/>
      <c r="II23" s="28"/>
      <c r="IJ23" s="28"/>
      <c r="IK23" s="28"/>
      <c r="IL23" s="28"/>
      <c r="IM23" s="28"/>
      <c r="IN23" s="28"/>
      <c r="IO23" s="28"/>
      <c r="IP23" s="28"/>
      <c r="IQ23" s="28"/>
      <c r="IR23" s="28"/>
      <c r="IS23" s="28"/>
      <c r="IT23" s="28"/>
      <c r="IU23" s="28"/>
      <c r="IV23" s="28"/>
    </row>
    <row r="24" spans="1:256" ht="31.35" customHeight="1" x14ac:dyDescent="0.25">
      <c r="A24" s="86"/>
      <c r="B24" s="69" t="s">
        <v>32</v>
      </c>
      <c r="C24" s="70"/>
      <c r="D24" s="5">
        <v>-7.6550000000000002</v>
      </c>
      <c r="E24" s="5">
        <v>23.7</v>
      </c>
      <c r="F24" s="13"/>
      <c r="G24" s="86"/>
      <c r="H24" s="39" t="s">
        <v>92</v>
      </c>
      <c r="I24" s="7">
        <v>2.99</v>
      </c>
      <c r="J24" s="17" t="s">
        <v>20</v>
      </c>
      <c r="L24" s="41" t="s">
        <v>93</v>
      </c>
      <c r="M24" s="5">
        <v>13386</v>
      </c>
      <c r="N24" s="22">
        <v>13661</v>
      </c>
      <c r="P24" s="73" t="s">
        <v>94</v>
      </c>
      <c r="Q24" s="44" t="s">
        <v>83</v>
      </c>
      <c r="R24" s="27">
        <v>6</v>
      </c>
      <c r="S24" s="27">
        <v>5.6</v>
      </c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  <c r="FI24" s="28"/>
      <c r="FJ24" s="28"/>
      <c r="FK24" s="28"/>
      <c r="FL24" s="28"/>
      <c r="FM24" s="28"/>
      <c r="FN24" s="28"/>
      <c r="FO24" s="28"/>
      <c r="FP24" s="28"/>
      <c r="FQ24" s="28"/>
      <c r="FR24" s="28"/>
      <c r="FS24" s="28"/>
      <c r="FT24" s="28"/>
      <c r="FU24" s="28"/>
      <c r="FV24" s="28"/>
      <c r="FW24" s="28"/>
      <c r="FX24" s="28"/>
      <c r="FY24" s="28"/>
      <c r="FZ24" s="28"/>
      <c r="GA24" s="28"/>
      <c r="GB24" s="28"/>
      <c r="GC24" s="28"/>
      <c r="GD24" s="28"/>
      <c r="GE24" s="28"/>
      <c r="GF24" s="28"/>
      <c r="GG24" s="28"/>
      <c r="GH24" s="28"/>
      <c r="GI24" s="28"/>
      <c r="GJ24" s="28"/>
      <c r="GK24" s="28"/>
      <c r="GL24" s="28"/>
      <c r="GM24" s="28"/>
      <c r="GN24" s="28"/>
      <c r="GO24" s="28"/>
      <c r="GP24" s="28"/>
      <c r="GQ24" s="28"/>
      <c r="GR24" s="28"/>
      <c r="GS24" s="28"/>
      <c r="GT24" s="28"/>
      <c r="GU24" s="28"/>
      <c r="GV24" s="28"/>
      <c r="GW24" s="28"/>
      <c r="GX24" s="28"/>
      <c r="GY24" s="28"/>
      <c r="GZ24" s="28"/>
      <c r="HA24" s="28"/>
      <c r="HB24" s="28"/>
      <c r="HC24" s="28"/>
      <c r="HD24" s="28"/>
      <c r="HE24" s="28"/>
      <c r="HF24" s="28"/>
      <c r="HG24" s="28"/>
      <c r="HH24" s="28"/>
      <c r="HI24" s="28"/>
      <c r="HJ24" s="28"/>
      <c r="HK24" s="28"/>
      <c r="HL24" s="28"/>
      <c r="HM24" s="28"/>
      <c r="HN24" s="28"/>
      <c r="HO24" s="28"/>
      <c r="HP24" s="28"/>
      <c r="HQ24" s="28"/>
      <c r="HR24" s="28"/>
      <c r="HS24" s="28"/>
      <c r="HT24" s="28"/>
      <c r="HU24" s="28"/>
      <c r="HV24" s="28"/>
      <c r="HW24" s="28"/>
      <c r="HX24" s="28"/>
      <c r="HY24" s="28"/>
      <c r="HZ24" s="28"/>
      <c r="IA24" s="28"/>
      <c r="IB24" s="28"/>
      <c r="IC24" s="28"/>
      <c r="ID24" s="28"/>
      <c r="IE24" s="28"/>
      <c r="IF24" s="28"/>
      <c r="IG24" s="28"/>
      <c r="IH24" s="28"/>
      <c r="II24" s="28"/>
      <c r="IJ24" s="28"/>
      <c r="IK24" s="28"/>
      <c r="IL24" s="28"/>
      <c r="IM24" s="28"/>
      <c r="IN24" s="28"/>
      <c r="IO24" s="28"/>
      <c r="IP24" s="28"/>
      <c r="IQ24" s="28"/>
      <c r="IR24" s="28"/>
      <c r="IS24" s="28"/>
      <c r="IT24" s="28"/>
      <c r="IU24" s="28"/>
      <c r="IV24" s="28"/>
    </row>
    <row r="25" spans="1:256" ht="31.35" customHeight="1" x14ac:dyDescent="0.25">
      <c r="A25" s="86"/>
      <c r="B25" s="69" t="s">
        <v>37</v>
      </c>
      <c r="C25" s="70"/>
      <c r="D25" s="5">
        <v>0.56100000000000005</v>
      </c>
      <c r="E25" s="5">
        <v>1.1000000000000001</v>
      </c>
      <c r="F25" s="13"/>
      <c r="G25" s="87"/>
      <c r="H25" s="39" t="s">
        <v>95</v>
      </c>
      <c r="I25" s="7">
        <v>10.96</v>
      </c>
      <c r="J25" s="7">
        <v>11.89</v>
      </c>
      <c r="L25" s="41" t="s">
        <v>96</v>
      </c>
      <c r="M25" s="5">
        <v>4818</v>
      </c>
      <c r="N25" s="22">
        <v>5261</v>
      </c>
      <c r="P25" s="74"/>
      <c r="Q25" s="44" t="s">
        <v>87</v>
      </c>
      <c r="R25" s="27">
        <v>38.5</v>
      </c>
      <c r="S25" s="27">
        <v>38.1</v>
      </c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28"/>
      <c r="FQ25" s="28"/>
      <c r="FR25" s="28"/>
      <c r="FS25" s="28"/>
      <c r="FT25" s="28"/>
      <c r="FU25" s="28"/>
      <c r="FV25" s="28"/>
      <c r="FW25" s="28"/>
      <c r="FX25" s="28"/>
      <c r="FY25" s="28"/>
      <c r="FZ25" s="28"/>
      <c r="GA25" s="28"/>
      <c r="GB25" s="28"/>
      <c r="GC25" s="28"/>
      <c r="GD25" s="28"/>
      <c r="GE25" s="28"/>
      <c r="GF25" s="28"/>
      <c r="GG25" s="28"/>
      <c r="GH25" s="28"/>
      <c r="GI25" s="28"/>
      <c r="GJ25" s="28"/>
      <c r="GK25" s="28"/>
      <c r="GL25" s="28"/>
      <c r="GM25" s="28"/>
      <c r="GN25" s="28"/>
      <c r="GO25" s="28"/>
      <c r="GP25" s="28"/>
      <c r="GQ25" s="28"/>
      <c r="GR25" s="28"/>
      <c r="GS25" s="28"/>
      <c r="GT25" s="28"/>
      <c r="GU25" s="28"/>
      <c r="GV25" s="28"/>
      <c r="GW25" s="28"/>
      <c r="GX25" s="28"/>
      <c r="GY25" s="28"/>
      <c r="GZ25" s="28"/>
      <c r="HA25" s="28"/>
      <c r="HB25" s="28"/>
      <c r="HC25" s="28"/>
      <c r="HD25" s="28"/>
      <c r="HE25" s="28"/>
      <c r="HF25" s="28"/>
      <c r="HG25" s="28"/>
      <c r="HH25" s="28"/>
      <c r="HI25" s="28"/>
      <c r="HJ25" s="28"/>
      <c r="HK25" s="28"/>
      <c r="HL25" s="28"/>
      <c r="HM25" s="28"/>
      <c r="HN25" s="28"/>
      <c r="HO25" s="28"/>
      <c r="HP25" s="28"/>
      <c r="HQ25" s="28"/>
      <c r="HR25" s="28"/>
      <c r="HS25" s="28"/>
      <c r="HT25" s="28"/>
      <c r="HU25" s="28"/>
      <c r="HV25" s="28"/>
      <c r="HW25" s="28"/>
      <c r="HX25" s="28"/>
      <c r="HY25" s="28"/>
      <c r="HZ25" s="28"/>
      <c r="IA25" s="28"/>
      <c r="IB25" s="28"/>
      <c r="IC25" s="28"/>
      <c r="ID25" s="28"/>
      <c r="IE25" s="28"/>
      <c r="IF25" s="28"/>
      <c r="IG25" s="28"/>
      <c r="IH25" s="28"/>
      <c r="II25" s="28"/>
      <c r="IJ25" s="28"/>
      <c r="IK25" s="28"/>
      <c r="IL25" s="28"/>
      <c r="IM25" s="28"/>
      <c r="IN25" s="28"/>
      <c r="IO25" s="28"/>
      <c r="IP25" s="28"/>
      <c r="IQ25" s="28"/>
      <c r="IR25" s="28"/>
      <c r="IS25" s="28"/>
      <c r="IT25" s="28"/>
      <c r="IU25" s="28"/>
      <c r="IV25" s="28"/>
    </row>
    <row r="26" spans="1:256" ht="31.35" customHeight="1" x14ac:dyDescent="0.25">
      <c r="A26" s="86"/>
      <c r="B26" s="69" t="s">
        <v>40</v>
      </c>
      <c r="C26" s="70"/>
      <c r="D26" s="5">
        <v>-1.802</v>
      </c>
      <c r="E26" s="5">
        <v>3.4</v>
      </c>
      <c r="F26" s="13"/>
      <c r="G26" s="52" t="s">
        <v>97</v>
      </c>
      <c r="H26" s="83"/>
      <c r="I26" s="84"/>
      <c r="J26" s="36" t="s">
        <v>98</v>
      </c>
      <c r="L26" s="41" t="s">
        <v>99</v>
      </c>
      <c r="M26" s="5">
        <v>484765704</v>
      </c>
      <c r="N26" s="5">
        <v>469678632</v>
      </c>
      <c r="P26" s="74"/>
      <c r="Q26" s="44" t="s">
        <v>100</v>
      </c>
      <c r="R26" s="27">
        <v>29.6</v>
      </c>
      <c r="S26" s="27">
        <v>28.9</v>
      </c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  <c r="FS26" s="28"/>
      <c r="FT26" s="28"/>
      <c r="FU26" s="28"/>
      <c r="FV26" s="28"/>
      <c r="FW26" s="28"/>
      <c r="FX26" s="28"/>
      <c r="FY26" s="28"/>
      <c r="FZ26" s="28"/>
      <c r="GA26" s="28"/>
      <c r="GB26" s="28"/>
      <c r="GC26" s="28"/>
      <c r="GD26" s="28"/>
      <c r="GE26" s="28"/>
      <c r="GF26" s="28"/>
      <c r="GG26" s="28"/>
      <c r="GH26" s="28"/>
      <c r="GI26" s="28"/>
      <c r="GJ26" s="28"/>
      <c r="GK26" s="28"/>
      <c r="GL26" s="28"/>
      <c r="GM26" s="28"/>
      <c r="GN26" s="28"/>
      <c r="GO26" s="28"/>
      <c r="GP26" s="28"/>
      <c r="GQ26" s="28"/>
      <c r="GR26" s="28"/>
      <c r="GS26" s="28"/>
      <c r="GT26" s="28"/>
      <c r="GU26" s="28"/>
      <c r="GV26" s="28"/>
      <c r="GW26" s="28"/>
      <c r="GX26" s="28"/>
      <c r="GY26" s="28"/>
      <c r="GZ26" s="28"/>
      <c r="HA26" s="28"/>
      <c r="HB26" s="28"/>
      <c r="HC26" s="28"/>
      <c r="HD26" s="28"/>
      <c r="HE26" s="28"/>
      <c r="HF26" s="28"/>
      <c r="HG26" s="28"/>
      <c r="HH26" s="28"/>
      <c r="HI26" s="28"/>
      <c r="HJ26" s="28"/>
      <c r="HK26" s="28"/>
      <c r="HL26" s="28"/>
      <c r="HM26" s="28"/>
      <c r="HN26" s="28"/>
      <c r="HO26" s="28"/>
      <c r="HP26" s="28"/>
      <c r="HQ26" s="28"/>
      <c r="HR26" s="28"/>
      <c r="HS26" s="28"/>
      <c r="HT26" s="28"/>
      <c r="HU26" s="28"/>
      <c r="HV26" s="28"/>
      <c r="HW26" s="28"/>
      <c r="HX26" s="28"/>
      <c r="HY26" s="28"/>
      <c r="HZ26" s="28"/>
      <c r="IA26" s="28"/>
      <c r="IB26" s="28"/>
      <c r="IC26" s="28"/>
      <c r="ID26" s="28"/>
      <c r="IE26" s="28"/>
      <c r="IF26" s="28"/>
      <c r="IG26" s="28"/>
      <c r="IH26" s="28"/>
      <c r="II26" s="28"/>
      <c r="IJ26" s="28"/>
      <c r="IK26" s="28"/>
      <c r="IL26" s="28"/>
      <c r="IM26" s="28"/>
      <c r="IN26" s="28"/>
      <c r="IO26" s="28"/>
      <c r="IP26" s="28"/>
      <c r="IQ26" s="28"/>
      <c r="IR26" s="28"/>
      <c r="IS26" s="28"/>
      <c r="IT26" s="28"/>
      <c r="IU26" s="28"/>
      <c r="IV26" s="28"/>
    </row>
    <row r="27" spans="1:256" ht="31.35" customHeight="1" x14ac:dyDescent="0.25">
      <c r="A27" s="87"/>
      <c r="B27" s="69" t="s">
        <v>43</v>
      </c>
      <c r="C27" s="70"/>
      <c r="D27" s="5">
        <v>-1.4</v>
      </c>
      <c r="E27" s="5">
        <v>-1.9</v>
      </c>
      <c r="F27" s="13"/>
      <c r="G27" s="80" t="s">
        <v>101</v>
      </c>
      <c r="H27" s="81"/>
      <c r="I27" s="82"/>
      <c r="J27" s="5">
        <v>883</v>
      </c>
      <c r="L27" s="35" t="s">
        <v>102</v>
      </c>
      <c r="M27" s="36" t="s">
        <v>103</v>
      </c>
      <c r="N27" s="36" t="s">
        <v>6</v>
      </c>
      <c r="P27" s="75"/>
      <c r="Q27" s="44" t="s">
        <v>91</v>
      </c>
      <c r="R27" s="27">
        <v>4.4000000000000004</v>
      </c>
      <c r="S27" s="27">
        <v>4.4000000000000004</v>
      </c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8"/>
      <c r="EY27" s="28"/>
      <c r="EZ27" s="28"/>
      <c r="FA27" s="28"/>
      <c r="FB27" s="28"/>
      <c r="FC27" s="28"/>
      <c r="FD27" s="28"/>
      <c r="FE27" s="28"/>
      <c r="FF27" s="28"/>
      <c r="FG27" s="28"/>
      <c r="FH27" s="28"/>
      <c r="FI27" s="28"/>
      <c r="FJ27" s="28"/>
      <c r="FK27" s="28"/>
      <c r="FL27" s="28"/>
      <c r="FM27" s="28"/>
      <c r="FN27" s="28"/>
      <c r="FO27" s="28"/>
      <c r="FP27" s="28"/>
      <c r="FQ27" s="28"/>
      <c r="FR27" s="28"/>
      <c r="FS27" s="28"/>
      <c r="FT27" s="28"/>
      <c r="FU27" s="28"/>
      <c r="FV27" s="28"/>
      <c r="FW27" s="28"/>
      <c r="FX27" s="28"/>
      <c r="FY27" s="28"/>
      <c r="FZ27" s="28"/>
      <c r="GA27" s="28"/>
      <c r="GB27" s="28"/>
      <c r="GC27" s="28"/>
      <c r="GD27" s="28"/>
      <c r="GE27" s="28"/>
      <c r="GF27" s="28"/>
      <c r="GG27" s="28"/>
      <c r="GH27" s="28"/>
      <c r="GI27" s="28"/>
      <c r="GJ27" s="28"/>
      <c r="GK27" s="28"/>
      <c r="GL27" s="28"/>
      <c r="GM27" s="28"/>
      <c r="GN27" s="28"/>
      <c r="GO27" s="28"/>
      <c r="GP27" s="28"/>
      <c r="GQ27" s="28"/>
      <c r="GR27" s="28"/>
      <c r="GS27" s="28"/>
      <c r="GT27" s="28"/>
      <c r="GU27" s="28"/>
      <c r="GV27" s="28"/>
      <c r="GW27" s="28"/>
      <c r="GX27" s="28"/>
      <c r="GY27" s="28"/>
      <c r="GZ27" s="28"/>
      <c r="HA27" s="28"/>
      <c r="HB27" s="28"/>
      <c r="HC27" s="28"/>
      <c r="HD27" s="28"/>
      <c r="HE27" s="28"/>
      <c r="HF27" s="28"/>
      <c r="HG27" s="28"/>
      <c r="HH27" s="28"/>
      <c r="HI27" s="28"/>
      <c r="HJ27" s="28"/>
      <c r="HK27" s="28"/>
      <c r="HL27" s="28"/>
      <c r="HM27" s="28"/>
      <c r="HN27" s="28"/>
      <c r="HO27" s="28"/>
      <c r="HP27" s="28"/>
      <c r="HQ27" s="28"/>
      <c r="HR27" s="28"/>
      <c r="HS27" s="28"/>
      <c r="HT27" s="28"/>
      <c r="HU27" s="28"/>
      <c r="HV27" s="28"/>
      <c r="HW27" s="28"/>
      <c r="HX27" s="28"/>
      <c r="HY27" s="28"/>
      <c r="HZ27" s="28"/>
      <c r="IA27" s="28"/>
      <c r="IB27" s="28"/>
      <c r="IC27" s="28"/>
      <c r="ID27" s="28"/>
      <c r="IE27" s="28"/>
      <c r="IF27" s="28"/>
      <c r="IG27" s="28"/>
      <c r="IH27" s="28"/>
      <c r="II27" s="28"/>
      <c r="IJ27" s="28"/>
      <c r="IK27" s="28"/>
      <c r="IL27" s="28"/>
      <c r="IM27" s="28"/>
      <c r="IN27" s="28"/>
      <c r="IO27" s="28"/>
      <c r="IP27" s="28"/>
      <c r="IQ27" s="28"/>
      <c r="IR27" s="28"/>
      <c r="IS27" s="28"/>
      <c r="IT27" s="28"/>
      <c r="IU27" s="28"/>
      <c r="IV27" s="28"/>
    </row>
    <row r="28" spans="1:256" ht="31.35" customHeight="1" x14ac:dyDescent="0.25">
      <c r="A28" s="93" t="s">
        <v>104</v>
      </c>
      <c r="B28" s="94"/>
      <c r="C28" s="95"/>
      <c r="D28" s="36" t="s">
        <v>6</v>
      </c>
      <c r="E28" s="36" t="s">
        <v>7</v>
      </c>
      <c r="F28" s="13"/>
      <c r="G28" s="80" t="s">
        <v>105</v>
      </c>
      <c r="H28" s="81"/>
      <c r="I28" s="82"/>
      <c r="J28" s="5">
        <v>801</v>
      </c>
      <c r="L28" s="43" t="s">
        <v>106</v>
      </c>
      <c r="M28" s="20">
        <v>17</v>
      </c>
      <c r="N28" s="5">
        <v>15</v>
      </c>
      <c r="P28" s="73" t="s">
        <v>107</v>
      </c>
      <c r="Q28" s="44" t="s">
        <v>108</v>
      </c>
      <c r="R28" s="27">
        <v>7.9</v>
      </c>
      <c r="S28" s="27">
        <v>7.8</v>
      </c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8"/>
      <c r="EO28" s="28"/>
      <c r="EP28" s="28"/>
      <c r="EQ28" s="28"/>
      <c r="ER28" s="28"/>
      <c r="ES28" s="28"/>
      <c r="ET28" s="28"/>
      <c r="EU28" s="28"/>
      <c r="EV28" s="28"/>
      <c r="EW28" s="28"/>
      <c r="EX28" s="28"/>
      <c r="EY28" s="28"/>
      <c r="EZ28" s="28"/>
      <c r="FA28" s="28"/>
      <c r="FB28" s="28"/>
      <c r="FC28" s="28"/>
      <c r="FD28" s="28"/>
      <c r="FE28" s="28"/>
      <c r="FF28" s="28"/>
      <c r="FG28" s="28"/>
      <c r="FH28" s="28"/>
      <c r="FI28" s="28"/>
      <c r="FJ28" s="28"/>
      <c r="FK28" s="28"/>
      <c r="FL28" s="28"/>
      <c r="FM28" s="28"/>
      <c r="FN28" s="28"/>
      <c r="FO28" s="28"/>
      <c r="FP28" s="28"/>
      <c r="FQ28" s="28"/>
      <c r="FR28" s="28"/>
      <c r="FS28" s="28"/>
      <c r="FT28" s="28"/>
      <c r="FU28" s="28"/>
      <c r="FV28" s="28"/>
      <c r="FW28" s="28"/>
      <c r="FX28" s="28"/>
      <c r="FY28" s="28"/>
      <c r="FZ28" s="28"/>
      <c r="GA28" s="28"/>
      <c r="GB28" s="28"/>
      <c r="GC28" s="28"/>
      <c r="GD28" s="28"/>
      <c r="GE28" s="28"/>
      <c r="GF28" s="28"/>
      <c r="GG28" s="28"/>
      <c r="GH28" s="28"/>
      <c r="GI28" s="28"/>
      <c r="GJ28" s="28"/>
      <c r="GK28" s="28"/>
      <c r="GL28" s="28"/>
      <c r="GM28" s="28"/>
      <c r="GN28" s="28"/>
      <c r="GO28" s="28"/>
      <c r="GP28" s="28"/>
      <c r="GQ28" s="28"/>
      <c r="GR28" s="28"/>
      <c r="GS28" s="28"/>
      <c r="GT28" s="28"/>
      <c r="GU28" s="28"/>
      <c r="GV28" s="28"/>
      <c r="GW28" s="28"/>
      <c r="GX28" s="28"/>
      <c r="GY28" s="28"/>
      <c r="GZ28" s="28"/>
      <c r="HA28" s="28"/>
      <c r="HB28" s="28"/>
      <c r="HC28" s="28"/>
      <c r="HD28" s="28"/>
      <c r="HE28" s="28"/>
      <c r="HF28" s="28"/>
      <c r="HG28" s="28"/>
      <c r="HH28" s="28"/>
      <c r="HI28" s="28"/>
      <c r="HJ28" s="28"/>
      <c r="HK28" s="28"/>
      <c r="HL28" s="28"/>
      <c r="HM28" s="28"/>
      <c r="HN28" s="28"/>
      <c r="HO28" s="28"/>
      <c r="HP28" s="28"/>
      <c r="HQ28" s="28"/>
      <c r="HR28" s="28"/>
      <c r="HS28" s="28"/>
      <c r="HT28" s="28"/>
      <c r="HU28" s="28"/>
      <c r="HV28" s="28"/>
      <c r="HW28" s="28"/>
      <c r="HX28" s="28"/>
      <c r="HY28" s="28"/>
      <c r="HZ28" s="28"/>
      <c r="IA28" s="28"/>
      <c r="IB28" s="28"/>
      <c r="IC28" s="28"/>
      <c r="ID28" s="28"/>
      <c r="IE28" s="28"/>
      <c r="IF28" s="28"/>
      <c r="IG28" s="28"/>
      <c r="IH28" s="28"/>
      <c r="II28" s="28"/>
      <c r="IJ28" s="28"/>
      <c r="IK28" s="28"/>
      <c r="IL28" s="28"/>
      <c r="IM28" s="28"/>
      <c r="IN28" s="28"/>
      <c r="IO28" s="28"/>
      <c r="IP28" s="28"/>
      <c r="IQ28" s="28"/>
      <c r="IR28" s="28"/>
      <c r="IS28" s="28"/>
      <c r="IT28" s="28"/>
      <c r="IU28" s="28"/>
      <c r="IV28" s="28"/>
    </row>
    <row r="29" spans="1:256" ht="31.35" customHeight="1" x14ac:dyDescent="0.25">
      <c r="A29" s="77" t="s">
        <v>109</v>
      </c>
      <c r="B29" s="78"/>
      <c r="C29" s="79"/>
      <c r="D29" s="7" t="s">
        <v>110</v>
      </c>
      <c r="E29" s="7">
        <v>6.32</v>
      </c>
      <c r="F29" s="13"/>
      <c r="G29" s="80" t="s">
        <v>111</v>
      </c>
      <c r="H29" s="81"/>
      <c r="I29" s="82"/>
      <c r="J29" s="5">
        <v>747</v>
      </c>
      <c r="L29" s="43" t="s">
        <v>112</v>
      </c>
      <c r="M29" s="20">
        <v>21</v>
      </c>
      <c r="N29" s="5">
        <v>15</v>
      </c>
      <c r="P29" s="75"/>
      <c r="Q29" s="44" t="s">
        <v>113</v>
      </c>
      <c r="R29" s="20">
        <v>8.1</v>
      </c>
      <c r="S29" s="27">
        <v>8.1</v>
      </c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8"/>
      <c r="EY29" s="28"/>
      <c r="EZ29" s="28"/>
      <c r="FA29" s="28"/>
      <c r="FB29" s="28"/>
      <c r="FC29" s="28"/>
      <c r="FD29" s="28"/>
      <c r="FE29" s="28"/>
      <c r="FF29" s="28"/>
      <c r="FG29" s="28"/>
      <c r="FH29" s="28"/>
      <c r="FI29" s="28"/>
      <c r="FJ29" s="28"/>
      <c r="FK29" s="28"/>
      <c r="FL29" s="28"/>
      <c r="FM29" s="28"/>
      <c r="FN29" s="28"/>
      <c r="FO29" s="28"/>
      <c r="FP29" s="28"/>
      <c r="FQ29" s="28"/>
      <c r="FR29" s="28"/>
      <c r="FS29" s="28"/>
      <c r="FT29" s="28"/>
      <c r="FU29" s="28"/>
      <c r="FV29" s="28"/>
      <c r="FW29" s="28"/>
      <c r="FX29" s="28"/>
      <c r="FY29" s="28"/>
      <c r="FZ29" s="28"/>
      <c r="GA29" s="28"/>
      <c r="GB29" s="28"/>
      <c r="GC29" s="28"/>
      <c r="GD29" s="28"/>
      <c r="GE29" s="28"/>
      <c r="GF29" s="28"/>
      <c r="GG29" s="28"/>
      <c r="GH29" s="28"/>
      <c r="GI29" s="28"/>
      <c r="GJ29" s="28"/>
      <c r="GK29" s="28"/>
      <c r="GL29" s="28"/>
      <c r="GM29" s="28"/>
      <c r="GN29" s="28"/>
      <c r="GO29" s="28"/>
      <c r="GP29" s="28"/>
      <c r="GQ29" s="28"/>
      <c r="GR29" s="28"/>
      <c r="GS29" s="28"/>
      <c r="GT29" s="28"/>
      <c r="GU29" s="28"/>
      <c r="GV29" s="28"/>
      <c r="GW29" s="28"/>
      <c r="GX29" s="28"/>
      <c r="GY29" s="28"/>
      <c r="GZ29" s="28"/>
      <c r="HA29" s="28"/>
      <c r="HB29" s="28"/>
      <c r="HC29" s="28"/>
      <c r="HD29" s="28"/>
      <c r="HE29" s="28"/>
      <c r="HF29" s="28"/>
      <c r="HG29" s="28"/>
      <c r="HH29" s="28"/>
      <c r="HI29" s="28"/>
      <c r="HJ29" s="28"/>
      <c r="HK29" s="28"/>
      <c r="HL29" s="28"/>
      <c r="HM29" s="28"/>
      <c r="HN29" s="28"/>
      <c r="HO29" s="28"/>
      <c r="HP29" s="28"/>
      <c r="HQ29" s="28"/>
      <c r="HR29" s="28"/>
      <c r="HS29" s="28"/>
      <c r="HT29" s="28"/>
      <c r="HU29" s="28"/>
      <c r="HV29" s="28"/>
      <c r="HW29" s="28"/>
      <c r="HX29" s="28"/>
      <c r="HY29" s="28"/>
      <c r="HZ29" s="28"/>
      <c r="IA29" s="28"/>
      <c r="IB29" s="28"/>
      <c r="IC29" s="28"/>
      <c r="ID29" s="28"/>
      <c r="IE29" s="28"/>
      <c r="IF29" s="28"/>
      <c r="IG29" s="28"/>
      <c r="IH29" s="28"/>
      <c r="II29" s="28"/>
      <c r="IJ29" s="28"/>
      <c r="IK29" s="28"/>
      <c r="IL29" s="28"/>
      <c r="IM29" s="28"/>
      <c r="IN29" s="28"/>
      <c r="IO29" s="28"/>
      <c r="IP29" s="28"/>
      <c r="IQ29" s="28"/>
      <c r="IR29" s="28"/>
      <c r="IS29" s="28"/>
      <c r="IT29" s="28"/>
      <c r="IU29" s="28"/>
      <c r="IV29" s="28"/>
    </row>
    <row r="30" spans="1:256" ht="31.35" customHeight="1" x14ac:dyDescent="0.25">
      <c r="A30" s="77" t="s">
        <v>114</v>
      </c>
      <c r="B30" s="78"/>
      <c r="C30" s="79"/>
      <c r="D30" s="7" t="s">
        <v>115</v>
      </c>
      <c r="E30" s="7">
        <v>187.03</v>
      </c>
      <c r="F30" s="13"/>
      <c r="G30" s="80" t="s">
        <v>116</v>
      </c>
      <c r="H30" s="81"/>
      <c r="I30" s="82"/>
      <c r="J30" s="5">
        <v>708</v>
      </c>
      <c r="L30" s="41" t="s">
        <v>117</v>
      </c>
      <c r="M30" s="20">
        <v>3</v>
      </c>
      <c r="N30" s="5">
        <v>0</v>
      </c>
      <c r="P30" s="52" t="s">
        <v>118</v>
      </c>
      <c r="Q30" s="84"/>
      <c r="R30" s="36" t="s">
        <v>119</v>
      </c>
      <c r="S30" s="36" t="s">
        <v>120</v>
      </c>
    </row>
    <row r="31" spans="1:256" s="1" customFormat="1" ht="31.35" customHeight="1" thickBot="1" x14ac:dyDescent="0.3">
      <c r="A31" s="77" t="s">
        <v>121</v>
      </c>
      <c r="B31" s="78"/>
      <c r="C31" s="79"/>
      <c r="D31" s="7" t="s">
        <v>122</v>
      </c>
      <c r="E31" s="7">
        <v>1.92</v>
      </c>
      <c r="F31" s="13"/>
      <c r="G31" s="80" t="s">
        <v>123</v>
      </c>
      <c r="H31" s="81"/>
      <c r="I31" s="82"/>
      <c r="J31" s="5">
        <v>453</v>
      </c>
      <c r="K31" s="2"/>
      <c r="L31" s="41" t="s">
        <v>124</v>
      </c>
      <c r="M31" s="20">
        <v>21</v>
      </c>
      <c r="N31" s="5">
        <v>36</v>
      </c>
      <c r="O31" s="2"/>
      <c r="P31" s="66" t="s">
        <v>125</v>
      </c>
      <c r="Q31" s="68"/>
      <c r="R31" s="5">
        <v>58</v>
      </c>
      <c r="S31" s="29">
        <v>57</v>
      </c>
    </row>
    <row r="32" spans="1:256" s="1" customFormat="1" ht="31.35" customHeight="1" thickTop="1" thickBot="1" x14ac:dyDescent="0.3">
      <c r="A32" s="2"/>
      <c r="B32" s="2"/>
      <c r="C32" s="2"/>
      <c r="D32" s="2"/>
      <c r="E32" s="2"/>
      <c r="F32" s="13"/>
      <c r="G32" s="90" t="s">
        <v>126</v>
      </c>
      <c r="H32" s="91"/>
      <c r="I32" s="92"/>
      <c r="J32" s="5">
        <v>7088</v>
      </c>
      <c r="K32" s="2"/>
      <c r="L32" s="41" t="s">
        <v>127</v>
      </c>
      <c r="M32" s="20">
        <v>4</v>
      </c>
      <c r="N32" s="5">
        <v>12</v>
      </c>
      <c r="O32" s="2"/>
      <c r="P32" s="73" t="s">
        <v>128</v>
      </c>
      <c r="Q32" s="44" t="s">
        <v>129</v>
      </c>
      <c r="R32" s="5">
        <v>40</v>
      </c>
      <c r="S32" s="29">
        <v>38</v>
      </c>
    </row>
    <row r="33" spans="1:19" s="1" customFormat="1" ht="31.35" customHeight="1" thickBot="1" x14ac:dyDescent="0.3">
      <c r="A33" s="8"/>
      <c r="B33" s="8"/>
      <c r="C33" s="8"/>
      <c r="D33" s="8"/>
      <c r="E33" s="8"/>
      <c r="F33" s="14"/>
      <c r="G33" s="8"/>
      <c r="H33" s="8"/>
      <c r="I33" s="8"/>
      <c r="J33" s="8"/>
      <c r="K33" s="2"/>
      <c r="L33" s="2"/>
      <c r="M33" s="2"/>
      <c r="N33" s="2"/>
      <c r="O33" s="2"/>
      <c r="P33" s="74"/>
      <c r="Q33" s="44" t="s">
        <v>130</v>
      </c>
      <c r="R33" s="5">
        <v>76</v>
      </c>
      <c r="S33" s="29">
        <v>72</v>
      </c>
    </row>
    <row r="34" spans="1:19" s="1" customFormat="1" ht="31.35" customHeight="1" thickBot="1" x14ac:dyDescent="0.3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2"/>
      <c r="N34" s="2"/>
      <c r="O34" s="2"/>
      <c r="P34" s="74"/>
      <c r="Q34" s="44" t="s">
        <v>131</v>
      </c>
      <c r="R34" s="5">
        <v>67</v>
      </c>
      <c r="S34" s="29">
        <v>66</v>
      </c>
    </row>
    <row r="35" spans="1:19" s="1" customFormat="1" ht="31.35" customHeight="1" thickBot="1" x14ac:dyDescent="0.3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2"/>
      <c r="N35" s="2"/>
      <c r="O35" s="2"/>
      <c r="P35" s="75"/>
      <c r="Q35" s="44" t="s">
        <v>132</v>
      </c>
      <c r="R35" s="5">
        <v>82</v>
      </c>
      <c r="S35" s="29">
        <v>80</v>
      </c>
    </row>
    <row r="36" spans="1:19" ht="32.25" customHeight="1" thickBot="1" x14ac:dyDescent="0.3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</row>
    <row r="37" spans="1:19" ht="32.25" customHeight="1" thickBot="1" x14ac:dyDescent="0.3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O37" s="23"/>
      <c r="P37" s="13"/>
    </row>
    <row r="38" spans="1:19" ht="32.25" customHeight="1" thickBot="1" x14ac:dyDescent="0.3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O38" s="23"/>
      <c r="P38" s="13"/>
    </row>
    <row r="39" spans="1:19" ht="32.25" customHeight="1" thickBot="1" x14ac:dyDescent="0.3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24"/>
      <c r="N39" s="24"/>
      <c r="P39" s="25"/>
      <c r="Q39" s="25"/>
      <c r="R39" s="30"/>
      <c r="S39" s="31"/>
    </row>
    <row r="40" spans="1:19" ht="32.25" customHeight="1" thickBot="1" x14ac:dyDescent="0.3">
      <c r="A40" s="24"/>
      <c r="B40" s="24"/>
      <c r="C40" s="24"/>
      <c r="D40" s="24"/>
      <c r="E40" s="32"/>
    </row>
    <row r="41" spans="1:19" ht="31.35" hidden="1" customHeight="1" x14ac:dyDescent="0.25">
      <c r="P41" s="26"/>
      <c r="Q41" s="33"/>
      <c r="R41" s="33"/>
      <c r="S41" s="34"/>
    </row>
    <row r="42" spans="1:19" ht="31.35" hidden="1" customHeight="1" x14ac:dyDescent="0.25">
      <c r="G42" s="9"/>
      <c r="H42" s="9"/>
      <c r="I42" s="9"/>
      <c r="J42" s="9"/>
      <c r="M42" s="9"/>
      <c r="N42" s="9"/>
    </row>
    <row r="43" spans="1:19" ht="31.35" hidden="1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18"/>
      <c r="M43" s="9"/>
      <c r="N43" s="9"/>
    </row>
    <row r="44" spans="1:19" ht="31.35" hidden="1" customHeight="1" x14ac:dyDescent="0.25">
      <c r="A44" s="10"/>
      <c r="B44" s="9"/>
      <c r="C44" s="9"/>
      <c r="D44" s="9"/>
      <c r="E44" s="9"/>
      <c r="F44" s="9"/>
      <c r="G44" s="9"/>
      <c r="H44" s="9"/>
      <c r="I44" s="9"/>
      <c r="J44" s="9"/>
      <c r="K44" s="9"/>
      <c r="M44" s="9"/>
      <c r="N44" s="9"/>
    </row>
    <row r="45" spans="1:19" ht="31.35" hidden="1" customHeight="1" x14ac:dyDescent="0.25">
      <c r="A45" s="11"/>
      <c r="B45" s="9"/>
      <c r="C45" s="9"/>
      <c r="D45" s="9"/>
      <c r="E45" s="9"/>
      <c r="F45" s="9"/>
      <c r="G45" s="6"/>
      <c r="H45" s="6"/>
      <c r="I45" s="6"/>
      <c r="J45" s="6"/>
      <c r="K45" s="9"/>
      <c r="M45" s="6"/>
      <c r="N45" s="6"/>
    </row>
    <row r="46" spans="1:19" ht="31.35" hidden="1" customHeight="1" x14ac:dyDescent="0.25">
      <c r="A46" s="11"/>
      <c r="B46" s="6"/>
      <c r="C46" s="6"/>
      <c r="D46" s="6"/>
      <c r="E46" s="6"/>
      <c r="F46" s="6"/>
      <c r="G46" s="6"/>
      <c r="H46" s="6"/>
      <c r="I46" s="6"/>
      <c r="J46" s="6"/>
      <c r="K46" s="6"/>
      <c r="L46" s="9"/>
      <c r="M46" s="6"/>
      <c r="N46" s="6"/>
      <c r="O46" s="6"/>
      <c r="P46" s="6"/>
      <c r="Q46" s="6"/>
      <c r="R46" s="6"/>
      <c r="S46" s="4"/>
    </row>
    <row r="47" spans="1:19" ht="31.35" hidden="1" customHeight="1" x14ac:dyDescent="0.25">
      <c r="B47" s="6"/>
      <c r="C47" s="6"/>
      <c r="D47" s="6"/>
      <c r="E47" s="6"/>
      <c r="F47" s="6"/>
      <c r="K47" s="6"/>
      <c r="L47" s="9"/>
      <c r="O47" s="6"/>
      <c r="P47" s="6"/>
      <c r="Q47" s="6"/>
      <c r="R47" s="6"/>
      <c r="S47" s="4"/>
    </row>
    <row r="48" spans="1:19" ht="409.5" hidden="1" customHeight="1" x14ac:dyDescent="0.25">
      <c r="L48" s="9"/>
    </row>
    <row r="49" spans="12:12" ht="409.5" hidden="1" customHeight="1" x14ac:dyDescent="0.25">
      <c r="L49" s="6"/>
    </row>
    <row r="50" spans="12:12" ht="409.5" hidden="1" customHeight="1" x14ac:dyDescent="0.25">
      <c r="L50" s="6"/>
    </row>
    <row r="51" spans="12:12" ht="409.5" hidden="1" customHeight="1" x14ac:dyDescent="0.25"/>
    <row r="52" spans="12:12" ht="409.5" hidden="1" customHeight="1" x14ac:dyDescent="0.25"/>
    <row r="53" spans="12:12" ht="17.649999999999999" customHeight="1" thickBot="1" x14ac:dyDescent="0.3"/>
    <row r="54" spans="12:12" ht="17.649999999999999" customHeight="1" thickBot="1" x14ac:dyDescent="0.3"/>
    <row r="65" s="2" customFormat="1" ht="17.649999999999999" hidden="1" customHeight="1" x14ac:dyDescent="0.25"/>
    <row r="66" s="2" customFormat="1" ht="17.649999999999999" hidden="1" customHeight="1" x14ac:dyDescent="0.25"/>
  </sheetData>
  <sheetProtection formatCells="0" formatColumns="0" formatRows="0" insertHyperlinks="0" autoFilter="0"/>
  <protectedRanges>
    <protectedRange sqref="L3:L4 L10 L22 L27:L32" name="Results"/>
    <protectedRange sqref="P41:S41 P39:S39" name="Contact details"/>
    <protectedRange sqref="A33:J33 A41:A65533 B41:J65534" name="Notes"/>
    <protectedRange sqref="A34:J39" name="Notes_1"/>
    <protectedRange sqref="B40:E40" name="Contact details_2"/>
    <protectedRange sqref="L5:L9" name="Results_4"/>
    <protectedRange sqref="L11:L21" name="Results_5"/>
    <protectedRange sqref="L23:L26" name="Results_6"/>
    <protectedRange sqref="G27:I31" name="Major projects_1"/>
    <protectedRange sqref="B8:C12" name="Budget titles_1"/>
    <protectedRange sqref="B17:C21" name="Budget titles_2"/>
    <protectedRange sqref="B23:C27" name="Budget titles_3"/>
  </protectedRanges>
  <mergeCells count="66">
    <mergeCell ref="P32:P35"/>
    <mergeCell ref="A34:L39"/>
    <mergeCell ref="P13:P18"/>
    <mergeCell ref="P19:P20"/>
    <mergeCell ref="P21:P23"/>
    <mergeCell ref="P24:P27"/>
    <mergeCell ref="P28:P29"/>
    <mergeCell ref="G32:I32"/>
    <mergeCell ref="A30:C30"/>
    <mergeCell ref="G30:I30"/>
    <mergeCell ref="P30:Q30"/>
    <mergeCell ref="A31:C31"/>
    <mergeCell ref="G31:I31"/>
    <mergeCell ref="P31:Q31"/>
    <mergeCell ref="A28:C28"/>
    <mergeCell ref="G28:I28"/>
    <mergeCell ref="G14:G18"/>
    <mergeCell ref="G19:G22"/>
    <mergeCell ref="G23:G25"/>
    <mergeCell ref="B27:C27"/>
    <mergeCell ref="G27:I27"/>
    <mergeCell ref="B18:C18"/>
    <mergeCell ref="B19:C19"/>
    <mergeCell ref="B20:C20"/>
    <mergeCell ref="B21:C21"/>
    <mergeCell ref="A22:C22"/>
    <mergeCell ref="A29:C29"/>
    <mergeCell ref="G29:I29"/>
    <mergeCell ref="B23:C23"/>
    <mergeCell ref="B24:C24"/>
    <mergeCell ref="B25:C25"/>
    <mergeCell ref="B26:C26"/>
    <mergeCell ref="G26:I26"/>
    <mergeCell ref="A23:A27"/>
    <mergeCell ref="A13:C13"/>
    <mergeCell ref="A14:C14"/>
    <mergeCell ref="A15:C15"/>
    <mergeCell ref="A16:C16"/>
    <mergeCell ref="B17:C17"/>
    <mergeCell ref="A17:A21"/>
    <mergeCell ref="B10:C10"/>
    <mergeCell ref="B11:C11"/>
    <mergeCell ref="B12:C12"/>
    <mergeCell ref="P12:Q12"/>
    <mergeCell ref="P9:P11"/>
    <mergeCell ref="G9:G11"/>
    <mergeCell ref="G12:G13"/>
    <mergeCell ref="A7:C7"/>
    <mergeCell ref="B8:C8"/>
    <mergeCell ref="P8:Q8"/>
    <mergeCell ref="P5:P7"/>
    <mergeCell ref="B9:C9"/>
    <mergeCell ref="A8:A12"/>
    <mergeCell ref="G5:G8"/>
    <mergeCell ref="A4:E4"/>
    <mergeCell ref="G4:J4"/>
    <mergeCell ref="P4:S4"/>
    <mergeCell ref="A5:C5"/>
    <mergeCell ref="A6:C6"/>
    <mergeCell ref="A1:J1"/>
    <mergeCell ref="L1:N1"/>
    <mergeCell ref="P1:S1"/>
    <mergeCell ref="A3:C3"/>
    <mergeCell ref="D3:E3"/>
    <mergeCell ref="G3:H3"/>
    <mergeCell ref="P3:Q3"/>
  </mergeCells>
  <conditionalFormatting sqref="S5:S11 J5:J25 S13:S29 E29:E31 R31:S35">
    <cfRule type="containsText" dxfId="12" priority="120" stopIfTrue="1" operator="containsText" text="QDS4 2011-12">
      <formula>NOT(ISERROR(SEARCH("QDS4 2011-12",E5)))</formula>
    </cfRule>
    <cfRule type="containsText" dxfId="11" priority="121" stopIfTrue="1" operator="containsText" text="QDS2 2012-13">
      <formula>NOT(ISERROR(SEARCH("QDS2 2012-13",E5)))</formula>
    </cfRule>
    <cfRule type="containsText" dxfId="10" priority="122" stopIfTrue="1" operator="containsText" text="QDS1 2012-13">
      <formula>NOT(ISERROR(SEARCH("QDS1 2012-13",E5)))</formula>
    </cfRule>
    <cfRule type="containsText" dxfId="9" priority="123" stopIfTrue="1" operator="containsText" text="QDS4 2011-12">
      <formula>NOT(ISERROR(SEARCH("QDS4 2011-12",E5)))</formula>
    </cfRule>
    <cfRule type="containsText" dxfId="8" priority="124" stopIfTrue="1" operator="containsText" text="QDS3 2011-12">
      <formula>NOT(ISERROR(SEARCH("QDS3 2011-12",E5)))</formula>
    </cfRule>
    <cfRule type="cellIs" dxfId="7" priority="125" stopIfTrue="1" operator="equal">
      <formula>""""",""."",""QDS3 2011-12"""</formula>
    </cfRule>
    <cfRule type="cellIs" dxfId="6" priority="126" stopIfTrue="1" operator="equal">
      <formula>OR(E5=".",E5="QDS3 2011-12",E5="QDS4 2011-12",E5="QDS1 2012-13",E5="QDS2 2012-13")</formula>
    </cfRule>
    <cfRule type="cellIs" dxfId="5" priority="128" stopIfTrue="1" operator="equal">
      <formula>"OR(D8=""."",D8=""QDS3 2011-12"")"</formula>
    </cfRule>
    <cfRule type="cellIs" dxfId="4" priority="129" stopIfTrue="1" operator="equal">
      <formula>OR(".","QDS 2011-12")</formula>
    </cfRule>
    <cfRule type="cellIs" dxfId="3" priority="130" stopIfTrue="1" operator="equal">
      <formula>""</formula>
    </cfRule>
    <cfRule type="cellIs" dxfId="2" priority="131" stopIfTrue="1" operator="equal">
      <formula>" "</formula>
    </cfRule>
    <cfRule type="cellIs" dxfId="1" priority="132" stopIfTrue="1" operator="equal">
      <formula>"""."""</formula>
    </cfRule>
    <cfRule type="cellIs" dxfId="0" priority="133" stopIfTrue="1" operator="equal">
      <formula>""""",""."",""QDS3 2011-12"""</formula>
    </cfRule>
  </conditionalFormatting>
  <dataValidations count="2">
    <dataValidation type="custom" allowBlank="1" showInputMessage="1" showErrorMessage="1" errorTitle="Invalid data entry" error="Please enter a numerical response, otherwise:_x000a_• &quot;not applicable&quot; for data that do not exist and will not exist in the future_x000a_• when data will become available in the future indicate which future QDS e.g. “QDS3 2011-12”  " sqref="I12 I25 E29:E31 I14:I18 J5:J25 J27:J32 R31:R35 S5:S11 S13:S29" xr:uid="{00000000-0002-0000-0000-000000000000}">
      <formula1>OR(ISNUMBER(E5),E5="not applicable",E5=".",E5="QDS3 2011-12",E5="QDS4 2011-12",E5="QDS1 2012-13",E5="QDS2 2012-13")</formula1>
    </dataValidation>
    <dataValidation type="custom" errorStyle="information" allowBlank="1" showInputMessage="1" showErrorMessage="1" errorTitle="Invalid data entry" error="Please enter a numerical response, otherwise:_x000a_• &quot;.&quot; (indicating n/a)_x000a_• when data will become available in the future, enter &quot;..&quot; then indicate which QDS they will become available for, such as “.. Q3 2011-12”  " sqref="S31:S35" xr:uid="{00000000-0002-0000-0000-000001000000}">
      <formula1>OR(ISNUMBER(S31),S31=".",S31=".. Q3 2011-12",S31=".. Q4 2011-12",S31=".. Q1 2012-13")</formula1>
    </dataValidation>
  </dataValidations>
  <pageMargins left="0.70866141732283505" right="0.70866141732283505" top="0.74803149606299202" bottom="0.74803149606299202" header="0.31496062992126" footer="0.31496062992126"/>
  <pageSetup paperSize="8" scale="53" orientation="landscape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label version="1.0">
  <element uid="id_unclassified"/>
  <element uid="id_newpolicy" value=""/>
</label>
</file>

<file path=customXml/item2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Results" rangeCreator="" othersAccessPermission="edit"/>
    <arrUserId title="Contact details" rangeCreator="" othersAccessPermission="edit"/>
    <arrUserId title="Notes" rangeCreator="" othersAccessPermission="edit"/>
    <arrUserId title="Notes_1" rangeCreator="" othersAccessPermission="edit"/>
    <arrUserId title="Contact details_2" rangeCreator="" othersAccessPermission="edit"/>
    <arrUserId title="Notes_3" rangeCreator="" othersAccessPermission="edit"/>
    <arrUserId title="Results_4" rangeCreator="" othersAccessPermission="edit"/>
    <arrUserId title="Results_5" rangeCreator="" othersAccessPermission="edit"/>
    <arrUserId title="Results_6" rangeCreator="" othersAccessPermission="edit"/>
    <arrUserId title="Major projects_1" rangeCreator="" othersAccessPermission="edit"/>
    <arrUserId title="Budget titles_1" rangeCreator="" othersAccessPermission="edit"/>
    <arrUserId title="Budget titles_2" rangeCreator="" othersAccessPermission="edit"/>
    <arrUserId title="Budget titles_3" rangeCreator="" othersAccessPermission="edit"/>
  </rangeList>
</allowEditUser>
</file>

<file path=customXml/itemProps1.xml><?xml version="1.0" encoding="utf-8"?>
<ds:datastoreItem xmlns:ds="http://schemas.openxmlformats.org/officeDocument/2006/customXml" ds:itemID="{0699169F-FD5A-4B28-97D9-BF3F971E368D}">
  <ds:schemaRefs/>
</ds:datastoreItem>
</file>

<file path=customXml/itemProps2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Annex A QDS template</vt:lpstr>
    </vt:vector>
  </TitlesOfParts>
  <Company>Department for Transport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eelwell</dc:creator>
  <cp:lastModifiedBy>Илья Охотин</cp:lastModifiedBy>
  <cp:lastPrinted>2012-06-14T19:07:07Z</cp:lastPrinted>
  <dcterms:created xsi:type="dcterms:W3CDTF">2012-01-25T23:24:46Z</dcterms:created>
  <dcterms:modified xsi:type="dcterms:W3CDTF">2025-12-01T04:25:24Z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bjDocumentSecurityLabel">
    <vt:lpwstr>UNCLASSIFIED</vt:lpwstr>
  </property>
  <property fmtid="{D5CDD505-2E9C-101B-9397-08002B2CF9AE}" pid="4" name="Document Security Label">
    <vt:lpwstr>UNCLASSIFIED</vt:lpwstr>
  </property>
  <property fmtid="{D5CDD505-2E9C-101B-9397-08002B2CF9AE}" pid="5" name="bjDocumentSecurityXML">
    <vt:lpwstr>&lt;label version="1.0"&gt;&lt;element uid="id_unclassified"/&gt;&lt;element uid="id_newpolicy" value=""/&gt;&lt;/label&gt;</vt:lpwstr>
  </property>
  <property fmtid="{D5CDD505-2E9C-101B-9397-08002B2CF9AE}" pid="6" name="bjDocumentSecurityPolicyProp">
    <vt:lpwstr>UK</vt:lpwstr>
  </property>
  <property fmtid="{D5CDD505-2E9C-101B-9397-08002B2CF9AE}" pid="7" name="bjDocumentSecurityPolicyPropID">
    <vt:lpwstr>id_newpolicy</vt:lpwstr>
  </property>
  <property fmtid="{D5CDD505-2E9C-101B-9397-08002B2CF9AE}" pid="8" name="bjDocumentSecurityProp1">
    <vt:lpwstr>UNCLASSIFIED</vt:lpwstr>
  </property>
  <property fmtid="{D5CDD505-2E9C-101B-9397-08002B2CF9AE}" pid="9" name="bjSecLabelProp1ID">
    <vt:lpwstr>id_unclassified</vt:lpwstr>
  </property>
  <property fmtid="{D5CDD505-2E9C-101B-9397-08002B2CF9AE}" pid="10" name="bjDocumentSecurityProp2">
    <vt:lpwstr/>
  </property>
  <property fmtid="{D5CDD505-2E9C-101B-9397-08002B2CF9AE}" pid="11" name="bjSecLabelProp2ID">
    <vt:lpwstr/>
  </property>
  <property fmtid="{D5CDD505-2E9C-101B-9397-08002B2CF9AE}" pid="12" name="bjDocumentSecurityProp3">
    <vt:lpwstr/>
  </property>
  <property fmtid="{D5CDD505-2E9C-101B-9397-08002B2CF9AE}" pid="13" name="bjSecLabelProp3ID">
    <vt:lpwstr/>
  </property>
  <property fmtid="{D5CDD505-2E9C-101B-9397-08002B2CF9AE}" pid="14" name="eGMS.protectiveMarking">
    <vt:lpwstr/>
  </property>
  <property fmtid="{D5CDD505-2E9C-101B-9397-08002B2CF9AE}" pid="15" name="docIndexRef">
    <vt:lpwstr>7ac26cb0-7c82-4e4c-bb57-6afe34daba79</vt:lpwstr>
  </property>
  <property fmtid="{D5CDD505-2E9C-101B-9397-08002B2CF9AE}" pid="16" name="ICV">
    <vt:lpwstr>C4D9BD991CF9470A4904576756520351_43</vt:lpwstr>
  </property>
  <property fmtid="{D5CDD505-2E9C-101B-9397-08002B2CF9AE}" pid="17" name="KSOProductBuildVer">
    <vt:lpwstr>2052-6.11.0.8885</vt:lpwstr>
  </property>
</Properties>
</file>