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F056A46-C1E5-410D-8B47-6AA9511868F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43" i="1" l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D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E4" i="1"/>
  <c r="B4" i="1"/>
</calcChain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<sst xmlns="http://schemas.openxmlformats.org/spreadsheetml/2006/main" count="116" uniqueCount="101">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</sst>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0.0%"/>
  </numFmts>
  <fonts count="15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10"/>
      <color rgb="FFFFFFFF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</borders>
  <cellStyleXfs count="3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/>
  </cellStyleXfs>
  <cellXfs count="12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/>
    <xf numFmtId="0" fontId="2" fillId="0" borderId="0" xfId="0" applyFont="1">
      <alignment vertical="center"/>
    </xf>
    <xf numFmtId="0" fontId="0" fillId="2" borderId="0" xfId="0" applyFill="1" applyAlignment="1"/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left" vertical="center" wrapText="1"/>
    </xf>
    <xf numFmtId="1" fontId="9" fillId="7" borderId="16" xfId="0" applyNumberFormat="1" applyFont="1" applyFill="1" applyBorder="1" applyAlignment="1">
      <alignment horizontal="center" vertical="center" wrapText="1"/>
    </xf>
    <xf numFmtId="168" fontId="9" fillId="7" borderId="17" xfId="0" applyNumberFormat="1" applyFont="1" applyFill="1" applyBorder="1" applyAlignment="1">
      <alignment horizontal="center" vertical="center" wrapText="1"/>
    </xf>
    <xf numFmtId="168" fontId="9" fillId="7" borderId="5" xfId="0" applyNumberFormat="1" applyFont="1" applyFill="1" applyBorder="1" applyAlignment="1">
      <alignment horizontal="center" vertical="center" wrapText="1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9" borderId="13" xfId="0" applyNumberFormat="1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168" fontId="9" fillId="7" borderId="12" xfId="0" applyNumberFormat="1" applyFont="1" applyFill="1" applyBorder="1" applyAlignment="1">
      <alignment horizontal="center" vertical="center" wrapText="1"/>
    </xf>
    <xf numFmtId="3" fontId="4" fillId="9" borderId="5" xfId="0" applyNumberFormat="1" applyFont="1" applyFill="1" applyBorder="1" applyAlignment="1">
      <alignment horizontal="center" vertical="center" wrapText="1"/>
    </xf>
    <xf numFmtId="3" fontId="4" fillId="9" borderId="12" xfId="0" applyNumberFormat="1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168" fontId="9" fillId="7" borderId="2" xfId="0" applyNumberFormat="1" applyFont="1" applyFill="1" applyBorder="1" applyAlignment="1">
      <alignment horizontal="center" vertical="center" wrapText="1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0" borderId="5" xfId="0" applyNumberFormat="1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168" fontId="9" fillId="7" borderId="13" xfId="0" applyNumberFormat="1" applyFont="1" applyFill="1" applyBorder="1" applyAlignment="1">
      <alignment horizontal="center" vertical="center" wrapText="1"/>
    </xf>
    <xf numFmtId="3" fontId="4" fillId="11" borderId="13" xfId="0" applyNumberFormat="1" applyFont="1" applyFill="1" applyBorder="1" applyAlignment="1">
      <alignment horizontal="center" vertical="center" wrapText="1"/>
    </xf>
    <xf numFmtId="3" fontId="4" fillId="11" borderId="5" xfId="0" applyNumberFormat="1" applyFont="1" applyFill="1" applyBorder="1" applyAlignment="1">
      <alignment horizontal="center" vertical="center" wrapText="1"/>
    </xf>
    <xf numFmtId="3" fontId="4" fillId="11" borderId="12" xfId="0" applyNumberFormat="1" applyFont="1" applyFill="1" applyBorder="1" applyAlignment="1">
      <alignment horizontal="center" vertical="center" wrapText="1"/>
    </xf>
    <xf numFmtId="3" fontId="4" fillId="12" borderId="13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3" fontId="4" fillId="12" borderId="12" xfId="0" applyNumberFormat="1" applyFont="1" applyFill="1" applyBorder="1" applyAlignment="1">
      <alignment horizontal="center" vertical="center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5" borderId="13" xfId="0" applyNumberFormat="1" applyFont="1" applyFill="1" applyBorder="1" applyAlignment="1">
      <alignment horizontal="center" vertical="center" wrapText="1"/>
    </xf>
    <xf numFmtId="3" fontId="4" fillId="15" borderId="12" xfId="0" applyNumberFormat="1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3" fontId="4" fillId="17" borderId="13" xfId="0" applyNumberFormat="1" applyFont="1" applyFill="1" applyBorder="1" applyAlignment="1">
      <alignment horizontal="center" vertical="center" wrapText="1"/>
    </xf>
    <xf numFmtId="3" fontId="3" fillId="3" borderId="5" xfId="2" applyNumberFormat="1" applyFont="1" applyFill="1" applyBorder="1" applyAlignment="1">
      <alignment horizontal="center" vertical="center"/>
    </xf>
    <xf numFmtId="3" fontId="3" fillId="4" borderId="5" xfId="2" applyNumberFormat="1" applyFont="1" applyFill="1" applyBorder="1" applyAlignment="1">
      <alignment horizontal="center" vertical="center"/>
    </xf>
    <xf numFmtId="3" fontId="3" fillId="8" borderId="5" xfId="2" applyNumberFormat="1" applyFont="1" applyFill="1" applyBorder="1" applyAlignment="1">
      <alignment horizontal="center" vertical="center"/>
    </xf>
    <xf numFmtId="3" fontId="3" fillId="11" borderId="5" xfId="0" applyNumberFormat="1" applyFont="1" applyFill="1" applyBorder="1" applyAlignment="1">
      <alignment horizontal="center" vertical="center"/>
    </xf>
    <xf numFmtId="3" fontId="3" fillId="12" borderId="5" xfId="0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8" borderId="5" xfId="2" applyNumberFormat="1" applyFont="1" applyFill="1" applyBorder="1" applyAlignment="1">
      <alignment horizontal="center" vertical="center"/>
    </xf>
    <xf numFmtId="3" fontId="3" fillId="18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3" fontId="9" fillId="7" borderId="5" xfId="0" applyNumberFormat="1" applyFont="1" applyFill="1" applyBorder="1" applyAlignment="1">
      <alignment horizontal="center" vertical="center" wrapText="1"/>
    </xf>
    <xf numFmtId="3" fontId="3" fillId="14" borderId="5" xfId="0" applyNumberFormat="1" applyFont="1" applyFill="1" applyBorder="1" applyAlignment="1">
      <alignment horizontal="center" vertical="center" wrapText="1"/>
    </xf>
    <xf numFmtId="3" fontId="3" fillId="16" borderId="5" xfId="0" applyNumberFormat="1" applyFont="1" applyFill="1" applyBorder="1" applyAlignment="1">
      <alignment horizontal="center" vertical="center" wrapText="1"/>
    </xf>
    <xf numFmtId="3" fontId="3" fillId="18" borderId="5" xfId="0" applyNumberFormat="1" applyFont="1" applyFill="1" applyBorder="1" applyAlignment="1">
      <alignment horizontal="center" vertical="center" wrapText="1"/>
    </xf>
    <xf numFmtId="0" fontId="1" fillId="19" borderId="0" xfId="0" applyFont="1" applyFill="1" applyAlignment="1">
      <alignment wrapText="1"/>
    </xf>
    <xf numFmtId="0" fontId="3" fillId="20" borderId="0" xfId="2" applyFont="1" applyFill="1" applyAlignment="1">
      <alignment horizontal="center" vertical="center"/>
    </xf>
    <xf numFmtId="0" fontId="3" fillId="20" borderId="1" xfId="2" applyFont="1" applyFill="1" applyBorder="1" applyAlignment="1">
      <alignment horizontal="center" vertical="center"/>
    </xf>
    <xf numFmtId="0" fontId="3" fillId="20" borderId="0" xfId="2" applyFont="1" applyFill="1" applyAlignment="1">
      <alignment horizontal="center" vertical="center"/>
    </xf>
    <xf numFmtId="0" fontId="3" fillId="20" borderId="18" xfId="2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18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 wrapText="1"/>
    </xf>
    <xf numFmtId="0" fontId="6" fillId="20" borderId="9" xfId="0" applyFont="1" applyFill="1" applyBorder="1" applyAlignment="1">
      <alignment horizontal="center" textRotation="90" wrapText="1"/>
    </xf>
    <xf numFmtId="0" fontId="6" fillId="20" borderId="10" xfId="0" applyFont="1" applyFill="1" applyBorder="1" applyAlignment="1">
      <alignment horizontal="center" textRotation="90" wrapText="1"/>
    </xf>
    <xf numFmtId="0" fontId="6" fillId="20" borderId="11" xfId="0" applyFont="1" applyFill="1" applyBorder="1" applyAlignment="1">
      <alignment horizontal="center" textRotation="90" wrapText="1"/>
    </xf>
    <xf numFmtId="0" fontId="6" fillId="20" borderId="18" xfId="0" applyFont="1" applyFill="1" applyBorder="1" applyAlignment="1">
      <alignment horizontal="center" textRotation="90" wrapText="1"/>
    </xf>
    <xf numFmtId="0" fontId="6" fillId="20" borderId="3" xfId="0" applyFont="1" applyFill="1" applyBorder="1" applyAlignment="1">
      <alignment horizontal="center" textRotation="90" wrapText="1"/>
    </xf>
    <xf numFmtId="0" fontId="6" fillId="20" borderId="4" xfId="0" applyFont="1" applyFill="1" applyBorder="1" applyAlignment="1">
      <alignment horizontal="center" textRotation="90" wrapText="1"/>
    </xf>
    <xf numFmtId="0" fontId="6" fillId="20" borderId="21" xfId="0" applyFont="1" applyFill="1" applyBorder="1" applyAlignment="1">
      <alignment horizontal="center" textRotation="90" wrapText="1"/>
    </xf>
    <xf numFmtId="0" fontId="6" fillId="20" borderId="24" xfId="0" applyFont="1" applyFill="1" applyBorder="1" applyAlignment="1">
      <alignment horizontal="center" textRotation="90" wrapText="1"/>
    </xf>
    <xf numFmtId="0" fontId="6" fillId="20" borderId="25" xfId="0" applyFont="1" applyFill="1" applyBorder="1" applyAlignment="1">
      <alignment horizontal="center" textRotation="90" wrapText="1"/>
    </xf>
    <xf numFmtId="0" fontId="6" fillId="20" borderId="26" xfId="0" applyFont="1" applyFill="1" applyBorder="1" applyAlignment="1">
      <alignment horizontal="center" textRotation="90" wrapText="1"/>
    </xf>
    <xf numFmtId="0" fontId="6" fillId="20" borderId="27" xfId="0" applyFont="1" applyFill="1" applyBorder="1" applyAlignment="1">
      <alignment horizontal="center" textRotation="90" wrapText="1"/>
    </xf>
    <xf numFmtId="0" fontId="3" fillId="20" borderId="4" xfId="2" applyFont="1" applyFill="1" applyBorder="1" applyAlignment="1">
      <alignment horizontal="center" textRotation="90"/>
    </xf>
    <xf numFmtId="0" fontId="3" fillId="20" borderId="4" xfId="0" applyFont="1" applyFill="1" applyBorder="1" applyAlignment="1">
      <alignment horizontal="center" textRotation="90"/>
    </xf>
    <xf numFmtId="0" fontId="3" fillId="20" borderId="4" xfId="0" applyFont="1" applyFill="1" applyBorder="1" applyAlignment="1">
      <alignment horizontal="center" textRotation="90" wrapText="1"/>
    </xf>
    <xf numFmtId="0" fontId="3" fillId="20" borderId="26" xfId="2" applyFont="1" applyFill="1" applyBorder="1" applyAlignment="1">
      <alignment horizontal="center" textRotation="90"/>
    </xf>
    <xf numFmtId="0" fontId="3" fillId="20" borderId="26" xfId="0" applyFont="1" applyFill="1" applyBorder="1" applyAlignment="1">
      <alignment horizontal="center" textRotation="90"/>
    </xf>
    <xf numFmtId="0" fontId="3" fillId="20" borderId="26" xfId="0" applyFont="1" applyFill="1" applyBorder="1" applyAlignment="1">
      <alignment horizontal="center" textRotation="90" wrapText="1"/>
    </xf>
    <xf numFmtId="0" fontId="3" fillId="20" borderId="14" xfId="2" applyFont="1" applyFill="1" applyBorder="1" applyAlignment="1">
      <alignment horizontal="center" textRotation="90"/>
    </xf>
    <xf numFmtId="0" fontId="3" fillId="20" borderId="14" xfId="0" applyFont="1" applyFill="1" applyBorder="1" applyAlignment="1">
      <alignment horizontal="center" textRotation="90"/>
    </xf>
    <xf numFmtId="0" fontId="3" fillId="20" borderId="14" xfId="0" applyFont="1" applyFill="1" applyBorder="1" applyAlignment="1">
      <alignment horizontal="center" textRotation="90" wrapText="1"/>
    </xf>
    <xf numFmtId="0" fontId="10" fillId="19" borderId="4" xfId="0" applyFont="1" applyFill="1" applyBorder="1" applyAlignment="1">
      <alignment horizontal="center" textRotation="90" wrapText="1"/>
    </xf>
    <xf numFmtId="0" fontId="10" fillId="19" borderId="26" xfId="0" applyFont="1" applyFill="1" applyBorder="1" applyAlignment="1">
      <alignment horizontal="center" textRotation="90" wrapText="1"/>
    </xf>
    <xf numFmtId="0" fontId="10" fillId="19" borderId="14" xfId="0" applyFont="1" applyFill="1" applyBorder="1" applyAlignment="1">
      <alignment horizontal="center" textRotation="90" wrapText="1"/>
    </xf>
    <xf numFmtId="3" fontId="10" fillId="19" borderId="5" xfId="0" applyNumberFormat="1" applyFont="1" applyFill="1" applyBorder="1" applyAlignment="1">
      <alignment horizontal="center" vertical="center" wrapText="1"/>
    </xf>
    <xf numFmtId="9" fontId="10" fillId="19" borderId="5" xfId="1" applyFont="1" applyFill="1" applyBorder="1" applyAlignment="1">
      <alignment horizontal="center" vertical="center" wrapText="1"/>
    </xf>
    <xf numFmtId="3" fontId="3" fillId="19" borderId="5" xfId="0" applyNumberFormat="1" applyFont="1" applyFill="1" applyBorder="1" applyAlignment="1">
      <alignment horizontal="center" vertical="center" wrapText="1"/>
    </xf>
    <xf numFmtId="3" fontId="11" fillId="19" borderId="5" xfId="0" applyNumberFormat="1" applyFont="1" applyFill="1" applyBorder="1" applyAlignment="1">
      <alignment horizontal="center" vertical="center" wrapText="1"/>
    </xf>
    <xf numFmtId="169" fontId="11" fillId="19" borderId="5" xfId="1" applyNumberFormat="1" applyFont="1" applyFill="1" applyBorder="1" applyAlignment="1">
      <alignment horizontal="center" vertical="center" wrapText="1"/>
    </xf>
    <xf numFmtId="0" fontId="9" fillId="21" borderId="5" xfId="0" applyFont="1" applyFill="1" applyBorder="1" applyAlignment="1">
      <alignment horizontal="left" vertical="center" wrapText="1"/>
    </xf>
    <xf numFmtId="0" fontId="7" fillId="21" borderId="0" xfId="0" applyFont="1" applyFill="1" applyAlignment="1">
      <alignment horizontal="right" vertical="top" wrapText="1"/>
    </xf>
    <xf numFmtId="0" fontId="5" fillId="20" borderId="8" xfId="0" applyFont="1" applyFill="1" applyBorder="1" applyAlignment="1">
      <alignment wrapText="1"/>
    </xf>
    <xf numFmtId="3" fontId="7" fillId="19" borderId="0" xfId="0" applyNumberFormat="1" applyFont="1" applyFill="1" applyAlignment="1">
      <alignment horizontal="right" vertical="center" wrapText="1"/>
    </xf>
    <xf numFmtId="3" fontId="4" fillId="19" borderId="12" xfId="0" applyNumberFormat="1" applyFont="1" applyFill="1" applyBorder="1" applyAlignment="1">
      <alignment horizontal="center" vertical="center" wrapText="1"/>
    </xf>
    <xf numFmtId="3" fontId="4" fillId="19" borderId="13" xfId="0" applyNumberFormat="1" applyFont="1" applyFill="1" applyBorder="1" applyAlignment="1">
      <alignment horizontal="center" vertical="center" wrapText="1"/>
    </xf>
    <xf numFmtId="3" fontId="4" fillId="19" borderId="5" xfId="0" applyNumberFormat="1" applyFont="1" applyFill="1" applyBorder="1" applyAlignment="1">
      <alignment horizontal="center" vertical="center" wrapText="1"/>
    </xf>
    <xf numFmtId="3" fontId="3" fillId="19" borderId="5" xfId="2" applyNumberFormat="1" applyFont="1" applyFill="1" applyBorder="1" applyAlignment="1">
      <alignment horizontal="center" vertical="center"/>
    </xf>
    <xf numFmtId="3" fontId="3" fillId="19" borderId="5" xfId="0" applyNumberFormat="1" applyFont="1" applyFill="1" applyBorder="1" applyAlignment="1">
      <alignment horizontal="center" vertical="center"/>
    </xf>
    <xf numFmtId="0" fontId="8" fillId="20" borderId="14" xfId="0" applyFont="1" applyFill="1" applyBorder="1" applyAlignment="1">
      <alignment vertical="center" wrapText="1"/>
    </xf>
    <xf numFmtId="0" fontId="8" fillId="20" borderId="5" xfId="0" applyFont="1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4" fillId="19" borderId="6" xfId="0" applyFont="1" applyFill="1" applyBorder="1" applyAlignment="1">
      <alignment horizontal="center" vertical="center" wrapText="1"/>
    </xf>
    <xf numFmtId="0" fontId="4" fillId="19" borderId="7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17" xfId="0" applyFont="1" applyFill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23" xfId="0" applyFont="1" applyFill="1" applyBorder="1" applyAlignment="1">
      <alignment horizontal="center" vertical="center" wrapText="1"/>
    </xf>
    <xf numFmtId="0" fontId="4" fillId="19" borderId="22" xfId="0" applyFont="1" applyFill="1" applyBorder="1" applyAlignment="1">
      <alignment horizontal="center" vertical="center" wrapText="1"/>
    </xf>
  </cellXfs>
  <cellStyles count="3">
    <cellStyle name="Normal 2" xfId="2" xr:uid="{00000000-0005-0000-0000-000031000000}"/>
    <cellStyle name="Обычный" xfId="0" builtinId="0"/>
    <cellStyle name="Процентный" xfId="1" builtinId="5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  <cell r="IV7">
            <v>0.38</v>
          </cell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  <cell r="KG8">
            <v>9.4339622641509399E-2</v>
          </cell>
          <cell r="KH8">
            <v>9.4339622641509399E-2</v>
          </cell>
          <cell r="KI8">
            <v>9.4339622641509399E-2</v>
          </cell>
          <cell r="KJ8">
            <v>9.4339622641509399E-2</v>
          </cell>
          <cell r="KK8">
            <v>9.4339622641509399E-2</v>
          </cell>
          <cell r="KL8">
            <v>9.4339622641509399E-2</v>
          </cell>
          <cell r="KM8">
            <v>9.4339622641509399E-2</v>
          </cell>
          <cell r="KN8">
            <v>9.4339622641509399E-2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0.13157894736842099</v>
          </cell>
          <cell r="KW8">
            <v>0.116279069767442</v>
          </cell>
          <cell r="KX8">
            <v>0.116279069767442</v>
          </cell>
          <cell r="KY8">
            <v>0.13157894736842099</v>
          </cell>
          <cell r="KZ8">
            <v>0.13157894736842099</v>
          </cell>
          <cell r="LA8">
            <v>0.116279069767442</v>
          </cell>
          <cell r="LB8">
            <v>0.15151515151515199</v>
          </cell>
          <cell r="LC8">
            <v>0.15151515151515199</v>
          </cell>
          <cell r="LD8">
            <v>0.15151515151515199</v>
          </cell>
          <cell r="LE8">
            <v>0.15151515151515199</v>
          </cell>
          <cell r="LF8">
            <v>0.13157894736842099</v>
          </cell>
          <cell r="LG8">
            <v>0.13157894736842099</v>
          </cell>
          <cell r="LH8">
            <v>0.13157894736842099</v>
          </cell>
          <cell r="LI8">
            <v>0.15151515151515199</v>
          </cell>
          <cell r="LJ8">
            <v>0.13157894736842099</v>
          </cell>
          <cell r="LK8">
            <v>0.13157894736842099</v>
          </cell>
          <cell r="LL8">
            <v>0.13157894736842099</v>
          </cell>
          <cell r="LM8">
            <v>0.13157894736842099</v>
          </cell>
          <cell r="LN8" t="str">
            <v/>
          </cell>
          <cell r="LO8" t="str">
            <v/>
          </cell>
          <cell r="LP8">
            <v>0.13157894736842099</v>
          </cell>
          <cell r="LQ8" t="str">
            <v/>
          </cell>
          <cell r="LR8">
            <v>0.13157894736842099</v>
          </cell>
          <cell r="LS8">
            <v>0.13157894736842099</v>
          </cell>
          <cell r="LT8">
            <v>0.13157894736842099</v>
          </cell>
          <cell r="LU8">
            <v>0.13157894736842099</v>
          </cell>
          <cell r="LV8">
            <v>0.13157894736842099</v>
          </cell>
          <cell r="LW8">
            <v>0.13157894736842099</v>
          </cell>
          <cell r="LX8">
            <v>0.13157894736842099</v>
          </cell>
          <cell r="LY8">
            <v>0.13157894736842099</v>
          </cell>
          <cell r="LZ8">
            <v>0.13157894736842099</v>
          </cell>
          <cell r="MA8">
            <v>0.13157894736842099</v>
          </cell>
          <cell r="MB8">
            <v>0.13157894736842099</v>
          </cell>
          <cell r="MC8">
            <v>0.13157894736842099</v>
          </cell>
          <cell r="MD8">
            <v>0.13157894736842099</v>
          </cell>
          <cell r="ME8">
            <v>0.11111111111111099</v>
          </cell>
          <cell r="MF8">
            <v>0.11111111111111099</v>
          </cell>
          <cell r="MG8">
            <v>0.11111111111111099</v>
          </cell>
          <cell r="MH8">
            <v>0.11111111111111099</v>
          </cell>
          <cell r="MI8">
            <v>0.11111111111111099</v>
          </cell>
          <cell r="MJ8">
            <v>0.11111111111111099</v>
          </cell>
          <cell r="MK8">
            <v>0.11111111111111099</v>
          </cell>
          <cell r="ML8">
            <v>0.11111111111111099</v>
          </cell>
          <cell r="MM8">
            <v>0.11111111111111099</v>
          </cell>
          <cell r="MN8">
            <v>0.11111111111111099</v>
          </cell>
          <cell r="MO8">
            <v>0.11111111111111099</v>
          </cell>
          <cell r="MP8">
            <v>0.11111111111111099</v>
          </cell>
          <cell r="MQ8">
            <v>0.11111111111111099</v>
          </cell>
          <cell r="MR8">
            <v>0.11111111111111099</v>
          </cell>
          <cell r="MS8">
            <v>0.11111111111111099</v>
          </cell>
          <cell r="MT8">
            <v>0.11111111111111099</v>
          </cell>
          <cell r="MU8">
            <v>0.11111111111111099</v>
          </cell>
          <cell r="MV8">
            <v>0.11111111111111099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  <cell r="KG9">
            <v>3.77358490566038E-2</v>
          </cell>
          <cell r="KH9">
            <v>3.77358490566038E-2</v>
          </cell>
          <cell r="KI9">
            <v>3.77358490566038E-2</v>
          </cell>
          <cell r="KJ9">
            <v>3.77358490566038E-2</v>
          </cell>
          <cell r="KK9">
            <v>3.77358490566038E-2</v>
          </cell>
          <cell r="KL9">
            <v>3.77358490566038E-2</v>
          </cell>
          <cell r="KM9">
            <v>3.77358490566038E-2</v>
          </cell>
          <cell r="KN9">
            <v>3.77358490566038E-2</v>
          </cell>
          <cell r="KO9">
            <v>4.6511627906976702E-2</v>
          </cell>
          <cell r="KP9">
            <v>4.6511627906976702E-2</v>
          </cell>
          <cell r="KQ9">
            <v>4.6511627906976702E-2</v>
          </cell>
          <cell r="KR9">
            <v>4.6511627906976702E-2</v>
          </cell>
          <cell r="KS9">
            <v>4.6511627906976702E-2</v>
          </cell>
          <cell r="KT9">
            <v>4.6511627906976702E-2</v>
          </cell>
          <cell r="KU9">
            <v>4.6511627906976702E-2</v>
          </cell>
          <cell r="KV9">
            <v>5.2631578947368397E-2</v>
          </cell>
          <cell r="KW9">
            <v>4.6511627906976702E-2</v>
          </cell>
          <cell r="KX9">
            <v>4.6511627906976702E-2</v>
          </cell>
          <cell r="KY9">
            <v>5.2631578947368397E-2</v>
          </cell>
          <cell r="KZ9">
            <v>5.2631578947368397E-2</v>
          </cell>
          <cell r="LA9">
            <v>4.6511627906976702E-2</v>
          </cell>
          <cell r="LB9">
            <v>6.0606060606060601E-2</v>
          </cell>
          <cell r="LC9">
            <v>6.0606060606060601E-2</v>
          </cell>
          <cell r="LD9">
            <v>6.0606060606060601E-2</v>
          </cell>
          <cell r="LE9">
            <v>6.0606060606060601E-2</v>
          </cell>
          <cell r="LF9">
            <v>5.2631578947368397E-2</v>
          </cell>
          <cell r="LG9">
            <v>5.2631578947368397E-2</v>
          </cell>
          <cell r="LH9">
            <v>5.2631578947368397E-2</v>
          </cell>
          <cell r="LI9">
            <v>6.0606060606060601E-2</v>
          </cell>
          <cell r="LJ9">
            <v>5.2631578947368397E-2</v>
          </cell>
          <cell r="LK9">
            <v>5.2631578947368397E-2</v>
          </cell>
          <cell r="LL9">
            <v>5.2631578947368397E-2</v>
          </cell>
          <cell r="LM9">
            <v>5.2631578947368397E-2</v>
          </cell>
          <cell r="LN9" t="str">
            <v/>
          </cell>
          <cell r="LO9" t="str">
            <v/>
          </cell>
          <cell r="LP9">
            <v>5.2631578947368397E-2</v>
          </cell>
          <cell r="LQ9" t="str">
            <v/>
          </cell>
          <cell r="LR9">
            <v>5.2631578947368397E-2</v>
          </cell>
          <cell r="LS9">
            <v>5.2631578947368397E-2</v>
          </cell>
          <cell r="LT9">
            <v>5.2631578947368397E-2</v>
          </cell>
          <cell r="LU9">
            <v>5.2631578947368397E-2</v>
          </cell>
          <cell r="LV9">
            <v>5.2631578947368397E-2</v>
          </cell>
          <cell r="LW9">
            <v>5.2631578947368397E-2</v>
          </cell>
          <cell r="LX9">
            <v>5.2631578947368397E-2</v>
          </cell>
          <cell r="LY9">
            <v>5.2631578947368397E-2</v>
          </cell>
          <cell r="LZ9">
            <v>5.2631578947368397E-2</v>
          </cell>
          <cell r="MA9">
            <v>5.2631578947368397E-2</v>
          </cell>
          <cell r="MB9">
            <v>5.2631578947368397E-2</v>
          </cell>
          <cell r="MC9">
            <v>5.2631578947368397E-2</v>
          </cell>
          <cell r="MD9">
            <v>5.2631578947368397E-2</v>
          </cell>
          <cell r="ME9">
            <v>4.4444444444444398E-2</v>
          </cell>
          <cell r="MF9">
            <v>4.4444444444444398E-2</v>
          </cell>
          <cell r="MG9">
            <v>4.4444444444444398E-2</v>
          </cell>
          <cell r="MH9">
            <v>4.4444444444444398E-2</v>
          </cell>
          <cell r="MI9">
            <v>4.4444444444444398E-2</v>
          </cell>
          <cell r="MJ9">
            <v>4.4444444444444398E-2</v>
          </cell>
          <cell r="MK9">
            <v>4.4444444444444398E-2</v>
          </cell>
          <cell r="ML9">
            <v>4.4444444444444398E-2</v>
          </cell>
          <cell r="MM9">
            <v>4.4444444444444398E-2</v>
          </cell>
          <cell r="MN9">
            <v>4.4444444444444398E-2</v>
          </cell>
          <cell r="MO9">
            <v>4.4444444444444398E-2</v>
          </cell>
          <cell r="MP9">
            <v>4.4444444444444398E-2</v>
          </cell>
          <cell r="MQ9">
            <v>4.4444444444444398E-2</v>
          </cell>
          <cell r="MR9">
            <v>4.4444444444444398E-2</v>
          </cell>
          <cell r="MS9">
            <v>4.4444444444444398E-2</v>
          </cell>
          <cell r="MT9">
            <v>4.4444444444444398E-2</v>
          </cell>
          <cell r="MU9">
            <v>4.4444444444444398E-2</v>
          </cell>
          <cell r="MV9">
            <v>4.4444444444444398E-2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  <cell r="KG10">
            <v>3.77358490566038E-2</v>
          </cell>
          <cell r="KH10">
            <v>3.77358490566038E-2</v>
          </cell>
          <cell r="KI10">
            <v>3.77358490566038E-2</v>
          </cell>
          <cell r="KJ10">
            <v>3.77358490566038E-2</v>
          </cell>
          <cell r="KK10">
            <v>3.77358490566038E-2</v>
          </cell>
          <cell r="KL10">
            <v>3.77358490566038E-2</v>
          </cell>
          <cell r="KM10">
            <v>3.77358490566038E-2</v>
          </cell>
          <cell r="KN10">
            <v>3.77358490566038E-2</v>
          </cell>
          <cell r="KO10">
            <v>4.6511627906976702E-2</v>
          </cell>
          <cell r="KP10">
            <v>4.6511627906976702E-2</v>
          </cell>
          <cell r="KQ10">
            <v>4.6511627906976702E-2</v>
          </cell>
          <cell r="KR10">
            <v>4.6511627906976702E-2</v>
          </cell>
          <cell r="KS10">
            <v>4.6511627906976702E-2</v>
          </cell>
          <cell r="KT10">
            <v>4.6511627906976702E-2</v>
          </cell>
          <cell r="KU10">
            <v>4.6511627906976702E-2</v>
          </cell>
          <cell r="KV10">
            <v>5.2631578947368397E-2</v>
          </cell>
          <cell r="KW10">
            <v>4.6511627906976702E-2</v>
          </cell>
          <cell r="KX10">
            <v>4.6511627906976702E-2</v>
          </cell>
          <cell r="KY10">
            <v>5.2631578947368397E-2</v>
          </cell>
          <cell r="KZ10">
            <v>5.2631578947368397E-2</v>
          </cell>
          <cell r="LA10">
            <v>4.6511627906976702E-2</v>
          </cell>
          <cell r="LB10">
            <v>6.0606060606060601E-2</v>
          </cell>
          <cell r="LC10">
            <v>6.0606060606060601E-2</v>
          </cell>
          <cell r="LD10">
            <v>6.0606060606060601E-2</v>
          </cell>
          <cell r="LE10">
            <v>6.0606060606060601E-2</v>
          </cell>
          <cell r="LF10">
            <v>5.2631578947368397E-2</v>
          </cell>
          <cell r="LG10">
            <v>5.2631578947368397E-2</v>
          </cell>
          <cell r="LH10">
            <v>5.2631578947368397E-2</v>
          </cell>
          <cell r="LI10">
            <v>6.0606060606060601E-2</v>
          </cell>
          <cell r="LJ10">
            <v>5.2631578947368397E-2</v>
          </cell>
          <cell r="LK10">
            <v>5.2631578947368397E-2</v>
          </cell>
          <cell r="LL10">
            <v>5.2631578947368397E-2</v>
          </cell>
          <cell r="LM10">
            <v>5.2631578947368397E-2</v>
          </cell>
          <cell r="LN10" t="str">
            <v/>
          </cell>
          <cell r="LO10" t="str">
            <v/>
          </cell>
          <cell r="LP10">
            <v>5.2631578947368397E-2</v>
          </cell>
          <cell r="LQ10" t="str">
            <v/>
          </cell>
          <cell r="LR10">
            <v>5.2631578947368397E-2</v>
          </cell>
          <cell r="LS10">
            <v>5.2631578947368397E-2</v>
          </cell>
          <cell r="LT10">
            <v>5.2631578947368397E-2</v>
          </cell>
          <cell r="LU10">
            <v>5.2631578947368397E-2</v>
          </cell>
          <cell r="LV10">
            <v>5.2631578947368397E-2</v>
          </cell>
          <cell r="LW10">
            <v>5.2631578947368397E-2</v>
          </cell>
          <cell r="LX10">
            <v>5.2631578947368397E-2</v>
          </cell>
          <cell r="LY10">
            <v>5.2631578947368397E-2</v>
          </cell>
          <cell r="LZ10">
            <v>5.2631578947368397E-2</v>
          </cell>
          <cell r="MA10">
            <v>5.2631578947368397E-2</v>
          </cell>
          <cell r="MB10">
            <v>5.2631578947368397E-2</v>
          </cell>
          <cell r="MC10">
            <v>5.2631578947368397E-2</v>
          </cell>
          <cell r="MD10">
            <v>5.2631578947368397E-2</v>
          </cell>
          <cell r="ME10">
            <v>4.4444444444444398E-2</v>
          </cell>
          <cell r="MF10">
            <v>4.4444444444444398E-2</v>
          </cell>
          <cell r="MG10">
            <v>4.4444444444444398E-2</v>
          </cell>
          <cell r="MH10">
            <v>4.4444444444444398E-2</v>
          </cell>
          <cell r="MI10">
            <v>4.4444444444444398E-2</v>
          </cell>
          <cell r="MJ10">
            <v>4.4444444444444398E-2</v>
          </cell>
          <cell r="MK10">
            <v>4.4444444444444398E-2</v>
          </cell>
          <cell r="ML10">
            <v>4.4444444444444398E-2</v>
          </cell>
          <cell r="MM10">
            <v>4.4444444444444398E-2</v>
          </cell>
          <cell r="MN10">
            <v>4.4444444444444398E-2</v>
          </cell>
          <cell r="MO10">
            <v>4.4444444444444398E-2</v>
          </cell>
          <cell r="MP10">
            <v>4.4444444444444398E-2</v>
          </cell>
          <cell r="MQ10">
            <v>4.4444444444444398E-2</v>
          </cell>
          <cell r="MR10">
            <v>4.4444444444444398E-2</v>
          </cell>
          <cell r="MS10">
            <v>4.4444444444444398E-2</v>
          </cell>
          <cell r="MT10">
            <v>4.4444444444444398E-2</v>
          </cell>
          <cell r="MU10">
            <v>4.4444444444444398E-2</v>
          </cell>
          <cell r="MV10">
            <v>4.4444444444444398E-2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  <cell r="KG11">
            <v>3.77358490566038E-2</v>
          </cell>
          <cell r="KH11">
            <v>3.77358490566038E-2</v>
          </cell>
          <cell r="KI11">
            <v>3.77358490566038E-2</v>
          </cell>
          <cell r="KJ11">
            <v>3.77358490566038E-2</v>
          </cell>
          <cell r="KK11">
            <v>3.77358490566038E-2</v>
          </cell>
          <cell r="KL11">
            <v>3.77358490566038E-2</v>
          </cell>
          <cell r="KM11">
            <v>3.77358490566038E-2</v>
          </cell>
          <cell r="KN11">
            <v>3.77358490566038E-2</v>
          </cell>
          <cell r="KO11">
            <v>4.6511627906976702E-2</v>
          </cell>
          <cell r="KP11">
            <v>4.6511627906976702E-2</v>
          </cell>
          <cell r="KQ11">
            <v>4.6511627906976702E-2</v>
          </cell>
          <cell r="KR11">
            <v>4.6511627906976702E-2</v>
          </cell>
          <cell r="KS11">
            <v>4.6511627906976702E-2</v>
          </cell>
          <cell r="KT11">
            <v>4.6511627906976702E-2</v>
          </cell>
          <cell r="KU11">
            <v>4.6511627906976702E-2</v>
          </cell>
          <cell r="KV11">
            <v>5.2631578947368397E-2</v>
          </cell>
          <cell r="KW11">
            <v>4.6511627906976702E-2</v>
          </cell>
          <cell r="KX11">
            <v>4.6511627906976702E-2</v>
          </cell>
          <cell r="KY11">
            <v>5.2631578947368397E-2</v>
          </cell>
          <cell r="KZ11">
            <v>5.2631578947368397E-2</v>
          </cell>
          <cell r="LA11">
            <v>4.6511627906976702E-2</v>
          </cell>
          <cell r="LB11">
            <v>6.0606060606060601E-2</v>
          </cell>
          <cell r="LC11">
            <v>6.0606060606060601E-2</v>
          </cell>
          <cell r="LD11">
            <v>6.0606060606060601E-2</v>
          </cell>
          <cell r="LE11">
            <v>6.0606060606060601E-2</v>
          </cell>
          <cell r="LF11">
            <v>5.2631578947368397E-2</v>
          </cell>
          <cell r="LG11">
            <v>5.2631578947368397E-2</v>
          </cell>
          <cell r="LH11">
            <v>5.2631578947368397E-2</v>
          </cell>
          <cell r="LI11">
            <v>6.0606060606060601E-2</v>
          </cell>
          <cell r="LJ11">
            <v>5.2631578947368397E-2</v>
          </cell>
          <cell r="LK11">
            <v>5.2631578947368397E-2</v>
          </cell>
          <cell r="LL11">
            <v>5.2631578947368397E-2</v>
          </cell>
          <cell r="LM11">
            <v>5.2631578947368397E-2</v>
          </cell>
          <cell r="LN11" t="str">
            <v/>
          </cell>
          <cell r="LO11" t="str">
            <v/>
          </cell>
          <cell r="LP11">
            <v>5.2631578947368397E-2</v>
          </cell>
          <cell r="LQ11" t="str">
            <v/>
          </cell>
          <cell r="LR11">
            <v>5.2631578947368397E-2</v>
          </cell>
          <cell r="LS11">
            <v>5.2631578947368397E-2</v>
          </cell>
          <cell r="LT11">
            <v>5.2631578947368397E-2</v>
          </cell>
          <cell r="LU11">
            <v>5.2631578947368397E-2</v>
          </cell>
          <cell r="LV11">
            <v>5.2631578947368397E-2</v>
          </cell>
          <cell r="LW11">
            <v>5.2631578947368397E-2</v>
          </cell>
          <cell r="LX11">
            <v>5.2631578947368397E-2</v>
          </cell>
          <cell r="LY11">
            <v>5.2631578947368397E-2</v>
          </cell>
          <cell r="LZ11">
            <v>5.2631578947368397E-2</v>
          </cell>
          <cell r="MA11">
            <v>5.2631578947368397E-2</v>
          </cell>
          <cell r="MB11">
            <v>5.2631578947368397E-2</v>
          </cell>
          <cell r="MC11">
            <v>5.2631578947368397E-2</v>
          </cell>
          <cell r="MD11">
            <v>5.2631578947368397E-2</v>
          </cell>
          <cell r="ME11">
            <v>4.4444444444444398E-2</v>
          </cell>
          <cell r="MF11">
            <v>4.4444444444444398E-2</v>
          </cell>
          <cell r="MG11">
            <v>4.4444444444444398E-2</v>
          </cell>
          <cell r="MH11">
            <v>4.4444444444444398E-2</v>
          </cell>
          <cell r="MI11">
            <v>4.4444444444444398E-2</v>
          </cell>
          <cell r="MJ11">
            <v>4.4444444444444398E-2</v>
          </cell>
          <cell r="MK11">
            <v>4.4444444444444398E-2</v>
          </cell>
          <cell r="ML11">
            <v>4.4444444444444398E-2</v>
          </cell>
          <cell r="MM11">
            <v>4.4444444444444398E-2</v>
          </cell>
          <cell r="MN11">
            <v>4.4444444444444398E-2</v>
          </cell>
          <cell r="MO11">
            <v>4.4444444444444398E-2</v>
          </cell>
          <cell r="MP11">
            <v>4.4444444444444398E-2</v>
          </cell>
          <cell r="MQ11">
            <v>4.4444444444444398E-2</v>
          </cell>
          <cell r="MR11">
            <v>4.4444444444444398E-2</v>
          </cell>
          <cell r="MS11">
            <v>4.4444444444444398E-2</v>
          </cell>
          <cell r="MT11">
            <v>4.4444444444444398E-2</v>
          </cell>
          <cell r="MU11">
            <v>4.4444444444444398E-2</v>
          </cell>
          <cell r="MV11">
            <v>4.4444444444444398E-2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  <cell r="KG12">
            <v>3.77358490566038E-2</v>
          </cell>
          <cell r="KH12">
            <v>3.77358490566038E-2</v>
          </cell>
          <cell r="KI12">
            <v>3.77358490566038E-2</v>
          </cell>
          <cell r="KJ12">
            <v>3.77358490566038E-2</v>
          </cell>
          <cell r="KK12">
            <v>3.77358490566038E-2</v>
          </cell>
          <cell r="KL12">
            <v>3.77358490566038E-2</v>
          </cell>
          <cell r="KM12">
            <v>3.77358490566038E-2</v>
          </cell>
          <cell r="KN12">
            <v>3.77358490566038E-2</v>
          </cell>
          <cell r="KO12">
            <v>4.6511627906976702E-2</v>
          </cell>
          <cell r="KP12">
            <v>4.6511627906976702E-2</v>
          </cell>
          <cell r="KQ12">
            <v>4.6511627906976702E-2</v>
          </cell>
          <cell r="KR12">
            <v>4.6511627906976702E-2</v>
          </cell>
          <cell r="KS12">
            <v>4.6511627906976702E-2</v>
          </cell>
          <cell r="KT12">
            <v>4.6511627906976702E-2</v>
          </cell>
          <cell r="KU12">
            <v>4.6511627906976702E-2</v>
          </cell>
          <cell r="KV12">
            <v>5.2631578947368397E-2</v>
          </cell>
          <cell r="KW12">
            <v>4.6511627906976702E-2</v>
          </cell>
          <cell r="KX12">
            <v>4.6511627906976702E-2</v>
          </cell>
          <cell r="KY12">
            <v>5.2631578947368397E-2</v>
          </cell>
          <cell r="KZ12">
            <v>5.2631578947368397E-2</v>
          </cell>
          <cell r="LA12">
            <v>4.6511627906976702E-2</v>
          </cell>
          <cell r="LB12">
            <v>6.0606060606060601E-2</v>
          </cell>
          <cell r="LC12">
            <v>6.0606060606060601E-2</v>
          </cell>
          <cell r="LD12">
            <v>6.0606060606060601E-2</v>
          </cell>
          <cell r="LE12">
            <v>6.0606060606060601E-2</v>
          </cell>
          <cell r="LF12">
            <v>5.2631578947368397E-2</v>
          </cell>
          <cell r="LG12">
            <v>5.2631578947368397E-2</v>
          </cell>
          <cell r="LH12">
            <v>5.2631578947368397E-2</v>
          </cell>
          <cell r="LI12">
            <v>6.0606060606060601E-2</v>
          </cell>
          <cell r="LJ12">
            <v>5.2631578947368397E-2</v>
          </cell>
          <cell r="LK12">
            <v>5.2631578947368397E-2</v>
          </cell>
          <cell r="LL12">
            <v>5.2631578947368397E-2</v>
          </cell>
          <cell r="LM12">
            <v>5.2631578947368397E-2</v>
          </cell>
          <cell r="LN12" t="str">
            <v/>
          </cell>
          <cell r="LO12" t="str">
            <v/>
          </cell>
          <cell r="LP12">
            <v>5.2631578947368397E-2</v>
          </cell>
          <cell r="LQ12" t="str">
            <v/>
          </cell>
          <cell r="LR12">
            <v>5.2631578947368397E-2</v>
          </cell>
          <cell r="LS12">
            <v>5.2631578947368397E-2</v>
          </cell>
          <cell r="LT12">
            <v>5.2631578947368397E-2</v>
          </cell>
          <cell r="LU12">
            <v>5.2631578947368397E-2</v>
          </cell>
          <cell r="LV12">
            <v>5.2631578947368397E-2</v>
          </cell>
          <cell r="LW12">
            <v>5.2631578947368397E-2</v>
          </cell>
          <cell r="LX12">
            <v>5.2631578947368397E-2</v>
          </cell>
          <cell r="LY12">
            <v>5.2631578947368397E-2</v>
          </cell>
          <cell r="LZ12">
            <v>5.2631578947368397E-2</v>
          </cell>
          <cell r="MA12">
            <v>5.2631578947368397E-2</v>
          </cell>
          <cell r="MB12">
            <v>5.2631578947368397E-2</v>
          </cell>
          <cell r="MC12">
            <v>5.2631578947368397E-2</v>
          </cell>
          <cell r="MD12">
            <v>5.2631578947368397E-2</v>
          </cell>
          <cell r="ME12">
            <v>4.4444444444444398E-2</v>
          </cell>
          <cell r="MF12">
            <v>4.4444444444444398E-2</v>
          </cell>
          <cell r="MG12">
            <v>4.4444444444444398E-2</v>
          </cell>
          <cell r="MH12">
            <v>4.4444444444444398E-2</v>
          </cell>
          <cell r="MI12">
            <v>4.4444444444444398E-2</v>
          </cell>
          <cell r="MJ12">
            <v>4.4444444444444398E-2</v>
          </cell>
          <cell r="MK12">
            <v>4.4444444444444398E-2</v>
          </cell>
          <cell r="ML12">
            <v>4.4444444444444398E-2</v>
          </cell>
          <cell r="MM12">
            <v>4.4444444444444398E-2</v>
          </cell>
          <cell r="MN12">
            <v>4.4444444444444398E-2</v>
          </cell>
          <cell r="MO12">
            <v>4.4444444444444398E-2</v>
          </cell>
          <cell r="MP12">
            <v>4.4444444444444398E-2</v>
          </cell>
          <cell r="MQ12">
            <v>4.4444444444444398E-2</v>
          </cell>
          <cell r="MR12">
            <v>4.4444444444444398E-2</v>
          </cell>
          <cell r="MS12">
            <v>4.4444444444444398E-2</v>
          </cell>
          <cell r="MT12">
            <v>4.4444444444444398E-2</v>
          </cell>
          <cell r="MU12">
            <v>4.4444444444444398E-2</v>
          </cell>
          <cell r="MV12">
            <v>4.4444444444444398E-2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  <cell r="KG13">
            <v>9.4339622641509399E-2</v>
          </cell>
          <cell r="KH13">
            <v>9.4339622641509399E-2</v>
          </cell>
          <cell r="KI13">
            <v>9.4339622641509399E-2</v>
          </cell>
          <cell r="KJ13">
            <v>9.4339622641509399E-2</v>
          </cell>
          <cell r="KK13">
            <v>9.4339622641509399E-2</v>
          </cell>
          <cell r="KL13">
            <v>9.4339622641509399E-2</v>
          </cell>
          <cell r="KM13">
            <v>9.4339622641509399E-2</v>
          </cell>
          <cell r="KN13">
            <v>9.4339622641509399E-2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0.13157894736842099</v>
          </cell>
          <cell r="KW13">
            <v>0.116279069767442</v>
          </cell>
          <cell r="KX13">
            <v>0.116279069767442</v>
          </cell>
          <cell r="KY13">
            <v>0.13157894736842099</v>
          </cell>
          <cell r="KZ13">
            <v>0.13157894736842099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0.13157894736842099</v>
          </cell>
          <cell r="MC13">
            <v>0.13157894736842099</v>
          </cell>
          <cell r="MD13">
            <v>0.13157894736842099</v>
          </cell>
          <cell r="ME13">
            <v>0.11111111111111099</v>
          </cell>
          <cell r="MF13">
            <v>0.11111111111111099</v>
          </cell>
          <cell r="MG13">
            <v>0.11111111111111099</v>
          </cell>
          <cell r="MH13">
            <v>0.11111111111111099</v>
          </cell>
          <cell r="MI13">
            <v>0.11111111111111099</v>
          </cell>
          <cell r="MJ13">
            <v>0.11111111111111099</v>
          </cell>
          <cell r="MK13">
            <v>0.11111111111111099</v>
          </cell>
          <cell r="ML13">
            <v>0.11111111111111099</v>
          </cell>
          <cell r="MM13">
            <v>0.11111111111111099</v>
          </cell>
          <cell r="MN13">
            <v>0.11111111111111099</v>
          </cell>
          <cell r="MO13">
            <v>0.11111111111111099</v>
          </cell>
          <cell r="MP13">
            <v>0.11111111111111099</v>
          </cell>
          <cell r="MQ13">
            <v>0.11111111111111099</v>
          </cell>
          <cell r="MR13">
            <v>0.11111111111111099</v>
          </cell>
          <cell r="MS13">
            <v>0.11111111111111099</v>
          </cell>
          <cell r="MT13">
            <v>0.11111111111111099</v>
          </cell>
          <cell r="MU13">
            <v>0.11111111111111099</v>
          </cell>
          <cell r="MV13">
            <v>0.11111111111111099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  <cell r="KG14">
            <v>0.18867924528301899</v>
          </cell>
          <cell r="KH14">
            <v>0.18867924528301899</v>
          </cell>
          <cell r="KI14">
            <v>0.18867924528301899</v>
          </cell>
          <cell r="KJ14">
            <v>0.18867924528301899</v>
          </cell>
          <cell r="KK14">
            <v>0.18867924528301899</v>
          </cell>
          <cell r="KL14">
            <v>0.18867924528301899</v>
          </cell>
          <cell r="KM14">
            <v>0.18867924528301899</v>
          </cell>
          <cell r="KN14">
            <v>0.18867924528301899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0.26315789473684198</v>
          </cell>
          <cell r="KW14">
            <v>0.232558139534884</v>
          </cell>
          <cell r="KX14">
            <v>0.232558139534884</v>
          </cell>
          <cell r="KY14">
            <v>0.26315789473684198</v>
          </cell>
          <cell r="KZ14">
            <v>0.26315789473684198</v>
          </cell>
          <cell r="LA14">
            <v>0.232558139534884</v>
          </cell>
          <cell r="LB14">
            <v>0.30303030303030298</v>
          </cell>
          <cell r="LC14">
            <v>0.30303030303030298</v>
          </cell>
          <cell r="LD14">
            <v>0.30303030303030298</v>
          </cell>
          <cell r="LE14">
            <v>0.30303030303030298</v>
          </cell>
          <cell r="LF14">
            <v>0.26315789473684198</v>
          </cell>
          <cell r="LG14">
            <v>0.26315789473684198</v>
          </cell>
          <cell r="LH14">
            <v>0.26315789473684198</v>
          </cell>
          <cell r="LI14">
            <v>0.30303030303030298</v>
          </cell>
          <cell r="LJ14">
            <v>0.26315789473684198</v>
          </cell>
          <cell r="LK14">
            <v>0.26315789473684198</v>
          </cell>
          <cell r="LL14">
            <v>0.26315789473684198</v>
          </cell>
          <cell r="LM14">
            <v>0.26315789473684198</v>
          </cell>
          <cell r="LN14" t="str">
            <v/>
          </cell>
          <cell r="LO14" t="str">
            <v/>
          </cell>
          <cell r="LP14">
            <v>0.26315789473684198</v>
          </cell>
          <cell r="LQ14" t="str">
            <v/>
          </cell>
          <cell r="LR14">
            <v>0.26315789473684198</v>
          </cell>
          <cell r="LS14">
            <v>0.26315789473684198</v>
          </cell>
          <cell r="LT14">
            <v>0.26315789473684198</v>
          </cell>
          <cell r="LU14">
            <v>0.26315789473684198</v>
          </cell>
          <cell r="LV14">
            <v>0.26315789473684198</v>
          </cell>
          <cell r="LW14">
            <v>0.26315789473684198</v>
          </cell>
          <cell r="LX14">
            <v>0.26315789473684198</v>
          </cell>
          <cell r="LY14">
            <v>0.26315789473684198</v>
          </cell>
          <cell r="LZ14">
            <v>0.26315789473684198</v>
          </cell>
          <cell r="MA14">
            <v>0.26315789473684198</v>
          </cell>
          <cell r="MB14">
            <v>0.26315789473684198</v>
          </cell>
          <cell r="MC14">
            <v>0.26315789473684198</v>
          </cell>
          <cell r="MD14">
            <v>0.26315789473684198</v>
          </cell>
          <cell r="ME14">
            <v>0.22222222222222199</v>
          </cell>
          <cell r="MF14">
            <v>0.22222222222222199</v>
          </cell>
          <cell r="MG14">
            <v>0.22222222222222199</v>
          </cell>
          <cell r="MH14">
            <v>0.22222222222222199</v>
          </cell>
          <cell r="MI14">
            <v>0.22222222222222199</v>
          </cell>
          <cell r="MJ14">
            <v>0.22222222222222199</v>
          </cell>
          <cell r="MK14">
            <v>0.22222222222222199</v>
          </cell>
          <cell r="ML14">
            <v>0.22222222222222199</v>
          </cell>
          <cell r="MM14">
            <v>0.22222222222222199</v>
          </cell>
          <cell r="MN14">
            <v>0.22222222222222199</v>
          </cell>
          <cell r="MO14">
            <v>0.22222222222222199</v>
          </cell>
          <cell r="MP14">
            <v>0.22222222222222199</v>
          </cell>
          <cell r="MQ14">
            <v>0.22222222222222199</v>
          </cell>
          <cell r="MR14">
            <v>0.22222222222222199</v>
          </cell>
          <cell r="MS14">
            <v>0.22222222222222199</v>
          </cell>
          <cell r="MT14">
            <v>0.22222222222222199</v>
          </cell>
          <cell r="MU14">
            <v>0.22222222222222199</v>
          </cell>
          <cell r="MV14">
            <v>0.22222222222222199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4.4444444444444398E-2</v>
          </cell>
          <cell r="MF15">
            <v>4.4444444444444398E-2</v>
          </cell>
          <cell r="MG15">
            <v>4.4444444444444398E-2</v>
          </cell>
          <cell r="MH15">
            <v>4.4444444444444398E-2</v>
          </cell>
          <cell r="MI15">
            <v>4.4444444444444398E-2</v>
          </cell>
          <cell r="MJ15">
            <v>4.4444444444444398E-2</v>
          </cell>
          <cell r="MK15">
            <v>4.4444444444444398E-2</v>
          </cell>
          <cell r="ML15">
            <v>4.4444444444444398E-2</v>
          </cell>
          <cell r="MM15">
            <v>4.4444444444444398E-2</v>
          </cell>
          <cell r="MN15">
            <v>4.4444444444444398E-2</v>
          </cell>
          <cell r="MO15">
            <v>4.4444444444444398E-2</v>
          </cell>
          <cell r="MP15">
            <v>4.4444444444444398E-2</v>
          </cell>
          <cell r="MQ15">
            <v>4.4444444444444398E-2</v>
          </cell>
          <cell r="MR15">
            <v>4.4444444444444398E-2</v>
          </cell>
          <cell r="MS15">
            <v>4.4444444444444398E-2</v>
          </cell>
          <cell r="MT15">
            <v>4.4444444444444398E-2</v>
          </cell>
          <cell r="MU15">
            <v>4.4444444444444398E-2</v>
          </cell>
          <cell r="MV15">
            <v>4.4444444444444398E-2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  <cell r="KG16">
            <v>9.4339622641509399E-2</v>
          </cell>
          <cell r="KH16">
            <v>9.4339622641509399E-2</v>
          </cell>
          <cell r="KI16">
            <v>9.4339622641509399E-2</v>
          </cell>
          <cell r="KJ16">
            <v>9.4339622641509399E-2</v>
          </cell>
          <cell r="KK16">
            <v>9.4339622641509399E-2</v>
          </cell>
          <cell r="KL16">
            <v>9.4339622641509399E-2</v>
          </cell>
          <cell r="KM16">
            <v>9.4339622641509399E-2</v>
          </cell>
          <cell r="KN16">
            <v>9.4339622641509399E-2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0.13157894736842099</v>
          </cell>
          <cell r="KW16">
            <v>0.116279069767442</v>
          </cell>
          <cell r="KX16">
            <v>0.116279069767442</v>
          </cell>
          <cell r="KY16">
            <v>0.13157894736842099</v>
          </cell>
          <cell r="KZ16">
            <v>0.13157894736842099</v>
          </cell>
          <cell r="LA16">
            <v>0.116279069767442</v>
          </cell>
          <cell r="LB16">
            <v>0.15151515151515199</v>
          </cell>
          <cell r="LC16">
            <v>0.15151515151515199</v>
          </cell>
          <cell r="LD16">
            <v>0.15151515151515199</v>
          </cell>
          <cell r="LE16">
            <v>0.15151515151515199</v>
          </cell>
          <cell r="LF16">
            <v>0.13157894736842099</v>
          </cell>
          <cell r="LG16">
            <v>0.13157894736842099</v>
          </cell>
          <cell r="LH16">
            <v>0.13157894736842099</v>
          </cell>
          <cell r="LI16">
            <v>0.15151515151515199</v>
          </cell>
          <cell r="LJ16">
            <v>0.13157894736842099</v>
          </cell>
          <cell r="LK16">
            <v>0.13157894736842099</v>
          </cell>
          <cell r="LL16">
            <v>0.13157894736842099</v>
          </cell>
          <cell r="LM16">
            <v>0.13157894736842099</v>
          </cell>
          <cell r="LN16" t="str">
            <v/>
          </cell>
          <cell r="LO16" t="str">
            <v/>
          </cell>
          <cell r="LP16">
            <v>0.13157894736842099</v>
          </cell>
          <cell r="LQ16" t="str">
            <v/>
          </cell>
          <cell r="LR16">
            <v>0.13157894736842099</v>
          </cell>
          <cell r="LS16">
            <v>0.13157894736842099</v>
          </cell>
          <cell r="LT16">
            <v>0.13157894736842099</v>
          </cell>
          <cell r="LU16">
            <v>0.13157894736842099</v>
          </cell>
          <cell r="LV16">
            <v>0.13157894736842099</v>
          </cell>
          <cell r="LW16">
            <v>0.13157894736842099</v>
          </cell>
          <cell r="LX16">
            <v>0.13157894736842099</v>
          </cell>
          <cell r="LY16">
            <v>0.13157894736842099</v>
          </cell>
          <cell r="LZ16">
            <v>0.13157894736842099</v>
          </cell>
          <cell r="MA16">
            <v>0.13157894736842099</v>
          </cell>
          <cell r="MB16">
            <v>0.13157894736842099</v>
          </cell>
          <cell r="MC16">
            <v>0.13157894736842099</v>
          </cell>
          <cell r="MD16">
            <v>0.13157894736842099</v>
          </cell>
          <cell r="ME16">
            <v>0.11111111111111099</v>
          </cell>
          <cell r="MF16">
            <v>0.11111111111111099</v>
          </cell>
          <cell r="MG16">
            <v>0.11111111111111099</v>
          </cell>
          <cell r="MH16">
            <v>0.11111111111111099</v>
          </cell>
          <cell r="MI16">
            <v>0.11111111111111099</v>
          </cell>
          <cell r="MJ16">
            <v>0.11111111111111099</v>
          </cell>
          <cell r="MK16">
            <v>0.11111111111111099</v>
          </cell>
          <cell r="ML16">
            <v>0.11111111111111099</v>
          </cell>
          <cell r="MM16">
            <v>0.11111111111111099</v>
          </cell>
          <cell r="MN16">
            <v>0.11111111111111099</v>
          </cell>
          <cell r="MO16">
            <v>0.11111111111111099</v>
          </cell>
          <cell r="MP16">
            <v>0.11111111111111099</v>
          </cell>
          <cell r="MQ16">
            <v>0.11111111111111099</v>
          </cell>
          <cell r="MR16">
            <v>0.11111111111111099</v>
          </cell>
          <cell r="MS16">
            <v>0.11111111111111099</v>
          </cell>
          <cell r="MT16">
            <v>0.11111111111111099</v>
          </cell>
          <cell r="MU16">
            <v>0.11111111111111099</v>
          </cell>
          <cell r="MV16">
            <v>0.11111111111111099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  <cell r="KG17">
            <v>9.4339622641509399E-2</v>
          </cell>
          <cell r="KH17">
            <v>9.4339622641509399E-2</v>
          </cell>
          <cell r="KI17">
            <v>9.4339622641509399E-2</v>
          </cell>
          <cell r="KJ17">
            <v>9.4339622641509399E-2</v>
          </cell>
          <cell r="KK17">
            <v>9.4339622641509399E-2</v>
          </cell>
          <cell r="KL17">
            <v>9.4339622641509399E-2</v>
          </cell>
          <cell r="KM17">
            <v>9.4339622641509399E-2</v>
          </cell>
          <cell r="KN17">
            <v>9.4339622641509399E-2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0.13157894736842099</v>
          </cell>
          <cell r="KW17">
            <v>0.116279069767442</v>
          </cell>
          <cell r="KX17">
            <v>0.116279069767442</v>
          </cell>
          <cell r="KY17">
            <v>0.13157894736842099</v>
          </cell>
          <cell r="KZ17">
            <v>0.13157894736842099</v>
          </cell>
          <cell r="LA17">
            <v>0.116279069767442</v>
          </cell>
          <cell r="LB17">
            <v>0.15151515151515199</v>
          </cell>
          <cell r="LC17">
            <v>0.15151515151515199</v>
          </cell>
          <cell r="LD17">
            <v>0.15151515151515199</v>
          </cell>
          <cell r="LE17">
            <v>0.15151515151515199</v>
          </cell>
          <cell r="LF17">
            <v>0.13157894736842099</v>
          </cell>
          <cell r="LG17">
            <v>0.13157894736842099</v>
          </cell>
          <cell r="LH17">
            <v>0.13157894736842099</v>
          </cell>
          <cell r="LI17">
            <v>0.15151515151515199</v>
          </cell>
          <cell r="LJ17">
            <v>0.13157894736842099</v>
          </cell>
          <cell r="LK17">
            <v>0.13157894736842099</v>
          </cell>
          <cell r="LL17">
            <v>0.13157894736842099</v>
          </cell>
          <cell r="LM17">
            <v>0.13157894736842099</v>
          </cell>
          <cell r="LN17" t="str">
            <v/>
          </cell>
          <cell r="LO17" t="str">
            <v/>
          </cell>
          <cell r="LP17">
            <v>0.13157894736842099</v>
          </cell>
          <cell r="LQ17" t="str">
            <v/>
          </cell>
          <cell r="LR17">
            <v>0.13157894736842099</v>
          </cell>
          <cell r="LS17">
            <v>0.13157894736842099</v>
          </cell>
          <cell r="LT17">
            <v>0.13157894736842099</v>
          </cell>
          <cell r="LU17">
            <v>0.13157894736842099</v>
          </cell>
          <cell r="LV17">
            <v>0.13157894736842099</v>
          </cell>
          <cell r="LW17">
            <v>0.13157894736842099</v>
          </cell>
          <cell r="LX17">
            <v>0.13157894736842099</v>
          </cell>
          <cell r="LY17">
            <v>0.13157894736842099</v>
          </cell>
          <cell r="LZ17">
            <v>0.13157894736842099</v>
          </cell>
          <cell r="MA17">
            <v>0.13157894736842099</v>
          </cell>
          <cell r="MB17">
            <v>0.13157894736842099</v>
          </cell>
          <cell r="MC17">
            <v>0.13157894736842099</v>
          </cell>
          <cell r="MD17">
            <v>0.13157894736842099</v>
          </cell>
          <cell r="ME17">
            <v>0.11111111111111099</v>
          </cell>
          <cell r="MF17">
            <v>0.11111111111111099</v>
          </cell>
          <cell r="MG17">
            <v>0.11111111111111099</v>
          </cell>
          <cell r="MH17">
            <v>0.11111111111111099</v>
          </cell>
          <cell r="MI17">
            <v>0.11111111111111099</v>
          </cell>
          <cell r="MJ17">
            <v>0.11111111111111099</v>
          </cell>
          <cell r="MK17">
            <v>0.11111111111111099</v>
          </cell>
          <cell r="ML17">
            <v>0.11111111111111099</v>
          </cell>
          <cell r="MM17">
            <v>0.11111111111111099</v>
          </cell>
          <cell r="MN17">
            <v>0.11111111111111099</v>
          </cell>
          <cell r="MO17">
            <v>0.11111111111111099</v>
          </cell>
          <cell r="MP17">
            <v>0.11111111111111099</v>
          </cell>
          <cell r="MQ17">
            <v>0.11111111111111099</v>
          </cell>
          <cell r="MR17">
            <v>0.11111111111111099</v>
          </cell>
          <cell r="MS17">
            <v>0.11111111111111099</v>
          </cell>
          <cell r="MT17">
            <v>0.11111111111111099</v>
          </cell>
          <cell r="MU17">
            <v>0.11111111111111099</v>
          </cell>
          <cell r="MV17">
            <v>0.11111111111111099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  <cell r="KG19">
            <v>0.18867924528301899</v>
          </cell>
          <cell r="KH19">
            <v>0.18867924528301899</v>
          </cell>
          <cell r="KI19">
            <v>0.18867924528301899</v>
          </cell>
          <cell r="KJ19">
            <v>0.18867924528301899</v>
          </cell>
          <cell r="KK19">
            <v>0.18867924528301899</v>
          </cell>
          <cell r="KL19">
            <v>0.18867924528301899</v>
          </cell>
          <cell r="KM19">
            <v>0.18867924528301899</v>
          </cell>
          <cell r="KN19">
            <v>0.18867924528301899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  <cell r="KG20">
            <v>9.4339622641509399E-2</v>
          </cell>
          <cell r="KH20">
            <v>9.4339622641509399E-2</v>
          </cell>
          <cell r="KI20">
            <v>9.4339622641509399E-2</v>
          </cell>
          <cell r="KJ20">
            <v>9.4339622641509399E-2</v>
          </cell>
          <cell r="KK20">
            <v>9.4339622641509399E-2</v>
          </cell>
          <cell r="KL20">
            <v>9.4339622641509399E-2</v>
          </cell>
          <cell r="KM20">
            <v>9.4339622641509399E-2</v>
          </cell>
          <cell r="KN20">
            <v>9.4339622641509399E-2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U23" t="str">
            <v>x</v>
          </cell>
          <cell r="V23" t="str">
            <v>x</v>
          </cell>
          <cell r="Y23" t="str">
            <v>x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  <cell r="AD27" t="str">
            <v>x</v>
          </cell>
          <cell r="AE27" t="str">
            <v>x</v>
          </cell>
          <cell r="AF27" t="str">
            <v>x</v>
          </cell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  <cell r="AP27" t="str">
            <v>x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0.13157894736842099</v>
          </cell>
          <cell r="LG27">
            <v>0.13157894736842099</v>
          </cell>
          <cell r="LH27">
            <v>0.13157894736842099</v>
          </cell>
          <cell r="LI27" t="str">
            <v/>
          </cell>
          <cell r="LJ27">
            <v>0.13157894736842099</v>
          </cell>
          <cell r="LK27">
            <v>0.13157894736842099</v>
          </cell>
          <cell r="LL27">
            <v>0.13157894736842099</v>
          </cell>
          <cell r="LM27">
            <v>0.13157894736842099</v>
          </cell>
          <cell r="LN27" t="str">
            <v/>
          </cell>
          <cell r="LO27" t="str">
            <v/>
          </cell>
          <cell r="LP27">
            <v>0.13157894736842099</v>
          </cell>
          <cell r="LQ27" t="str">
            <v/>
          </cell>
          <cell r="LR27">
            <v>0.13157894736842099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0.13157894736842099</v>
          </cell>
          <cell r="LT31">
            <v>0.13157894736842099</v>
          </cell>
          <cell r="LU31">
            <v>0.13157894736842099</v>
          </cell>
          <cell r="LV31">
            <v>0.13157894736842099</v>
          </cell>
          <cell r="LW31">
            <v>0.13157894736842099</v>
          </cell>
          <cell r="LX31">
            <v>0.13157894736842099</v>
          </cell>
          <cell r="LY31">
            <v>0.13157894736842099</v>
          </cell>
          <cell r="LZ31">
            <v>0.13157894736842099</v>
          </cell>
          <cell r="MA31">
            <v>0.13157894736842099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</v>
          </cell>
          <cell r="B35">
            <v>0</v>
          </cell>
          <cell r="C35">
            <v>0</v>
          </cell>
          <cell r="D35">
            <v>0.05</v>
          </cell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0.11111111111111099</v>
          </cell>
          <cell r="MF35">
            <v>0.11111111111111099</v>
          </cell>
          <cell r="MG35">
            <v>0.11111111111111099</v>
          </cell>
          <cell r="MH35">
            <v>0.11111111111111099</v>
          </cell>
          <cell r="MI35">
            <v>0.11111111111111099</v>
          </cell>
          <cell r="MJ35">
            <v>0.11111111111111099</v>
          </cell>
          <cell r="MK35">
            <v>0.11111111111111099</v>
          </cell>
          <cell r="ML35">
            <v>0.11111111111111099</v>
          </cell>
          <cell r="MM35">
            <v>0.11111111111111099</v>
          </cell>
          <cell r="MN35">
            <v>0.11111111111111099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0.11111111111111099</v>
          </cell>
          <cell r="MP39">
            <v>0.11111111111111099</v>
          </cell>
          <cell r="MQ39">
            <v>0.11111111111111099</v>
          </cell>
          <cell r="MR39">
            <v>0.11111111111111099</v>
          </cell>
          <cell r="MS39">
            <v>0.11111111111111099</v>
          </cell>
          <cell r="MT39">
            <v>0.11111111111111099</v>
          </cell>
          <cell r="MU39">
            <v>0.11111111111111099</v>
          </cell>
          <cell r="MV39">
            <v>0.11111111111111099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4"/>
  <sheetViews>
    <sheetView tabSelected="1" topLeftCell="A6" workbookViewId="0">
      <selection activeCell="B4" sqref="B4:BM5"/>
    </sheetView>
  </sheetViews>
  <sheetFormatPr defaultColWidth="9.85546875" defaultRowHeight="15" outlineLevelCol="1"/>
  <cols>
    <col min="1" max="1" width="44" style="1" customWidth="1"/>
    <col min="2" max="4" width="4" style="1" customWidth="1" outlineLevel="1"/>
    <col min="5" max="5" width="4.7109375" style="1" customWidth="1" outlineLevel="1"/>
    <col min="6" max="16" width="4" style="1" customWidth="1" outlineLevel="1"/>
    <col min="17" max="17" width="4.7109375" style="1" customWidth="1" outlineLevel="1"/>
    <col min="18" max="29" width="4" style="1" customWidth="1" outlineLevel="1"/>
    <col min="30" max="30" width="4.7109375" style="1" customWidth="1" outlineLevel="1"/>
    <col min="31" max="32" width="4" style="1" customWidth="1" outlineLevel="1"/>
    <col min="33" max="36" width="4.7109375" style="1" customWidth="1" outlineLevel="1"/>
    <col min="37" max="39" width="4" style="1" customWidth="1" outlineLevel="1"/>
    <col min="40" max="40" width="5.5703125" style="1" customWidth="1" outlineLevel="1"/>
    <col min="41" max="41" width="4" style="1" customWidth="1" outlineLevel="1"/>
    <col min="42" max="42" width="5.5703125" style="1" customWidth="1" outlineLevel="1"/>
    <col min="43" max="46" width="4" style="1" customWidth="1" outlineLevel="1"/>
    <col min="47" max="48" width="4.7109375" style="1" customWidth="1" outlineLevel="1"/>
    <col min="49" max="49" width="4" style="1" customWidth="1" outlineLevel="1"/>
    <col min="50" max="50" width="4.7109375" style="1" customWidth="1" outlineLevel="1"/>
    <col min="51" max="65" width="4" style="1" customWidth="1" outlineLevel="1"/>
    <col min="66" max="66" width="2.5703125" style="1" customWidth="1"/>
    <col min="67" max="67" width="3.5703125" style="1" customWidth="1"/>
    <col min="68" max="68" width="4.5703125" style="1" customWidth="1"/>
    <col min="69" max="69" width="6.140625" style="1" customWidth="1"/>
    <col min="70" max="71" width="4.5703125" style="1" customWidth="1"/>
    <col min="72" max="72" width="3.5703125" style="1" customWidth="1"/>
    <col min="73" max="74" width="2.5703125" style="1" customWidth="1"/>
    <col min="75" max="76" width="6.140625" style="1" customWidth="1"/>
    <col min="77" max="16384" width="9.85546875" style="1"/>
  </cols>
  <sheetData>
    <row r="1" spans="1:76" ht="39.75" customHeight="1">
      <c r="A1" s="56" t="s">
        <v>0</v>
      </c>
    </row>
    <row r="2" spans="1:76" ht="15.75">
      <c r="B2" s="3">
        <v>293</v>
      </c>
      <c r="C2" s="4">
        <v>301</v>
      </c>
      <c r="D2" s="4">
        <v>302</v>
      </c>
      <c r="E2" s="4">
        <v>303</v>
      </c>
      <c r="F2" s="4">
        <v>304</v>
      </c>
      <c r="G2" s="4">
        <v>305</v>
      </c>
      <c r="H2" s="4">
        <v>306</v>
      </c>
      <c r="I2" s="4">
        <v>307</v>
      </c>
      <c r="J2" s="4">
        <v>308</v>
      </c>
      <c r="K2" s="4">
        <v>309</v>
      </c>
      <c r="L2" s="4">
        <v>310</v>
      </c>
      <c r="M2" s="4">
        <v>311</v>
      </c>
      <c r="N2" s="4">
        <v>312</v>
      </c>
      <c r="O2" s="4">
        <v>313</v>
      </c>
      <c r="P2" s="4">
        <v>314</v>
      </c>
      <c r="Q2" s="4">
        <v>315</v>
      </c>
      <c r="R2" s="4">
        <v>316</v>
      </c>
      <c r="S2" s="4">
        <v>317</v>
      </c>
      <c r="T2" s="4">
        <v>318</v>
      </c>
      <c r="U2" s="4">
        <v>319</v>
      </c>
      <c r="V2" s="4">
        <v>320</v>
      </c>
      <c r="W2" s="4">
        <v>321</v>
      </c>
      <c r="X2" s="4">
        <v>322</v>
      </c>
      <c r="Y2" s="4">
        <v>323</v>
      </c>
      <c r="Z2" s="4">
        <v>324</v>
      </c>
      <c r="AA2" s="4">
        <v>325</v>
      </c>
      <c r="AB2" s="4">
        <v>326</v>
      </c>
      <c r="AC2" s="4">
        <v>327</v>
      </c>
      <c r="AD2" s="4">
        <v>328</v>
      </c>
      <c r="AE2" s="4">
        <v>329</v>
      </c>
      <c r="AF2" s="4">
        <v>330</v>
      </c>
      <c r="AG2" s="4">
        <v>331</v>
      </c>
      <c r="AH2" s="4">
        <v>332</v>
      </c>
      <c r="AI2" s="4">
        <v>333</v>
      </c>
      <c r="AJ2" s="4">
        <v>334</v>
      </c>
      <c r="AK2" s="4">
        <v>335</v>
      </c>
      <c r="AL2" s="4">
        <v>336</v>
      </c>
      <c r="AM2" s="4">
        <v>337</v>
      </c>
      <c r="AN2" s="4">
        <v>338</v>
      </c>
      <c r="AO2" s="4">
        <v>339</v>
      </c>
      <c r="AP2" s="4">
        <v>340</v>
      </c>
      <c r="AQ2" s="4">
        <v>341</v>
      </c>
      <c r="AR2" s="4">
        <v>342</v>
      </c>
      <c r="AS2" s="4">
        <v>343</v>
      </c>
      <c r="AT2" s="4">
        <v>344</v>
      </c>
      <c r="AU2" s="4">
        <v>345</v>
      </c>
      <c r="AV2" s="4">
        <v>346</v>
      </c>
      <c r="AW2" s="4">
        <v>347</v>
      </c>
      <c r="AX2" s="4">
        <v>348</v>
      </c>
      <c r="AY2" s="4">
        <v>349</v>
      </c>
      <c r="AZ2" s="4">
        <v>350</v>
      </c>
      <c r="BA2" s="4">
        <v>351</v>
      </c>
      <c r="BB2" s="4">
        <v>352</v>
      </c>
      <c r="BC2" s="4">
        <v>353</v>
      </c>
      <c r="BD2" s="4">
        <v>354</v>
      </c>
      <c r="BE2" s="4">
        <v>355</v>
      </c>
      <c r="BF2" s="4">
        <v>356</v>
      </c>
      <c r="BG2" s="4">
        <v>357</v>
      </c>
      <c r="BH2" s="4">
        <v>358</v>
      </c>
      <c r="BI2" s="4">
        <v>359</v>
      </c>
      <c r="BJ2" s="4">
        <v>360</v>
      </c>
      <c r="BK2" s="4">
        <v>361</v>
      </c>
      <c r="BL2" s="4">
        <v>362</v>
      </c>
      <c r="BM2" s="4">
        <v>363</v>
      </c>
    </row>
    <row r="3" spans="1:76" ht="25.5">
      <c r="A3" s="5"/>
      <c r="B3" s="57" t="s">
        <v>1</v>
      </c>
      <c r="C3" s="58" t="s">
        <v>2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  <c r="P3" s="58" t="s">
        <v>3</v>
      </c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G3" s="59" t="s">
        <v>4</v>
      </c>
      <c r="AH3" s="59"/>
      <c r="AI3" s="59"/>
      <c r="AJ3" s="59"/>
      <c r="AK3" s="59"/>
      <c r="AL3" s="59"/>
      <c r="AM3" s="59"/>
      <c r="AN3" s="59"/>
      <c r="AO3" s="59"/>
      <c r="AP3" s="61" t="s">
        <v>5</v>
      </c>
      <c r="AQ3" s="62"/>
      <c r="AR3" s="63"/>
      <c r="AS3" s="64" t="s">
        <v>6</v>
      </c>
      <c r="AT3" s="64"/>
      <c r="AU3" s="64"/>
      <c r="AV3" s="64"/>
      <c r="AW3" s="64"/>
      <c r="AX3" s="64"/>
      <c r="AY3" s="64"/>
      <c r="AZ3" s="64"/>
      <c r="BA3" s="64"/>
      <c r="BB3" s="64"/>
      <c r="BC3" s="65" t="s">
        <v>7</v>
      </c>
      <c r="BD3" s="64"/>
      <c r="BE3" s="64"/>
      <c r="BF3" s="64"/>
      <c r="BG3" s="64"/>
      <c r="BH3" s="64"/>
      <c r="BI3" s="64"/>
      <c r="BJ3" s="66"/>
      <c r="BK3" s="61" t="s">
        <v>8</v>
      </c>
      <c r="BL3" s="63"/>
      <c r="BM3" s="67" t="s">
        <v>9</v>
      </c>
      <c r="BN3" s="79" t="s">
        <v>10</v>
      </c>
      <c r="BO3" s="79" t="s">
        <v>2</v>
      </c>
      <c r="BP3" s="79" t="s">
        <v>3</v>
      </c>
      <c r="BQ3" s="79" t="s">
        <v>4</v>
      </c>
      <c r="BR3" s="80" t="s">
        <v>5</v>
      </c>
      <c r="BS3" s="80" t="s">
        <v>6</v>
      </c>
      <c r="BT3" s="80" t="s">
        <v>7</v>
      </c>
      <c r="BU3" s="81" t="s">
        <v>8</v>
      </c>
      <c r="BV3" s="81" t="s">
        <v>9</v>
      </c>
      <c r="BW3" s="88" t="s">
        <v>11</v>
      </c>
      <c r="BX3" s="88" t="s">
        <v>12</v>
      </c>
    </row>
    <row r="4" spans="1:76">
      <c r="A4" s="5"/>
      <c r="B4" s="107" t="str">
        <f>IF('[1]1. Select Services'!$E$13="x","x","")</f>
        <v/>
      </c>
      <c r="C4" s="108" t="s">
        <v>13</v>
      </c>
      <c r="D4" s="109" t="s">
        <v>13</v>
      </c>
      <c r="E4" s="110" t="str">
        <f>IF('[1]1. Select Services'!$E$14="x","x","")</f>
        <v>x</v>
      </c>
      <c r="F4" s="110" t="str">
        <f>IF('[1]1. Select Services'!$E$15="x","x","")</f>
        <v>x</v>
      </c>
      <c r="G4" s="110" t="str">
        <f>IF('[1]1. Select Services'!$E$16="x","x","")</f>
        <v>x</v>
      </c>
      <c r="H4" s="110" t="str">
        <f>IF('[1]1. Select Services'!$E$17="x","x","")</f>
        <v/>
      </c>
      <c r="I4" s="110" t="str">
        <f>IF('[1]1. Select Services'!$E$18="x","x","")</f>
        <v>x</v>
      </c>
      <c r="J4" s="110" t="str">
        <f>IF('[1]1. Select Services'!$E$19="x","x","")</f>
        <v>x</v>
      </c>
      <c r="K4" s="110" t="str">
        <f>IF('[1]1. Select Services'!$E$20="x","x","")</f>
        <v>x</v>
      </c>
      <c r="L4" s="110" t="str">
        <f>IF('[1]1. Select Services'!$E$21="x","x","")</f>
        <v>x</v>
      </c>
      <c r="M4" s="110" t="str">
        <f>IF('[1]1. Select Services'!$E$22="x","x","")</f>
        <v>x</v>
      </c>
      <c r="N4" s="110" t="str">
        <f>IF('[1]1. Select Services'!$E$23="x","x","")</f>
        <v>x</v>
      </c>
      <c r="O4" s="111" t="str">
        <f>IF('[1]1. Select Services'!$E$24="x","x","")</f>
        <v>x</v>
      </c>
      <c r="P4" s="112" t="s">
        <v>13</v>
      </c>
      <c r="Q4" s="110" t="str">
        <f>IF('[1]1. Select Services'!$E$25="x","x","")</f>
        <v>x</v>
      </c>
      <c r="R4" s="110" t="str">
        <f>IF('[1]1. Select Services'!$E$27="x","x","")</f>
        <v>x</v>
      </c>
      <c r="S4" s="110" t="str">
        <f>IF('[1]1. Select Services'!$E$28="x","x","")</f>
        <v>x</v>
      </c>
      <c r="T4" s="110" t="str">
        <f>IF('[1]1. Select Services'!$E$29="x","x","")</f>
        <v>x</v>
      </c>
      <c r="U4" s="110" t="str">
        <f>IF('[1]1. Select Services'!$E$30="x","x","")</f>
        <v>x</v>
      </c>
      <c r="V4" s="110" t="str">
        <f>IF('[1]1. Select Services'!$E$31="x","x","")</f>
        <v>x</v>
      </c>
      <c r="W4" s="110" t="str">
        <f>IF('[1]1. Select Services'!$E$32="x","x","")</f>
        <v>x</v>
      </c>
      <c r="X4" s="110" t="str">
        <f>IF('[1]1. Select Services'!$E$33="x","x","")</f>
        <v>x</v>
      </c>
      <c r="Y4" s="110" t="str">
        <f>IF('[1]1. Select Services'!$E$34="x","x","")</f>
        <v>x</v>
      </c>
      <c r="Z4" s="110" t="str">
        <f>IF('[1]1. Select Services'!$E$35="x","x","")</f>
        <v>x</v>
      </c>
      <c r="AA4" s="110" t="str">
        <f>IF('[1]1. Select Services'!$E$36="x","x","")</f>
        <v>x</v>
      </c>
      <c r="AB4" s="110" t="str">
        <f>IF('[1]1. Select Services'!$E$37="x","x","")</f>
        <v>x</v>
      </c>
      <c r="AC4" s="110" t="str">
        <f>IF('[1]1. Select Services'!$E$38="x","x","")</f>
        <v>x</v>
      </c>
      <c r="AD4" s="110" t="str">
        <f>IF('[1]1. Select Services'!$E$39="x","x","")</f>
        <v>x</v>
      </c>
      <c r="AE4" s="110" t="str">
        <f>IF('[1]1. Select Services'!$E$40="x","x","")</f>
        <v>x</v>
      </c>
      <c r="AF4" s="111" t="str">
        <f>IF('[1]1. Select Services'!$E$41="x","x","")</f>
        <v/>
      </c>
      <c r="AG4" s="113" t="str">
        <f>IF('[1]1. Select Services'!$E$42="x","x","")</f>
        <v>x</v>
      </c>
      <c r="AH4" s="110" t="str">
        <f>IF('[1]1. Select Services'!$E$43="x","x","")</f>
        <v>x</v>
      </c>
      <c r="AI4" s="110" t="str">
        <f>IF('[1]1. Select Services'!$E$44="x","x","")</f>
        <v>x</v>
      </c>
      <c r="AJ4" s="110" t="str">
        <f>IF('[1]1. Select Services'!$E$45="x","x","")</f>
        <v>x</v>
      </c>
      <c r="AK4" s="110" t="str">
        <f>IF('[1]1. Select Services'!$E$47="x","x","")</f>
        <v>x</v>
      </c>
      <c r="AL4" s="110" t="str">
        <f>IF('[1]1. Select Services'!$E$48="x","x","")</f>
        <v/>
      </c>
      <c r="AM4" s="110" t="str">
        <f>IF('[1]1. Select Services'!$E$50="x","x","")</f>
        <v>x</v>
      </c>
      <c r="AN4" s="110" t="str">
        <f>IF('[1]1. Select Services'!$E$51="x","x","")</f>
        <v>x</v>
      </c>
      <c r="AO4" s="107" t="str">
        <f>IF('[1]1. Select Services'!$E$52="x","x","")</f>
        <v/>
      </c>
      <c r="AP4" s="112" t="str">
        <f>IF('[1]1. Select Services'!$E$53="x","x","")</f>
        <v>x</v>
      </c>
      <c r="AQ4" s="110" t="str">
        <f>IF('[1]1. Select Services'!$E$54="x","x","")</f>
        <v>x</v>
      </c>
      <c r="AR4" s="107" t="str">
        <f>IF('[1]1. Select Services'!$E$55="x","x","")</f>
        <v>x</v>
      </c>
      <c r="AS4" s="112" t="str">
        <f>IF('[1]1. Select Services'!$E$56="x","x","")</f>
        <v>x</v>
      </c>
      <c r="AT4" s="110" t="str">
        <f>IF('[1]1. Select Services'!$E$57="x","x","")</f>
        <v>x</v>
      </c>
      <c r="AU4" s="110" t="str">
        <f>IF('[1]1. Select Services'!$E$59="x","x","")</f>
        <v>x</v>
      </c>
      <c r="AV4" s="110" t="str">
        <f>IF('[1]1. Select Services'!$E$60="x","x","")</f>
        <v>x</v>
      </c>
      <c r="AW4" s="110" t="str">
        <f>IF('[1]1. Select Services'!$E$61="x","x","")</f>
        <v>x</v>
      </c>
      <c r="AX4" s="110" t="str">
        <f>IF('[1]1. Select Services'!$E$62="x","x","")</f>
        <v>x</v>
      </c>
      <c r="AY4" s="110" t="str">
        <f>IF('[1]1. Select Services'!$E$63="x","x","")</f>
        <v>x</v>
      </c>
      <c r="AZ4" s="110" t="str">
        <f>IF('[1]1. Select Services'!$E$64="x","x","")</f>
        <v>x</v>
      </c>
      <c r="BA4" s="110" t="str">
        <f>IF('[1]1. Select Services'!$E$65="x","x","")</f>
        <v>x</v>
      </c>
      <c r="BB4" s="111" t="str">
        <f>IF('[1]1. Select Services'!$E$66="x","x","")</f>
        <v>x</v>
      </c>
      <c r="BC4" s="113" t="str">
        <f>IF('[1]1. Select Services'!$E$67="x","x","")</f>
        <v>x</v>
      </c>
      <c r="BD4" s="110" t="str">
        <f>IF('[1]1. Select Services'!$E$68="x","x","")</f>
        <v>x</v>
      </c>
      <c r="BE4" s="110" t="str">
        <f>IF('[1]1. Select Services'!$E$69="x","x","")</f>
        <v>x</v>
      </c>
      <c r="BF4" s="110" t="str">
        <f>IF('[1]1. Select Services'!$E$70="x","x","")</f>
        <v>x</v>
      </c>
      <c r="BG4" s="110" t="str">
        <f>IF('[1]1. Select Services'!$E$71="x","x","")</f>
        <v>x</v>
      </c>
      <c r="BH4" s="110" t="str">
        <f>IF('[1]1. Select Services'!$E$72="x","x","")</f>
        <v>x</v>
      </c>
      <c r="BI4" s="110" t="str">
        <f>IF('[1]1. Select Services'!$E$73="x","x","")</f>
        <v>x</v>
      </c>
      <c r="BJ4" s="107" t="str">
        <f>IF('[1]1. Select Services'!$E$74="x","x","")</f>
        <v>x</v>
      </c>
      <c r="BK4" s="112" t="str">
        <f>IF('[1]1. Select Services'!$E$75="x","x","")</f>
        <v/>
      </c>
      <c r="BL4" s="111" t="str">
        <f>IF('[1]1. Select Services'!$E$76="x","x","")</f>
        <v/>
      </c>
      <c r="BM4" s="107" t="str">
        <f>IF('[1]1. Select Services'!$E$77="x","x","")</f>
        <v/>
      </c>
      <c r="BN4" s="82"/>
      <c r="BO4" s="82"/>
      <c r="BP4" s="82"/>
      <c r="BQ4" s="82"/>
      <c r="BR4" s="83"/>
      <c r="BS4" s="83"/>
      <c r="BT4" s="83"/>
      <c r="BU4" s="84"/>
      <c r="BV4" s="84"/>
      <c r="BW4" s="89"/>
      <c r="BX4" s="89"/>
    </row>
    <row r="5" spans="1:76">
      <c r="A5" s="5"/>
      <c r="B5" s="114">
        <v>0</v>
      </c>
      <c r="C5" s="115">
        <f>VLOOKUP(C6,[1]Interventions!$H$3:$I$76,2,FALSE)</f>
        <v>9</v>
      </c>
      <c r="D5" s="115">
        <f>VLOOKUP(D6,[1]Interventions!$H$3:$I$76,2,FALSE)</f>
        <v>10</v>
      </c>
      <c r="E5" s="115">
        <f>VLOOKUP(E6,[1]Interventions!$H$3:$I$76,2,FALSE)</f>
        <v>11</v>
      </c>
      <c r="F5" s="115">
        <f>VLOOKUP(F6,[1]Interventions!$H$3:$I$76,2,FALSE)</f>
        <v>12</v>
      </c>
      <c r="G5" s="115">
        <f>VLOOKUP(G6,[1]Interventions!$H$3:$I$76,2,FALSE)</f>
        <v>13</v>
      </c>
      <c r="H5" s="115">
        <f>VLOOKUP(H6,[1]Interventions!$H$3:$I$76,2,FALSE)</f>
        <v>14</v>
      </c>
      <c r="I5" s="115">
        <f>VLOOKUP(I6,[1]Interventions!$H$3:$I$76,2,FALSE)</f>
        <v>15</v>
      </c>
      <c r="J5" s="115">
        <f>VLOOKUP(J6,[1]Interventions!$H$3:$I$76,2,FALSE)</f>
        <v>16</v>
      </c>
      <c r="K5" s="115">
        <f>VLOOKUP(K6,[1]Interventions!$H$3:$I$76,2,FALSE)</f>
        <v>17</v>
      </c>
      <c r="L5" s="115">
        <f>VLOOKUP(L6,[1]Interventions!$H$3:$I$76,2,FALSE)</f>
        <v>18</v>
      </c>
      <c r="M5" s="115">
        <f>VLOOKUP(M6,[1]Interventions!$H$3:$I$76,2,FALSE)</f>
        <v>19</v>
      </c>
      <c r="N5" s="115">
        <f>VLOOKUP(N6,[1]Interventions!$H$3:$I$76,2,FALSE)</f>
        <v>20</v>
      </c>
      <c r="O5" s="116">
        <f>VLOOKUP(O6,[1]Interventions!$H$3:$I$76,2,FALSE)</f>
        <v>21</v>
      </c>
      <c r="P5" s="115">
        <f>VLOOKUP(P6,[1]Interventions!$H$3:$I$76,2,FALSE)</f>
        <v>22</v>
      </c>
      <c r="Q5" s="115">
        <f>VLOOKUP(Q6,[1]Interventions!$H$3:$I$76,2,FALSE)</f>
        <v>23</v>
      </c>
      <c r="R5" s="115">
        <f>VLOOKUP(R6,[1]Interventions!$H$3:$I$76,2,FALSE)</f>
        <v>24</v>
      </c>
      <c r="S5" s="115">
        <f>VLOOKUP(S6,[1]Interventions!$H$3:$I$76,2,FALSE)</f>
        <v>25</v>
      </c>
      <c r="T5" s="115">
        <f>VLOOKUP(T6,[1]Interventions!$H$3:$I$76,2,FALSE)</f>
        <v>26</v>
      </c>
      <c r="U5" s="115">
        <f>VLOOKUP(U6,[1]Interventions!$H$3:$I$76,2,FALSE)</f>
        <v>27</v>
      </c>
      <c r="V5" s="115">
        <f>VLOOKUP(V6,[1]Interventions!$H$3:$I$76,2,FALSE)</f>
        <v>28</v>
      </c>
      <c r="W5" s="115">
        <f>VLOOKUP(W6,[1]Interventions!$H$3:$I$76,2,FALSE)</f>
        <v>29</v>
      </c>
      <c r="X5" s="115">
        <f>VLOOKUP(X6,[1]Interventions!$H$3:$I$76,2,FALSE)</f>
        <v>30</v>
      </c>
      <c r="Y5" s="115">
        <f>VLOOKUP(Y6,[1]Interventions!$H$3:$I$76,2,FALSE)</f>
        <v>31</v>
      </c>
      <c r="Z5" s="115">
        <f>VLOOKUP(Z6,[1]Interventions!$H$3:$I$76,2,FALSE)</f>
        <v>32</v>
      </c>
      <c r="AA5" s="115">
        <f>VLOOKUP(AA6,[1]Interventions!$H$3:$I$76,2,FALSE)</f>
        <v>33</v>
      </c>
      <c r="AB5" s="115">
        <v>34</v>
      </c>
      <c r="AC5" s="115">
        <v>35</v>
      </c>
      <c r="AD5" s="115">
        <f>VLOOKUP(AD6,[1]Interventions!$H$3:$I$76,2,FALSE)</f>
        <v>36</v>
      </c>
      <c r="AE5" s="117">
        <v>37</v>
      </c>
      <c r="AF5" s="118">
        <v>38</v>
      </c>
      <c r="AG5" s="119">
        <f>VLOOKUP(AG6,[1]Interventions!$H$3:$I$76,2,FALSE)</f>
        <v>39</v>
      </c>
      <c r="AH5" s="115">
        <f>VLOOKUP(AH6,[1]Interventions!$H$3:$I$76,2,FALSE)</f>
        <v>40</v>
      </c>
      <c r="AI5" s="115">
        <f>VLOOKUP(AI6,[1]Interventions!$H$3:$I$76,2,FALSE)</f>
        <v>41</v>
      </c>
      <c r="AJ5" s="115">
        <f>VLOOKUP(AJ6,[1]Interventions!$H$3:$I$76,2,FALSE)</f>
        <v>42</v>
      </c>
      <c r="AK5" s="115">
        <f>VLOOKUP(AK6,[1]Interventions!$H$3:$I$76,2,FALSE)</f>
        <v>43</v>
      </c>
      <c r="AL5" s="115">
        <f>VLOOKUP(AL6,[1]Interventions!$H$3:$I$76,2,FALSE)</f>
        <v>44</v>
      </c>
      <c r="AM5" s="115">
        <f>VLOOKUP(AM6,[1]Interventions!$H$3:$I$76,2,FALSE)</f>
        <v>45</v>
      </c>
      <c r="AN5" s="115">
        <f>VLOOKUP(AN6,[1]Interventions!$H$3:$I$76,2,FALSE)</f>
        <v>46</v>
      </c>
      <c r="AO5" s="115">
        <f>VLOOKUP(AO6,[1]Interventions!$H$3:$I$76,2,FALSE)</f>
        <v>47</v>
      </c>
      <c r="AP5" s="115">
        <f>VLOOKUP(AP6,[1]Interventions!$H$3:$I$76,2,FALSE)</f>
        <v>48</v>
      </c>
      <c r="AQ5" s="115">
        <f>VLOOKUP(AQ6,[1]Interventions!$H$3:$I$76,2,FALSE)</f>
        <v>49</v>
      </c>
      <c r="AR5" s="115">
        <f>VLOOKUP(AR6,[1]Interventions!$H$3:$I$76,2,FALSE)</f>
        <v>50</v>
      </c>
      <c r="AS5" s="115">
        <f>VLOOKUP(AS6,[1]Interventions!$H$3:$I$76,2,FALSE)</f>
        <v>51</v>
      </c>
      <c r="AT5" s="115">
        <f>VLOOKUP(AT6,[1]Interventions!$H$3:$I$76,2,FALSE)</f>
        <v>52</v>
      </c>
      <c r="AU5" s="115">
        <f>VLOOKUP(AU6,[1]Interventions!$H$3:$I$76,2,FALSE)</f>
        <v>53</v>
      </c>
      <c r="AV5" s="115">
        <f>VLOOKUP(AV6,[1]Interventions!$H$3:$I$76,2,FALSE)</f>
        <v>54</v>
      </c>
      <c r="AW5" s="115">
        <f>VLOOKUP(AW6,[1]Interventions!$H$3:$I$76,2,FALSE)</f>
        <v>55</v>
      </c>
      <c r="AX5" s="115">
        <f>VLOOKUP(AX6,[1]Interventions!$H$3:$I$76,2,FALSE)</f>
        <v>56</v>
      </c>
      <c r="AY5" s="115">
        <f>VLOOKUP(AY6,[1]Interventions!$H$3:$I$76,2,FALSE)</f>
        <v>57</v>
      </c>
      <c r="AZ5" s="115">
        <f>VLOOKUP(AZ6,[1]Interventions!$H$3:$I$76,2,FALSE)</f>
        <v>58</v>
      </c>
      <c r="BA5" s="115">
        <f>VLOOKUP(BA6,[1]Interventions!$H$3:$I$76,2,FALSE)</f>
        <v>59</v>
      </c>
      <c r="BB5" s="115">
        <f>VLOOKUP(BB6,[1]Interventions!$H$3:$I$76,2,FALSE)</f>
        <v>60</v>
      </c>
      <c r="BC5" s="115">
        <f>VLOOKUP(BC6,[1]Interventions!$H$3:$I$76,2,FALSE)</f>
        <v>61</v>
      </c>
      <c r="BD5" s="115">
        <f>VLOOKUP(BD6,[1]Interventions!$H$3:$I$76,2,FALSE)</f>
        <v>62</v>
      </c>
      <c r="BE5" s="115">
        <f>VLOOKUP(BE6,[1]Interventions!$H$3:$I$76,2,FALSE)</f>
        <v>63</v>
      </c>
      <c r="BF5" s="115">
        <f>VLOOKUP(BF6,[1]Interventions!$H$3:$I$76,2,FALSE)</f>
        <v>64</v>
      </c>
      <c r="BG5" s="115">
        <f>VLOOKUP(BG6,[1]Interventions!$H$3:$I$76,2,FALSE)</f>
        <v>65</v>
      </c>
      <c r="BH5" s="115">
        <f>VLOOKUP(BH6,[1]Interventions!$H$3:$I$76,2,FALSE)</f>
        <v>66</v>
      </c>
      <c r="BI5" s="115">
        <f>VLOOKUP(BI6,[1]Interventions!$H$3:$I$76,2,FALSE)</f>
        <v>67</v>
      </c>
      <c r="BJ5" s="115">
        <f>VLOOKUP(BJ6,[1]Interventions!$H$3:$I$76,2,FALSE)</f>
        <v>68</v>
      </c>
      <c r="BK5" s="115">
        <f>VLOOKUP(BK6,[1]Interventions!$H$3:$I$76,2,FALSE)</f>
        <v>69</v>
      </c>
      <c r="BL5" s="115">
        <f>VLOOKUP(BL6,[1]Interventions!$H$3:$I$76,2,FALSE)</f>
        <v>70</v>
      </c>
      <c r="BM5" s="120">
        <v>71</v>
      </c>
      <c r="BN5" s="82"/>
      <c r="BO5" s="82"/>
      <c r="BP5" s="82"/>
      <c r="BQ5" s="82"/>
      <c r="BR5" s="83"/>
      <c r="BS5" s="83"/>
      <c r="BT5" s="83"/>
      <c r="BU5" s="84"/>
      <c r="BV5" s="84"/>
      <c r="BW5" s="89"/>
      <c r="BX5" s="89"/>
    </row>
    <row r="6" spans="1:76" ht="226.5">
      <c r="A6" s="98" t="s">
        <v>14</v>
      </c>
      <c r="B6" s="68" t="s">
        <v>15</v>
      </c>
      <c r="C6" s="69" t="s">
        <v>16</v>
      </c>
      <c r="D6" s="70" t="s">
        <v>17</v>
      </c>
      <c r="E6" s="70" t="s">
        <v>18</v>
      </c>
      <c r="F6" s="70" t="s">
        <v>19</v>
      </c>
      <c r="G6" s="70" t="s">
        <v>20</v>
      </c>
      <c r="H6" s="70" t="s">
        <v>21</v>
      </c>
      <c r="I6" s="70" t="s">
        <v>22</v>
      </c>
      <c r="J6" s="70" t="s">
        <v>23</v>
      </c>
      <c r="K6" s="70" t="s">
        <v>24</v>
      </c>
      <c r="L6" s="70" t="s">
        <v>25</v>
      </c>
      <c r="M6" s="70" t="s">
        <v>26</v>
      </c>
      <c r="N6" s="70" t="s">
        <v>27</v>
      </c>
      <c r="O6" s="71" t="s">
        <v>28</v>
      </c>
      <c r="P6" s="72" t="s">
        <v>29</v>
      </c>
      <c r="Q6" s="73" t="s">
        <v>30</v>
      </c>
      <c r="R6" s="73" t="s">
        <v>31</v>
      </c>
      <c r="S6" s="73" t="s">
        <v>32</v>
      </c>
      <c r="T6" s="73" t="s">
        <v>33</v>
      </c>
      <c r="U6" s="73" t="s">
        <v>34</v>
      </c>
      <c r="V6" s="73" t="s">
        <v>35</v>
      </c>
      <c r="W6" s="73" t="s">
        <v>36</v>
      </c>
      <c r="X6" s="73" t="s">
        <v>37</v>
      </c>
      <c r="Y6" s="73" t="s">
        <v>38</v>
      </c>
      <c r="Z6" s="73" t="s">
        <v>39</v>
      </c>
      <c r="AA6" s="73" t="s">
        <v>40</v>
      </c>
      <c r="AB6" s="73" t="s">
        <v>41</v>
      </c>
      <c r="AC6" s="73" t="s">
        <v>42</v>
      </c>
      <c r="AD6" s="73" t="s">
        <v>43</v>
      </c>
      <c r="AE6" s="73" t="s">
        <v>44</v>
      </c>
      <c r="AF6" s="74" t="s">
        <v>45</v>
      </c>
      <c r="AG6" s="75" t="s">
        <v>46</v>
      </c>
      <c r="AH6" s="76" t="s">
        <v>47</v>
      </c>
      <c r="AI6" s="76" t="s">
        <v>48</v>
      </c>
      <c r="AJ6" s="76" t="s">
        <v>49</v>
      </c>
      <c r="AK6" s="76" t="s">
        <v>50</v>
      </c>
      <c r="AL6" s="76" t="s">
        <v>51</v>
      </c>
      <c r="AM6" s="76" t="s">
        <v>52</v>
      </c>
      <c r="AN6" s="76" t="s">
        <v>53</v>
      </c>
      <c r="AO6" s="76" t="s">
        <v>54</v>
      </c>
      <c r="AP6" s="69" t="s">
        <v>5</v>
      </c>
      <c r="AQ6" s="77" t="s">
        <v>55</v>
      </c>
      <c r="AR6" s="78" t="s">
        <v>56</v>
      </c>
      <c r="AS6" s="70" t="s">
        <v>57</v>
      </c>
      <c r="AT6" s="77" t="s">
        <v>58</v>
      </c>
      <c r="AU6" s="77" t="s">
        <v>59</v>
      </c>
      <c r="AV6" s="77" t="s">
        <v>60</v>
      </c>
      <c r="AW6" s="77" t="s">
        <v>61</v>
      </c>
      <c r="AX6" s="77" t="s">
        <v>62</v>
      </c>
      <c r="AY6" s="77" t="s">
        <v>63</v>
      </c>
      <c r="AZ6" s="77" t="s">
        <v>64</v>
      </c>
      <c r="BA6" s="77" t="s">
        <v>65</v>
      </c>
      <c r="BB6" s="68" t="s">
        <v>66</v>
      </c>
      <c r="BC6" s="69" t="s">
        <v>67</v>
      </c>
      <c r="BD6" s="77" t="s">
        <v>68</v>
      </c>
      <c r="BE6" s="77" t="s">
        <v>69</v>
      </c>
      <c r="BF6" s="77" t="s">
        <v>70</v>
      </c>
      <c r="BG6" s="77" t="s">
        <v>71</v>
      </c>
      <c r="BH6" s="77" t="s">
        <v>72</v>
      </c>
      <c r="BI6" s="77" t="s">
        <v>73</v>
      </c>
      <c r="BJ6" s="78" t="s">
        <v>74</v>
      </c>
      <c r="BK6" s="69" t="s">
        <v>75</v>
      </c>
      <c r="BL6" s="78" t="s">
        <v>76</v>
      </c>
      <c r="BM6" s="68" t="s">
        <v>77</v>
      </c>
      <c r="BN6" s="85"/>
      <c r="BO6" s="85"/>
      <c r="BP6" s="85"/>
      <c r="BQ6" s="85"/>
      <c r="BR6" s="86"/>
      <c r="BS6" s="86"/>
      <c r="BT6" s="86"/>
      <c r="BU6" s="87"/>
      <c r="BV6" s="87"/>
      <c r="BW6" s="90"/>
      <c r="BX6" s="90"/>
    </row>
    <row r="7" spans="1:76">
      <c r="A7" s="97" t="s">
        <v>78</v>
      </c>
      <c r="B7" s="6">
        <f>VLOOKUP(B$5,'[1]6. Lives Saved with Mitigation'!$B$15:$I$81,7,FALSE)</f>
        <v>4</v>
      </c>
      <c r="C7" s="7">
        <f>VLOOKUP(C$5,'[1]6. Lives Saved with Mitigation'!$B$15:$I$81,7,FALSE)</f>
        <v>0</v>
      </c>
      <c r="D7" s="8">
        <f>VLOOKUP(D$5,'[1]6. Lives Saved with Mitigation'!$B$15:$I$81,7,FALSE)</f>
        <v>0</v>
      </c>
      <c r="E7" s="8">
        <f>VLOOKUP(E$5,'[1]6. Lives Saved with Mitigation'!$B$15:$I$81,7,FALSE)</f>
        <v>1</v>
      </c>
      <c r="F7" s="8">
        <f>VLOOKUP(F$5,'[1]6. Lives Saved with Mitigation'!$B$15:$I$81,7,FALSE)</f>
        <v>0</v>
      </c>
      <c r="G7" s="8">
        <f>VLOOKUP(G$5,'[1]6. Lives Saved with Mitigation'!$B$15:$I$81,7,FALSE)</f>
        <v>0</v>
      </c>
      <c r="H7" s="8">
        <f>VLOOKUP(H$5,'[1]6. Lives Saved with Mitigation'!$B$15:$I$81,7,FALSE)</f>
        <v>0</v>
      </c>
      <c r="I7" s="8">
        <f>VLOOKUP(I$5,'[1]6. Lives Saved with Mitigation'!$B$15:$I$81,7,FALSE)</f>
        <v>0</v>
      </c>
      <c r="J7" s="8">
        <f>VLOOKUP(J$5,'[1]6. Lives Saved with Mitigation'!$B$15:$I$81,7,FALSE)</f>
        <v>0</v>
      </c>
      <c r="K7" s="8">
        <f>VLOOKUP(K$5,'[1]6. Lives Saved with Mitigation'!$B$15:$I$81,7,FALSE)</f>
        <v>0</v>
      </c>
      <c r="L7" s="8">
        <f>VLOOKUP(L$5,'[1]6. Lives Saved with Mitigation'!$B$15:$I$81,7,FALSE)</f>
        <v>3</v>
      </c>
      <c r="M7" s="8">
        <f>VLOOKUP(M$5,'[1]6. Lives Saved with Mitigation'!$B$15:$I$81,7,FALSE)</f>
        <v>0</v>
      </c>
      <c r="N7" s="8">
        <f>VLOOKUP(N$5,'[1]6. Lives Saved with Mitigation'!$B$15:$I$81,7,FALSE)</f>
        <v>1</v>
      </c>
      <c r="O7" s="16">
        <f>VLOOKUP(O$5,'[1]6. Lives Saved with Mitigation'!$B$15:$I$81,7,FALSE)</f>
        <v>7</v>
      </c>
      <c r="P7" s="17">
        <f>VLOOKUP(P$5,'[1]6. Lives Saved with Mitigation'!$B$15:$I$81,7,FALSE)</f>
        <v>0</v>
      </c>
      <c r="Q7" s="20">
        <f>VLOOKUP(Q$5,'[1]6. Lives Saved with Mitigation'!$B$15:$I$81,7,FALSE)</f>
        <v>1</v>
      </c>
      <c r="R7" s="20">
        <f>VLOOKUP(R$5,'[1]6. Lives Saved with Mitigation'!$B$15:$I$81,7,FALSE)</f>
        <v>2</v>
      </c>
      <c r="S7" s="20">
        <f>VLOOKUP(S$5,'[1]6. Lives Saved with Mitigation'!$B$15:$I$81,7,FALSE)</f>
        <v>0</v>
      </c>
      <c r="T7" s="20">
        <f>VLOOKUP(T$5,'[1]6. Lives Saved with Mitigation'!$B$15:$I$81,7,FALSE)</f>
        <v>1</v>
      </c>
      <c r="U7" s="20">
        <f>VLOOKUP(U$5,'[1]6. Lives Saved with Mitigation'!$B$15:$I$81,7,FALSE)</f>
        <v>3</v>
      </c>
      <c r="V7" s="20">
        <f>VLOOKUP(V$5,'[1]6. Lives Saved with Mitigation'!$B$15:$I$81,7,FALSE)</f>
        <v>0</v>
      </c>
      <c r="W7" s="20">
        <f>VLOOKUP(W$5,'[1]6. Lives Saved with Mitigation'!$B$15:$I$81,7,FALSE)</f>
        <v>27</v>
      </c>
      <c r="X7" s="20">
        <f>VLOOKUP(X$5,'[1]6. Lives Saved with Mitigation'!$B$15:$I$81,7,FALSE)</f>
        <v>2</v>
      </c>
      <c r="Y7" s="20">
        <f>VLOOKUP(Y$5,'[1]6. Lives Saved with Mitigation'!$B$15:$I$81,7,FALSE)</f>
        <v>0</v>
      </c>
      <c r="Z7" s="20">
        <f>VLOOKUP(Z$5,'[1]6. Lives Saved with Mitigation'!$B$15:$I$81,7,FALSE)</f>
        <v>0</v>
      </c>
      <c r="AA7" s="20">
        <f>VLOOKUP(AA$5,'[1]6. Lives Saved with Mitigation'!$B$15:$I$81,7,FALSE)</f>
        <v>0</v>
      </c>
      <c r="AB7" s="20">
        <f>VLOOKUP(AB$5,'[1]6. Lives Saved with Mitigation'!$B$15:$I$81,7,FALSE)</f>
        <v>1</v>
      </c>
      <c r="AC7" s="20">
        <f>VLOOKUP(AC$5,'[1]6. Lives Saved with Mitigation'!$B$15:$I$81,7,FALSE)</f>
        <v>0</v>
      </c>
      <c r="AD7" s="20">
        <f>VLOOKUP(AD$5,'[1]6. Lives Saved with Mitigation'!$B$15:$I$81,7,FALSE)</f>
        <v>1</v>
      </c>
      <c r="AE7" s="20">
        <f>VLOOKUP(AE$5,'[1]6. Lives Saved with Mitigation'!$B$15:$I$81,7,FALSE)</f>
        <v>0</v>
      </c>
      <c r="AF7" s="21">
        <f>VLOOKUP(AF$5,'[1]6. Lives Saved with Mitigation'!$B$15:$I$81,7,FALSE)</f>
        <v>0</v>
      </c>
      <c r="AG7" s="24">
        <f>VLOOKUP(AG$5,'[1]6. Lives Saved with Mitigation'!$B$15:$I$81,7,FALSE)</f>
        <v>0</v>
      </c>
      <c r="AH7" s="25">
        <f>VLOOKUP(AH$5,'[1]6. Lives Saved with Mitigation'!$B$15:$I$81,7,FALSE)</f>
        <v>0</v>
      </c>
      <c r="AI7" s="25">
        <f>VLOOKUP(AI$5,'[1]6. Lives Saved with Mitigation'!$B$15:$I$81,7,FALSE)</f>
        <v>0</v>
      </c>
      <c r="AJ7" s="25">
        <f>VLOOKUP(AJ$5,'[1]6. Lives Saved with Mitigation'!$B$15:$I$81,7,FALSE)</f>
        <v>0</v>
      </c>
      <c r="AK7" s="25">
        <f>VLOOKUP(AK$5,'[1]6. Lives Saved with Mitigation'!$B$15:$I$81,7,FALSE)</f>
        <v>0</v>
      </c>
      <c r="AL7" s="25">
        <f>VLOOKUP(AL$5,'[1]6. Lives Saved with Mitigation'!$B$15:$I$81,7,FALSE)</f>
        <v>0</v>
      </c>
      <c r="AM7" s="25">
        <f>VLOOKUP(AM$5,'[1]6. Lives Saved with Mitigation'!$B$15:$I$81,7,FALSE)</f>
        <v>0</v>
      </c>
      <c r="AN7" s="25">
        <f>VLOOKUP(AN$5,'[1]6. Lives Saved with Mitigation'!$B$15:$I$81,7,FALSE)</f>
        <v>0</v>
      </c>
      <c r="AO7" s="6">
        <f>VLOOKUP(AO$5,'[1]6. Lives Saved with Mitigation'!$B$15:$I$81,7,FALSE)</f>
        <v>0</v>
      </c>
      <c r="AP7" s="29">
        <f>VLOOKUP(AP$5,'[1]6. Lives Saved with Mitigation'!$B$15:$I$81,7,FALSE)</f>
        <v>0</v>
      </c>
      <c r="AQ7" s="30">
        <f>VLOOKUP(AQ$5,'[1]6. Lives Saved with Mitigation'!$B$15:$I$81,7,FALSE)</f>
        <v>0</v>
      </c>
      <c r="AR7" s="31">
        <f>VLOOKUP(AR$5,'[1]6. Lives Saved with Mitigation'!$B$15:$I$81,7,FALSE)</f>
        <v>0</v>
      </c>
      <c r="AS7" s="32">
        <f>VLOOKUP(AS$5,'[1]6. Lives Saved with Mitigation'!$B$15:$I$81,7,FALSE)</f>
        <v>0</v>
      </c>
      <c r="AT7" s="33">
        <f>VLOOKUP(AT$5,'[1]6. Lives Saved with Mitigation'!$B$15:$I$81,7,FALSE)</f>
        <v>0</v>
      </c>
      <c r="AU7" s="33">
        <f>VLOOKUP(AU$5,'[1]6. Lives Saved with Mitigation'!$B$15:$I$81,7,FALSE)</f>
        <v>0</v>
      </c>
      <c r="AV7" s="33">
        <f>VLOOKUP(AV$5,'[1]6. Lives Saved with Mitigation'!$B$15:$I$81,7,FALSE)</f>
        <v>0</v>
      </c>
      <c r="AW7" s="33">
        <f>VLOOKUP(AW$5,'[1]6. Lives Saved with Mitigation'!$B$15:$I$81,7,FALSE)</f>
        <v>0</v>
      </c>
      <c r="AX7" s="33">
        <f>VLOOKUP(AX$5,'[1]6. Lives Saved with Mitigation'!$B$15:$I$81,7,FALSE)</f>
        <v>0</v>
      </c>
      <c r="AY7" s="33">
        <f>VLOOKUP(AY$5,'[1]6. Lives Saved with Mitigation'!$B$15:$I$81,7,FALSE)</f>
        <v>0</v>
      </c>
      <c r="AZ7" s="33">
        <f>VLOOKUP(AZ$5,'[1]6. Lives Saved with Mitigation'!$B$15:$I$81,7,FALSE)</f>
        <v>0</v>
      </c>
      <c r="BA7" s="33">
        <f>VLOOKUP(BA$5,'[1]6. Lives Saved with Mitigation'!$B$15:$I$81,7,FALSE)</f>
        <v>0</v>
      </c>
      <c r="BB7" s="34">
        <f>VLOOKUP(BB$5,'[1]6. Lives Saved with Mitigation'!$B$15:$I$81,7,FALSE)</f>
        <v>0</v>
      </c>
      <c r="BC7" s="35">
        <f>VLOOKUP(BC$5,'[1]6. Lives Saved with Mitigation'!$B$15:$I$81,7,FALSE)</f>
        <v>0</v>
      </c>
      <c r="BD7" s="36">
        <f>VLOOKUP(BD$5,'[1]6. Lives Saved with Mitigation'!$B$15:$I$81,7,FALSE)</f>
        <v>0</v>
      </c>
      <c r="BE7" s="36">
        <f>VLOOKUP(BE$5,'[1]6. Lives Saved with Mitigation'!$B$15:$I$81,7,FALSE)</f>
        <v>0</v>
      </c>
      <c r="BF7" s="36">
        <f>VLOOKUP(BF$5,'[1]6. Lives Saved with Mitigation'!$B$15:$I$81,7,FALSE)</f>
        <v>0</v>
      </c>
      <c r="BG7" s="36">
        <f>VLOOKUP(BG$5,'[1]6. Lives Saved with Mitigation'!$B$15:$I$81,7,FALSE)</f>
        <v>0</v>
      </c>
      <c r="BH7" s="36">
        <f>VLOOKUP(BH$5,'[1]6. Lives Saved with Mitigation'!$B$15:$I$81,7,FALSE)</f>
        <v>0</v>
      </c>
      <c r="BI7" s="36">
        <f>VLOOKUP(BI$5,'[1]6. Lives Saved with Mitigation'!$B$15:$I$81,7,FALSE)</f>
        <v>0</v>
      </c>
      <c r="BJ7" s="37">
        <f>VLOOKUP(BJ$5,'[1]6. Lives Saved with Mitigation'!$B$15:$I$81,7,FALSE)</f>
        <v>0</v>
      </c>
      <c r="BK7" s="38">
        <f>VLOOKUP(BK$5,'[1]6. Lives Saved with Mitigation'!$B$15:$I$81,7,FALSE)</f>
        <v>0</v>
      </c>
      <c r="BL7" s="39">
        <f>VLOOKUP(BL$5,'[1]6. Lives Saved with Mitigation'!$B$15:$I$81,7,FALSE)</f>
        <v>0</v>
      </c>
      <c r="BM7" s="42">
        <f>VLOOKUP(BM$5,'[1]6. Lives Saved with Mitigation'!$B$15:$I$81,7,FALSE)</f>
        <v>0</v>
      </c>
      <c r="BN7" s="43">
        <f t="shared" ref="BN7:BN9" si="0">B7</f>
        <v>4</v>
      </c>
      <c r="BO7" s="44">
        <f t="shared" ref="BO7:BO9" si="1">SUM(C7:O7)</f>
        <v>12</v>
      </c>
      <c r="BP7" s="45">
        <f t="shared" ref="BP7:BP9" si="2">SUM(P7:AF7)</f>
        <v>38</v>
      </c>
      <c r="BQ7" s="43">
        <f t="shared" ref="BQ7:BQ9" si="3">SUM(AG7:AO7)</f>
        <v>0</v>
      </c>
      <c r="BR7" s="46">
        <f t="shared" ref="BR7:BR9" si="4">SUM(AP7:AR7)</f>
        <v>0</v>
      </c>
      <c r="BS7" s="47">
        <f t="shared" ref="BS7:BS9" si="5">SUM(AS7:BB7)</f>
        <v>0</v>
      </c>
      <c r="BT7" s="48">
        <f t="shared" ref="BT7:BT9" si="6">SUM(BC7:BJ7)</f>
        <v>0</v>
      </c>
      <c r="BU7" s="53">
        <f t="shared" ref="BU7:BU9" si="7">SUM(BK7:BL7)</f>
        <v>0</v>
      </c>
      <c r="BV7" s="54">
        <f t="shared" ref="BV7:BV9" si="8">BM7</f>
        <v>0</v>
      </c>
      <c r="BW7" s="91">
        <f t="shared" ref="BW7:BW9" si="9">SUM(BN7:BV7)</f>
        <v>54</v>
      </c>
      <c r="BX7" s="92">
        <f>BW7/BW9</f>
        <v>1.6513761467889899E-2</v>
      </c>
    </row>
    <row r="8" spans="1:76">
      <c r="A8" s="97" t="s">
        <v>79</v>
      </c>
      <c r="B8" s="6">
        <f>VLOOKUP(B$5,'[1]6. Lives Saved with Mitigation'!$B$15:$I$81,6,FALSE)</f>
        <v>3</v>
      </c>
      <c r="C8" s="7">
        <f>VLOOKUP(C$5,'[1]6. Lives Saved with Mitigation'!$B$15:$I$81,6,FALSE)</f>
        <v>0</v>
      </c>
      <c r="D8" s="8">
        <f>VLOOKUP(D$5,'[1]6. Lives Saved with Mitigation'!$B$15:$I$81,6,FALSE)</f>
        <v>0</v>
      </c>
      <c r="E8" s="8">
        <f>VLOOKUP(E$5,'[1]6. Lives Saved with Mitigation'!$B$15:$I$81,6,FALSE)</f>
        <v>80</v>
      </c>
      <c r="F8" s="8">
        <f>VLOOKUP(F$5,'[1]6. Lives Saved with Mitigation'!$B$15:$I$81,6,FALSE)</f>
        <v>0</v>
      </c>
      <c r="G8" s="8">
        <f>VLOOKUP(G$5,'[1]6. Lives Saved with Mitigation'!$B$15:$I$81,6,FALSE)</f>
        <v>0</v>
      </c>
      <c r="H8" s="8">
        <f>VLOOKUP(H$5,'[1]6. Lives Saved with Mitigation'!$B$15:$I$81,6,FALSE)</f>
        <v>0</v>
      </c>
      <c r="I8" s="8">
        <f>VLOOKUP(I$5,'[1]6. Lives Saved with Mitigation'!$B$15:$I$81,6,FALSE)</f>
        <v>0</v>
      </c>
      <c r="J8" s="8">
        <f>VLOOKUP(J$5,'[1]6. Lives Saved with Mitigation'!$B$15:$I$81,6,FALSE)</f>
        <v>0</v>
      </c>
      <c r="K8" s="8">
        <f>VLOOKUP(K$5,'[1]6. Lives Saved with Mitigation'!$B$15:$I$81,6,FALSE)</f>
        <v>0</v>
      </c>
      <c r="L8" s="8">
        <f>VLOOKUP(L$5,'[1]6. Lives Saved with Mitigation'!$B$15:$I$81,6,FALSE)</f>
        <v>0</v>
      </c>
      <c r="M8" s="8">
        <f>VLOOKUP(M$5,'[1]6. Lives Saved with Mitigation'!$B$15:$I$81,6,FALSE)</f>
        <v>0</v>
      </c>
      <c r="N8" s="8">
        <f>VLOOKUP(N$5,'[1]6. Lives Saved with Mitigation'!$B$15:$I$81,6,FALSE)</f>
        <v>0</v>
      </c>
      <c r="O8" s="16">
        <f>VLOOKUP(O$5,'[1]6. Lives Saved with Mitigation'!$B$15:$I$81,6,FALSE)</f>
        <v>0</v>
      </c>
      <c r="P8" s="17">
        <f>VLOOKUP(P$5,'[1]6. Lives Saved with Mitigation'!$B$15:$I$81,6,FALSE)</f>
        <v>0</v>
      </c>
      <c r="Q8" s="20">
        <f>VLOOKUP(Q$5,'[1]6. Lives Saved with Mitigation'!$B$15:$I$81,6,FALSE)</f>
        <v>38</v>
      </c>
      <c r="R8" s="20">
        <f>VLOOKUP(R$5,'[1]6. Lives Saved with Mitigation'!$B$15:$I$81,6,FALSE)</f>
        <v>0</v>
      </c>
      <c r="S8" s="20">
        <f>VLOOKUP(S$5,'[1]6. Lives Saved with Mitigation'!$B$15:$I$81,6,FALSE)</f>
        <v>0</v>
      </c>
      <c r="T8" s="20">
        <f>VLOOKUP(T$5,'[1]6. Lives Saved with Mitigation'!$B$15:$I$81,6,FALSE)</f>
        <v>21</v>
      </c>
      <c r="U8" s="20">
        <f>VLOOKUP(U$5,'[1]6. Lives Saved with Mitigation'!$B$15:$I$81,6,FALSE)</f>
        <v>21</v>
      </c>
      <c r="V8" s="20">
        <f>VLOOKUP(V$5,'[1]6. Lives Saved with Mitigation'!$B$15:$I$81,6,FALSE)</f>
        <v>26</v>
      </c>
      <c r="W8" s="20">
        <f>VLOOKUP(W$5,'[1]6. Lives Saved with Mitigation'!$B$15:$I$81,6,FALSE)</f>
        <v>0</v>
      </c>
      <c r="X8" s="20">
        <f>VLOOKUP(X$5,'[1]6. Lives Saved with Mitigation'!$B$15:$I$81,6,FALSE)</f>
        <v>0</v>
      </c>
      <c r="Y8" s="20">
        <f>VLOOKUP(Y$5,'[1]6. Lives Saved with Mitigation'!$B$15:$I$81,6,FALSE)</f>
        <v>0</v>
      </c>
      <c r="Z8" s="20">
        <f>VLOOKUP(Z$5,'[1]6. Lives Saved with Mitigation'!$B$15:$I$81,6,FALSE)</f>
        <v>0</v>
      </c>
      <c r="AA8" s="20">
        <f>VLOOKUP(AA$5,'[1]6. Lives Saved with Mitigation'!$B$15:$I$81,6,FALSE)</f>
        <v>0</v>
      </c>
      <c r="AB8" s="20">
        <f>VLOOKUP(AB$5,'[1]6. Lives Saved with Mitigation'!$B$15:$I$81,6,FALSE)</f>
        <v>0</v>
      </c>
      <c r="AC8" s="20">
        <f>VLOOKUP(AC$5,'[1]6. Lives Saved with Mitigation'!$B$15:$I$81,6,FALSE)</f>
        <v>0</v>
      </c>
      <c r="AD8" s="20">
        <f>VLOOKUP(AD$5,'[1]6. Lives Saved with Mitigation'!$B$15:$I$81,6,FALSE)</f>
        <v>48</v>
      </c>
      <c r="AE8" s="20">
        <f>VLOOKUP(AE$5,'[1]6. Lives Saved with Mitigation'!$B$15:$I$81,6,FALSE)</f>
        <v>0</v>
      </c>
      <c r="AF8" s="21">
        <f>VLOOKUP(AF$5,'[1]6. Lives Saved with Mitigation'!$B$15:$I$81,6,FALSE)</f>
        <v>0</v>
      </c>
      <c r="AG8" s="24">
        <f>VLOOKUP(AG$5,'[1]6. Lives Saved with Mitigation'!$B$15:$I$81,6,FALSE)</f>
        <v>209</v>
      </c>
      <c r="AH8" s="25">
        <f>VLOOKUP(AH$5,'[1]6. Lives Saved with Mitigation'!$B$15:$I$81,6,FALSE)</f>
        <v>350</v>
      </c>
      <c r="AI8" s="25">
        <f>VLOOKUP(AI$5,'[1]6. Lives Saved with Mitigation'!$B$15:$I$81,6,FALSE)</f>
        <v>290</v>
      </c>
      <c r="AJ8" s="25">
        <f>VLOOKUP(AJ$5,'[1]6. Lives Saved with Mitigation'!$B$15:$I$81,6,FALSE)</f>
        <v>237</v>
      </c>
      <c r="AK8" s="25">
        <f>VLOOKUP(AK$5,'[1]6. Lives Saved with Mitigation'!$B$15:$I$81,6,FALSE)</f>
        <v>0</v>
      </c>
      <c r="AL8" s="25">
        <f>VLOOKUP(AL$5,'[1]6. Lives Saved with Mitigation'!$B$15:$I$81,6,FALSE)</f>
        <v>0</v>
      </c>
      <c r="AM8" s="25">
        <f>VLOOKUP(AM$5,'[1]6. Lives Saved with Mitigation'!$B$15:$I$81,6,FALSE)</f>
        <v>0</v>
      </c>
      <c r="AN8" s="26">
        <f>'[1]6. Lives Saved with Mitigation'!G53</f>
        <v>1220</v>
      </c>
      <c r="AO8" s="6">
        <f>VLOOKUP(AO$5,'[1]6. Lives Saved with Mitigation'!$B$15:$I$81,6,FALSE)</f>
        <v>0</v>
      </c>
      <c r="AP8" s="29">
        <f>VLOOKUP(AP$5,'[1]6. Lives Saved with Mitigation'!$B$15:$I$81,6,FALSE)</f>
        <v>419</v>
      </c>
      <c r="AQ8" s="30">
        <f>VLOOKUP(AQ$5,'[1]6. Lives Saved with Mitigation'!$B$15:$I$81,6,FALSE)</f>
        <v>6</v>
      </c>
      <c r="AR8" s="31">
        <f>VLOOKUP(AR$5,'[1]6. Lives Saved with Mitigation'!$B$15:$I$81,6,FALSE)</f>
        <v>0</v>
      </c>
      <c r="AS8" s="32">
        <f>VLOOKUP(AS$5,'[1]6. Lives Saved with Mitigation'!$B$15:$I$81,6,FALSE)</f>
        <v>0</v>
      </c>
      <c r="AT8" s="33">
        <f>VLOOKUP(AT$5,'[1]6. Lives Saved with Mitigation'!$B$15:$I$81,6,FALSE)</f>
        <v>0</v>
      </c>
      <c r="AU8" s="33">
        <f>VLOOKUP(AU$5,'[1]6. Lives Saved with Mitigation'!$B$15:$I$81,6,FALSE)</f>
        <v>60</v>
      </c>
      <c r="AV8" s="33">
        <f>VLOOKUP(AV$5,'[1]6. Lives Saved with Mitigation'!$B$15:$I$81,6,FALSE)</f>
        <v>63</v>
      </c>
      <c r="AW8" s="33">
        <f>VLOOKUP(AW$5,'[1]6. Lives Saved with Mitigation'!$B$15:$I$81,6,FALSE)</f>
        <v>0</v>
      </c>
      <c r="AX8" s="33">
        <f>VLOOKUP(AX$5,'[1]6. Lives Saved with Mitigation'!$B$15:$I$81,6,FALSE)</f>
        <v>66</v>
      </c>
      <c r="AY8" s="33">
        <f>VLOOKUP(AY$5,'[1]6. Lives Saved with Mitigation'!$B$15:$I$81,6,FALSE)</f>
        <v>9</v>
      </c>
      <c r="AZ8" s="33">
        <f>VLOOKUP(AZ$5,'[1]6. Lives Saved with Mitigation'!$B$15:$I$81,6,FALSE)</f>
        <v>0</v>
      </c>
      <c r="BA8" s="33">
        <f>VLOOKUP(BA$5,'[1]6. Lives Saved with Mitigation'!$B$15:$I$81,6,FALSE)</f>
        <v>0</v>
      </c>
      <c r="BB8" s="34">
        <f>VLOOKUP(BB$5,'[1]6. Lives Saved with Mitigation'!$B$15:$I$81,6,FALSE)</f>
        <v>16</v>
      </c>
      <c r="BC8" s="35">
        <f>VLOOKUP(BC$5,'[1]6. Lives Saved with Mitigation'!$B$15:$I$81,6,FALSE)</f>
        <v>0</v>
      </c>
      <c r="BD8" s="36">
        <f>VLOOKUP(BD$5,'[1]6. Lives Saved with Mitigation'!$B$15:$I$81,6,FALSE)</f>
        <v>0</v>
      </c>
      <c r="BE8" s="36">
        <f>VLOOKUP(BE$5,'[1]6. Lives Saved with Mitigation'!$B$15:$I$81,6,FALSE)</f>
        <v>9</v>
      </c>
      <c r="BF8" s="36">
        <f>VLOOKUP(BF$5,'[1]6. Lives Saved with Mitigation'!$B$15:$I$81,6,FALSE)</f>
        <v>0</v>
      </c>
      <c r="BG8" s="36">
        <f>VLOOKUP(BG$5,'[1]6. Lives Saved with Mitigation'!$B$15:$I$81,6,FALSE)</f>
        <v>0</v>
      </c>
      <c r="BH8" s="36">
        <f>VLOOKUP(BH$5,'[1]6. Lives Saved with Mitigation'!$B$15:$I$81,6,FALSE)</f>
        <v>25</v>
      </c>
      <c r="BI8" s="36">
        <f>VLOOKUP(BI$5,'[1]6. Lives Saved with Mitigation'!$B$15:$I$81,6,FALSE)</f>
        <v>0</v>
      </c>
      <c r="BJ8" s="37">
        <f>VLOOKUP(BJ$5,'[1]6. Lives Saved with Mitigation'!$B$15:$I$81,6,FALSE)</f>
        <v>0</v>
      </c>
      <c r="BK8" s="38">
        <f>VLOOKUP(BK$5,'[1]6. Lives Saved with Mitigation'!$B$15:$I$81,6,FALSE)</f>
        <v>0</v>
      </c>
      <c r="BL8" s="39">
        <f>VLOOKUP(BL$5,'[1]6. Lives Saved with Mitigation'!$B$15:$I$81,6,FALSE)</f>
        <v>0</v>
      </c>
      <c r="BM8" s="42">
        <f>VLOOKUP(BM$5,'[1]6. Lives Saved with Mitigation'!$B$15:$I$81,6,FALSE)</f>
        <v>0</v>
      </c>
      <c r="BN8" s="43">
        <f t="shared" si="0"/>
        <v>3</v>
      </c>
      <c r="BO8" s="44">
        <f t="shared" si="1"/>
        <v>80</v>
      </c>
      <c r="BP8" s="45">
        <f t="shared" si="2"/>
        <v>154</v>
      </c>
      <c r="BQ8" s="43">
        <f t="shared" si="3"/>
        <v>2306</v>
      </c>
      <c r="BR8" s="46">
        <f t="shared" si="4"/>
        <v>425</v>
      </c>
      <c r="BS8" s="47">
        <f t="shared" si="5"/>
        <v>214</v>
      </c>
      <c r="BT8" s="48">
        <f t="shared" si="6"/>
        <v>34</v>
      </c>
      <c r="BU8" s="53">
        <f t="shared" si="7"/>
        <v>0</v>
      </c>
      <c r="BV8" s="54">
        <f t="shared" si="8"/>
        <v>0</v>
      </c>
      <c r="BW8" s="91">
        <f t="shared" si="9"/>
        <v>3216</v>
      </c>
      <c r="BX8" s="92">
        <f>BW8/BW9</f>
        <v>0.98348623853211004</v>
      </c>
    </row>
    <row r="9" spans="1:76">
      <c r="A9" s="99" t="s">
        <v>80</v>
      </c>
      <c r="B9" s="100">
        <f>VLOOKUP(B$5,'[1]6. Lives Saved with Mitigation'!$B$15:$I$81,8,FALSE)</f>
        <v>7</v>
      </c>
      <c r="C9" s="101">
        <f>VLOOKUP(C$5,'[1]6. Lives Saved with Mitigation'!$B$15:$I$81,8,FALSE)</f>
        <v>0</v>
      </c>
      <c r="D9" s="102">
        <f>VLOOKUP(D$5,'[1]6. Lives Saved with Mitigation'!$B$15:$I$81,8,FALSE)</f>
        <v>0</v>
      </c>
      <c r="E9" s="102">
        <f>VLOOKUP(E$5,'[1]6. Lives Saved with Mitigation'!$B$15:$I$81,8,FALSE)</f>
        <v>81</v>
      </c>
      <c r="F9" s="102">
        <f>VLOOKUP(F$5,'[1]6. Lives Saved with Mitigation'!$B$15:$I$81,8,FALSE)</f>
        <v>0</v>
      </c>
      <c r="G9" s="102">
        <f>VLOOKUP(G$5,'[1]6. Lives Saved with Mitigation'!$B$15:$I$81,8,FALSE)</f>
        <v>0</v>
      </c>
      <c r="H9" s="102">
        <f>VLOOKUP(H$5,'[1]6. Lives Saved with Mitigation'!$B$15:$I$81,8,FALSE)</f>
        <v>0</v>
      </c>
      <c r="I9" s="102">
        <f>VLOOKUP(I$5,'[1]6. Lives Saved with Mitigation'!$B$15:$I$81,8,FALSE)</f>
        <v>0</v>
      </c>
      <c r="J9" s="102">
        <f>VLOOKUP(J$5,'[1]6. Lives Saved with Mitigation'!$B$15:$I$81,8,FALSE)</f>
        <v>0</v>
      </c>
      <c r="K9" s="102">
        <f>VLOOKUP(K$5,'[1]6. Lives Saved with Mitigation'!$B$15:$I$81,8,FALSE)</f>
        <v>0</v>
      </c>
      <c r="L9" s="102">
        <f>VLOOKUP(L$5,'[1]6. Lives Saved with Mitigation'!$B$15:$I$81,8,FALSE)</f>
        <v>3</v>
      </c>
      <c r="M9" s="102">
        <f>VLOOKUP(M$5,'[1]6. Lives Saved with Mitigation'!$B$15:$I$81,8,FALSE)</f>
        <v>0</v>
      </c>
      <c r="N9" s="102">
        <f>VLOOKUP(N$5,'[1]6. Lives Saved with Mitigation'!$B$15:$I$81,8,FALSE)</f>
        <v>1</v>
      </c>
      <c r="O9" s="100">
        <f>VLOOKUP(O$5,'[1]6. Lives Saved with Mitigation'!$B$15:$I$81,8,FALSE)</f>
        <v>7</v>
      </c>
      <c r="P9" s="101">
        <f>VLOOKUP(P$5,'[1]6. Lives Saved with Mitigation'!$B$15:$I$81,8,FALSE)</f>
        <v>0</v>
      </c>
      <c r="Q9" s="102">
        <f>VLOOKUP(Q$5,'[1]6. Lives Saved with Mitigation'!$B$15:$I$81,8,FALSE)</f>
        <v>39</v>
      </c>
      <c r="R9" s="102">
        <f>VLOOKUP(R$5,'[1]6. Lives Saved with Mitigation'!$B$15:$I$81,8,FALSE)</f>
        <v>2</v>
      </c>
      <c r="S9" s="102">
        <f>VLOOKUP(S$5,'[1]6. Lives Saved with Mitigation'!$B$15:$I$81,8,FALSE)</f>
        <v>0</v>
      </c>
      <c r="T9" s="102">
        <f>VLOOKUP(T$5,'[1]6. Lives Saved with Mitigation'!$B$15:$I$81,8,FALSE)</f>
        <v>22</v>
      </c>
      <c r="U9" s="102">
        <f>VLOOKUP(U$5,'[1]6. Lives Saved with Mitigation'!$B$15:$I$81,8,FALSE)</f>
        <v>24</v>
      </c>
      <c r="V9" s="102">
        <f>VLOOKUP(V$5,'[1]6. Lives Saved with Mitigation'!$B$15:$I$81,8,FALSE)</f>
        <v>26</v>
      </c>
      <c r="W9" s="102">
        <f>VLOOKUP(W$5,'[1]6. Lives Saved with Mitigation'!$B$15:$I$81,8,FALSE)</f>
        <v>27</v>
      </c>
      <c r="X9" s="102">
        <f>VLOOKUP(X$5,'[1]6. Lives Saved with Mitigation'!$B$15:$I$81,8,FALSE)</f>
        <v>2</v>
      </c>
      <c r="Y9" s="102">
        <f>VLOOKUP(Y$5,'[1]6. Lives Saved with Mitigation'!$B$15:$I$81,8,FALSE)</f>
        <v>0</v>
      </c>
      <c r="Z9" s="102">
        <f>VLOOKUP(Z$5,'[1]6. Lives Saved with Mitigation'!$B$15:$I$81,8,FALSE)</f>
        <v>0</v>
      </c>
      <c r="AA9" s="102">
        <f>VLOOKUP(AA$5,'[1]6. Lives Saved with Mitigation'!$B$15:$I$81,8,FALSE)</f>
        <v>0</v>
      </c>
      <c r="AB9" s="102">
        <f>VLOOKUP(AB$5,'[1]6. Lives Saved with Mitigation'!$B$15:$I$81,8,FALSE)</f>
        <v>1</v>
      </c>
      <c r="AC9" s="102">
        <f>VLOOKUP(AC$5,'[1]6. Lives Saved with Mitigation'!$B$15:$I$81,8,FALSE)</f>
        <v>0</v>
      </c>
      <c r="AD9" s="102">
        <f>VLOOKUP(AD$5,'[1]6. Lives Saved with Mitigation'!$B$15:$I$81,8,FALSE)</f>
        <v>49</v>
      </c>
      <c r="AE9" s="102">
        <f>VLOOKUP(AE$5,'[1]6. Lives Saved with Mitigation'!$B$15:$I$81,8,FALSE)</f>
        <v>0</v>
      </c>
      <c r="AF9" s="100">
        <f>VLOOKUP(AF$5,'[1]6. Lives Saved with Mitigation'!$B$15:$I$81,8,FALSE)</f>
        <v>0</v>
      </c>
      <c r="AG9" s="101">
        <f>VLOOKUP(AG$5,'[1]6. Lives Saved with Mitigation'!$B$15:$I$81,8,FALSE)</f>
        <v>209</v>
      </c>
      <c r="AH9" s="102">
        <f>VLOOKUP(AH$5,'[1]6. Lives Saved with Mitigation'!$B$15:$I$81,8,FALSE)</f>
        <v>350</v>
      </c>
      <c r="AI9" s="102">
        <f>VLOOKUP(AI$5,'[1]6. Lives Saved with Mitigation'!$B$15:$I$81,8,FALSE)</f>
        <v>290</v>
      </c>
      <c r="AJ9" s="102">
        <f>VLOOKUP(AJ$5,'[1]6. Lives Saved with Mitigation'!$B$15:$I$81,8,FALSE)</f>
        <v>237</v>
      </c>
      <c r="AK9" s="102">
        <f>VLOOKUP(AK$5,'[1]6. Lives Saved with Mitigation'!$B$15:$I$81,8,FALSE)</f>
        <v>0</v>
      </c>
      <c r="AL9" s="102">
        <f>VLOOKUP(AL$5,'[1]6. Lives Saved with Mitigation'!$B$15:$I$81,8,FALSE)</f>
        <v>0</v>
      </c>
      <c r="AM9" s="102">
        <f>VLOOKUP(AM$5,'[1]6. Lives Saved with Mitigation'!$B$15:$I$81,8,FALSE)</f>
        <v>0</v>
      </c>
      <c r="AN9" s="102">
        <f>'[1]6. Lives Saved with Mitigation'!I53</f>
        <v>1220</v>
      </c>
      <c r="AO9" s="100">
        <f>VLOOKUP(AO$5,'[1]6. Lives Saved with Mitigation'!$B$15:$I$81,8,FALSE)</f>
        <v>0</v>
      </c>
      <c r="AP9" s="101">
        <f>VLOOKUP(AP$5,'[1]6. Lives Saved with Mitigation'!$B$15:$I$81,8,FALSE)</f>
        <v>419</v>
      </c>
      <c r="AQ9" s="102">
        <f>VLOOKUP(AQ$5,'[1]6. Lives Saved with Mitigation'!$B$15:$I$81,8,FALSE)</f>
        <v>6</v>
      </c>
      <c r="AR9" s="100">
        <f>VLOOKUP(AR$5,'[1]6. Lives Saved with Mitigation'!$B$15:$I$81,8,FALSE)</f>
        <v>0</v>
      </c>
      <c r="AS9" s="101">
        <f>VLOOKUP(AS$5,'[1]6. Lives Saved with Mitigation'!$B$15:$I$81,8,FALSE)</f>
        <v>0</v>
      </c>
      <c r="AT9" s="102">
        <f>VLOOKUP(AT$5,'[1]6. Lives Saved with Mitigation'!$B$15:$I$81,8,FALSE)</f>
        <v>0</v>
      </c>
      <c r="AU9" s="102">
        <f>VLOOKUP(AU$5,'[1]6. Lives Saved with Mitigation'!$B$15:$I$81,8,FALSE)</f>
        <v>60</v>
      </c>
      <c r="AV9" s="102">
        <f>VLOOKUP(AV$5,'[1]6. Lives Saved with Mitigation'!$B$15:$I$81,8,FALSE)</f>
        <v>63</v>
      </c>
      <c r="AW9" s="102">
        <f>VLOOKUP(AW$5,'[1]6. Lives Saved with Mitigation'!$B$15:$I$81,8,FALSE)</f>
        <v>0</v>
      </c>
      <c r="AX9" s="102">
        <f>VLOOKUP(AX$5,'[1]6. Lives Saved with Mitigation'!$B$15:$I$81,8,FALSE)</f>
        <v>66</v>
      </c>
      <c r="AY9" s="102">
        <f>VLOOKUP(AY$5,'[1]6. Lives Saved with Mitigation'!$B$15:$I$81,8,FALSE)</f>
        <v>9</v>
      </c>
      <c r="AZ9" s="102">
        <f>VLOOKUP(AZ$5,'[1]6. Lives Saved with Mitigation'!$B$15:$I$81,8,FALSE)</f>
        <v>0</v>
      </c>
      <c r="BA9" s="102">
        <f>VLOOKUP(BA$5,'[1]6. Lives Saved with Mitigation'!$B$15:$I$81,8,FALSE)</f>
        <v>0</v>
      </c>
      <c r="BB9" s="100">
        <f>VLOOKUP(BB$5,'[1]6. Lives Saved with Mitigation'!$B$15:$I$81,8,FALSE)</f>
        <v>16</v>
      </c>
      <c r="BC9" s="101">
        <f>VLOOKUP(BC$5,'[1]6. Lives Saved with Mitigation'!$B$15:$I$81,8,FALSE)</f>
        <v>0</v>
      </c>
      <c r="BD9" s="102">
        <f>VLOOKUP(BD$5,'[1]6. Lives Saved with Mitigation'!$B$15:$I$81,8,FALSE)</f>
        <v>0</v>
      </c>
      <c r="BE9" s="102">
        <f>VLOOKUP(BE$5,'[1]6. Lives Saved with Mitigation'!$B$15:$I$81,8,FALSE)</f>
        <v>9</v>
      </c>
      <c r="BF9" s="102">
        <f>VLOOKUP(BF$5,'[1]6. Lives Saved with Mitigation'!$B$15:$I$81,8,FALSE)</f>
        <v>0</v>
      </c>
      <c r="BG9" s="102">
        <f>VLOOKUP(BG$5,'[1]6. Lives Saved with Mitigation'!$B$15:$I$81,8,FALSE)</f>
        <v>0</v>
      </c>
      <c r="BH9" s="102">
        <f>VLOOKUP(BH$5,'[1]6. Lives Saved with Mitigation'!$B$15:$I$81,8,FALSE)</f>
        <v>25</v>
      </c>
      <c r="BI9" s="102">
        <f>VLOOKUP(BI$5,'[1]6. Lives Saved with Mitigation'!$B$15:$I$81,8,FALSE)</f>
        <v>0</v>
      </c>
      <c r="BJ9" s="100">
        <f>VLOOKUP(BJ$5,'[1]6. Lives Saved with Mitigation'!$B$15:$I$81,8,FALSE)</f>
        <v>0</v>
      </c>
      <c r="BK9" s="101">
        <f>VLOOKUP(BK$5,'[1]6. Lives Saved with Mitigation'!$B$15:$I$81,8,FALSE)</f>
        <v>0</v>
      </c>
      <c r="BL9" s="100">
        <f>VLOOKUP(BL$5,'[1]6. Lives Saved with Mitigation'!$B$15:$I$81,8,FALSE)</f>
        <v>0</v>
      </c>
      <c r="BM9" s="101">
        <f>VLOOKUP(BM$5,'[1]6. Lives Saved with Mitigation'!$B$15:$I$81,8,FALSE)</f>
        <v>0</v>
      </c>
      <c r="BN9" s="103">
        <f t="shared" si="0"/>
        <v>7</v>
      </c>
      <c r="BO9" s="103">
        <f t="shared" si="1"/>
        <v>92</v>
      </c>
      <c r="BP9" s="103">
        <f t="shared" si="2"/>
        <v>192</v>
      </c>
      <c r="BQ9" s="103">
        <f t="shared" si="3"/>
        <v>2306</v>
      </c>
      <c r="BR9" s="104">
        <f t="shared" si="4"/>
        <v>425</v>
      </c>
      <c r="BS9" s="104">
        <f t="shared" si="5"/>
        <v>214</v>
      </c>
      <c r="BT9" s="104">
        <f t="shared" si="6"/>
        <v>34</v>
      </c>
      <c r="BU9" s="93">
        <f t="shared" si="7"/>
        <v>0</v>
      </c>
      <c r="BV9" s="93">
        <f t="shared" si="8"/>
        <v>0</v>
      </c>
      <c r="BW9" s="91">
        <f t="shared" si="9"/>
        <v>3270</v>
      </c>
      <c r="BX9" s="92">
        <f>BX7+BX8</f>
        <v>1</v>
      </c>
    </row>
    <row r="10" spans="1:76">
      <c r="A10" s="105" t="s">
        <v>81</v>
      </c>
      <c r="B10" s="9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8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22"/>
      <c r="AF10" s="22"/>
      <c r="AG10" s="10"/>
      <c r="AH10" s="27"/>
      <c r="AI10" s="27"/>
      <c r="AJ10" s="11"/>
      <c r="AK10" s="11"/>
      <c r="AL10" s="11"/>
      <c r="AM10" s="11"/>
      <c r="AN10" s="11"/>
      <c r="AO10" s="11"/>
      <c r="AP10" s="10"/>
      <c r="AQ10" s="11"/>
      <c r="AR10" s="18"/>
      <c r="AS10" s="27"/>
      <c r="AT10" s="11"/>
      <c r="AU10" s="11"/>
      <c r="AV10" s="11"/>
      <c r="AW10" s="11"/>
      <c r="AX10" s="11"/>
      <c r="AY10" s="11"/>
      <c r="AZ10" s="11"/>
      <c r="BA10" s="11"/>
      <c r="BB10" s="22"/>
      <c r="BC10" s="10"/>
      <c r="BD10" s="11"/>
      <c r="BE10" s="11"/>
      <c r="BF10" s="11"/>
      <c r="BG10" s="11"/>
      <c r="BH10" s="11"/>
      <c r="BI10" s="11"/>
      <c r="BJ10" s="18"/>
      <c r="BK10" s="10"/>
      <c r="BL10" s="18"/>
      <c r="BM10" s="22"/>
      <c r="BN10" s="49"/>
      <c r="BO10" s="49"/>
      <c r="BP10" s="49"/>
      <c r="BQ10" s="49"/>
      <c r="BR10" s="50"/>
      <c r="BS10" s="50"/>
      <c r="BT10" s="50"/>
      <c r="BU10" s="55"/>
      <c r="BV10" s="55"/>
      <c r="BW10" s="93"/>
      <c r="BX10" s="93"/>
    </row>
    <row r="11" spans="1:76" s="2" customFormat="1" ht="28.5">
      <c r="A11" s="96" t="s">
        <v>82</v>
      </c>
      <c r="B11" s="13">
        <f>IFERROR(VLOOKUP($A11,'[1]3. Mitigation Impact on Coverag'!$A$7:$MY$53,B$2,FALSE)*B$9,"")</f>
        <v>0.660377358490566</v>
      </c>
      <c r="C11" s="14">
        <f>IFERROR(VLOOKUP($A11,'[1]3. Mitigation Impact on Coverag'!$A$7:$MY$53,C$2,FALSE)*C$9,"")</f>
        <v>0</v>
      </c>
      <c r="D11" s="15">
        <f>IFERROR(VLOOKUP($A11,'[1]3. Mitigation Impact on Coverag'!$A$7:$MY$53,D$2,FALSE)*D$9,"")</f>
        <v>0</v>
      </c>
      <c r="E11" s="15">
        <f>IFERROR(VLOOKUP($A11,'[1]3. Mitigation Impact on Coverag'!$A$7:$MY$53,E$2,FALSE)*E$9,"")</f>
        <v>9.4186046511627897</v>
      </c>
      <c r="F11" s="15">
        <f>IFERROR(VLOOKUP($A11,'[1]3. Mitigation Impact on Coverag'!$A$7:$MY$53,F$2,FALSE)*F$9,"")</f>
        <v>0</v>
      </c>
      <c r="G11" s="15">
        <f>IFERROR(VLOOKUP($A11,'[1]3. Mitigation Impact on Coverag'!$A$7:$MY$53,G$2,FALSE)*G$9,"")</f>
        <v>0</v>
      </c>
      <c r="H11" s="15">
        <f>IFERROR(VLOOKUP($A11,'[1]3. Mitigation Impact on Coverag'!$A$7:$MY$53,H$2,FALSE)*H$9,"")</f>
        <v>0</v>
      </c>
      <c r="I11" s="15">
        <f>IFERROR(VLOOKUP($A11,'[1]3. Mitigation Impact on Coverag'!$A$7:$MY$53,I$2,FALSE)*I$9,"")</f>
        <v>0</v>
      </c>
      <c r="J11" s="15">
        <f>IFERROR(VLOOKUP($A11,'[1]3. Mitigation Impact on Coverag'!$A$7:$MY$53,J$2,FALSE)*J$9,"")</f>
        <v>0</v>
      </c>
      <c r="K11" s="15">
        <f>IFERROR(VLOOKUP($A11,'[1]3. Mitigation Impact on Coverag'!$A$7:$MY$53,K$2,FALSE)*K$9,"")</f>
        <v>0</v>
      </c>
      <c r="L11" s="15">
        <f>IFERROR(VLOOKUP($A11,'[1]3. Mitigation Impact on Coverag'!$A$7:$MY$53,L$2,FALSE)*L$9,"")</f>
        <v>0.34883720930232598</v>
      </c>
      <c r="M11" s="15">
        <f>IFERROR(VLOOKUP($A11,'[1]3. Mitigation Impact on Coverag'!$A$7:$MY$53,M$2,FALSE)*M$9,"")</f>
        <v>0</v>
      </c>
      <c r="N11" s="15">
        <f>IFERROR(VLOOKUP($A11,'[1]3. Mitigation Impact on Coverag'!$A$7:$MY$53,N$2,FALSE)*N$9,"")</f>
        <v>0.13157894736842099</v>
      </c>
      <c r="O11" s="19">
        <f>IFERROR(VLOOKUP($A11,'[1]3. Mitigation Impact on Coverag'!$A$7:$MY$53,O$2,FALSE)*O$9,"")</f>
        <v>0.81395348837209303</v>
      </c>
      <c r="P11" s="14">
        <f>IFERROR(VLOOKUP($A11,'[1]3. Mitigation Impact on Coverag'!$A$7:$MY$53,P$2,FALSE)*P$9,"")</f>
        <v>0</v>
      </c>
      <c r="Q11" s="15">
        <f>IFERROR(VLOOKUP($A11,'[1]3. Mitigation Impact on Coverag'!$A$7:$MY$53,Q$2,FALSE)*Q$9,"")</f>
        <v>5.9090909090909101</v>
      </c>
      <c r="R11" s="15">
        <f>IFERROR(VLOOKUP($A11,'[1]3. Mitigation Impact on Coverag'!$A$7:$MY$53,R$2,FALSE)*R$9,"")</f>
        <v>0.30303030303030298</v>
      </c>
      <c r="S11" s="15">
        <f>IFERROR(VLOOKUP($A11,'[1]3. Mitigation Impact on Coverag'!$A$7:$MY$53,S$2,FALSE)*S$9,"")</f>
        <v>0</v>
      </c>
      <c r="T11" s="15">
        <f>IFERROR(VLOOKUP($A11,'[1]3. Mitigation Impact on Coverag'!$A$7:$MY$53,T$2,FALSE)*T$9,"")</f>
        <v>2.8947368421052602</v>
      </c>
      <c r="U11" s="15">
        <f>IFERROR(VLOOKUP($A11,'[1]3. Mitigation Impact on Coverag'!$A$7:$MY$53,U$2,FALSE)*U$9,"")</f>
        <v>3.1578947368421102</v>
      </c>
      <c r="V11" s="15">
        <f>IFERROR(VLOOKUP($A11,'[1]3. Mitigation Impact on Coverag'!$A$7:$MY$53,V$2,FALSE)*V$9,"")</f>
        <v>3.42105263157895</v>
      </c>
      <c r="W11" s="15">
        <f>IFERROR(VLOOKUP($A11,'[1]3. Mitigation Impact on Coverag'!$A$7:$MY$53,W$2,FALSE)*W$9,"")</f>
        <v>4.0909090909090899</v>
      </c>
      <c r="X11" s="15">
        <f>IFERROR(VLOOKUP($A11,'[1]3. Mitigation Impact on Coverag'!$A$7:$MY$53,X$2,FALSE)*X$9,"")</f>
        <v>0.26315789473684198</v>
      </c>
      <c r="Y11" s="15">
        <f>IFERROR(VLOOKUP($A11,'[1]3. Mitigation Impact on Coverag'!$A$7:$MY$53,Y$2,FALSE)*Y$9,"")</f>
        <v>0</v>
      </c>
      <c r="Z11" s="15">
        <f>IFERROR(VLOOKUP($A11,'[1]3. Mitigation Impact on Coverag'!$A$7:$MY$53,Z$2,FALSE)*Z$9,"")</f>
        <v>0</v>
      </c>
      <c r="AA11" s="15">
        <f>IFERROR(VLOOKUP($A11,'[1]3. Mitigation Impact on Coverag'!$A$7:$MY$53,AA$2,FALSE)*AA$9,"")</f>
        <v>0</v>
      </c>
      <c r="AB11" s="15" t="str">
        <f>IFERROR(VLOOKUP($A11,'[1]3. Mitigation Impact on Coverag'!$A$7:$MY$53,AB$2,FALSE)*AB$9,"")</f>
        <v/>
      </c>
      <c r="AC11" s="15" t="str">
        <f>IFERROR(VLOOKUP($A11,'[1]3. Mitigation Impact on Coverag'!$A$7:$MY$53,AC$2,FALSE)*AC$9,"")</f>
        <v/>
      </c>
      <c r="AD11" s="15">
        <f>IFERROR(VLOOKUP($A11,'[1]3. Mitigation Impact on Coverag'!$A$7:$MY$53,AD$2,FALSE)*AD$9,"")</f>
        <v>6.4473684210526301</v>
      </c>
      <c r="AE11" s="15" t="str">
        <f>IFERROR(VLOOKUP($A11,'[1]3. Mitigation Impact on Coverag'!$A$7:$MY$53,AE$2,FALSE)*AE$9,"")</f>
        <v/>
      </c>
      <c r="AF11" s="23">
        <f>IFERROR(VLOOKUP($A11,'[1]3. Mitigation Impact on Coverag'!$A$7:$MY$53,AF$2,FALSE)*AF$9,"")</f>
        <v>0</v>
      </c>
      <c r="AG11" s="14">
        <f>IFERROR(VLOOKUP($A11,'[1]3. Mitigation Impact on Coverag'!$A$7:$MY$53,AG$2,FALSE)*AG$9,"")</f>
        <v>27.5</v>
      </c>
      <c r="AH11" s="28">
        <f>IFERROR(VLOOKUP($A11,'[1]3. Mitigation Impact on Coverag'!$A$7:$MY$53,AH$2,FALSE)*AH$9,"")</f>
        <v>46.052631578947398</v>
      </c>
      <c r="AI11" s="28">
        <f>IFERROR(VLOOKUP($A11,'[1]3. Mitigation Impact on Coverag'!$A$7:$MY$53,AI$2,FALSE)*AI$9,"")</f>
        <v>38.157894736842103</v>
      </c>
      <c r="AJ11" s="15">
        <f>IFERROR(VLOOKUP($A11,'[1]3. Mitigation Impact on Coverag'!$A$7:$MY$53,AJ$2,FALSE)*AJ$9,"")</f>
        <v>31.184210526315798</v>
      </c>
      <c r="AK11" s="15">
        <f>IFERROR(VLOOKUP($A11,'[1]3. Mitigation Impact on Coverag'!$A$7:$MY$53,AK$2,FALSE)*AK$9,"")</f>
        <v>0</v>
      </c>
      <c r="AL11" s="15">
        <f>IFERROR(VLOOKUP($A11,'[1]3. Mitigation Impact on Coverag'!$A$7:$MY$53,AL$2,FALSE)*AL$9,"")</f>
        <v>0</v>
      </c>
      <c r="AM11" s="15">
        <f>IFERROR(VLOOKUP($A11,'[1]3. Mitigation Impact on Coverag'!$A$7:$MY$53,AM$2,FALSE)*AM$9,"")</f>
        <v>0</v>
      </c>
      <c r="AN11" s="15">
        <f>IFERROR(VLOOKUP($A11,'[1]3. Mitigation Impact on Coverag'!$A$7:$MY$53,AN$2,FALSE)*AN$9,"")</f>
        <v>160.52631578947401</v>
      </c>
      <c r="AO11" s="15">
        <f>IFERROR(VLOOKUP($A11,'[1]3. Mitigation Impact on Coverag'!$A$7:$MY$53,AO$2,FALSE)*AO$9,"")</f>
        <v>0</v>
      </c>
      <c r="AP11" s="14">
        <f>IFERROR(VLOOKUP($A11,'[1]3. Mitigation Impact on Coverag'!$A$7:$MY$53,AP$2,FALSE)*AP$9,"")</f>
        <v>55.131578947368403</v>
      </c>
      <c r="AQ11" s="15">
        <f>IFERROR(VLOOKUP($A11,'[1]3. Mitigation Impact on Coverag'!$A$7:$MY$53,AQ$2,FALSE)*AQ$9,"")</f>
        <v>0.78947368421052599</v>
      </c>
      <c r="AR11" s="19">
        <f>IFERROR(VLOOKUP($A11,'[1]3. Mitigation Impact on Coverag'!$A$7:$MY$53,AR$2,FALSE)*AR$9,"")</f>
        <v>0</v>
      </c>
      <c r="AS11" s="28">
        <f>IFERROR(VLOOKUP($A11,'[1]3. Mitigation Impact on Coverag'!$A$7:$MY$53,AS$2,FALSE)*AS$9,"")</f>
        <v>0</v>
      </c>
      <c r="AT11" s="15">
        <f>IFERROR(VLOOKUP($A11,'[1]3. Mitigation Impact on Coverag'!$A$7:$MY$53,AT$2,FALSE)*AT$9,"")</f>
        <v>0</v>
      </c>
      <c r="AU11" s="15">
        <f>IFERROR(VLOOKUP($A11,'[1]3. Mitigation Impact on Coverag'!$A$7:$MY$53,AU$2,FALSE)*AU$9,"")</f>
        <v>6.6666666666666696</v>
      </c>
      <c r="AV11" s="15">
        <f>IFERROR(VLOOKUP($A11,'[1]3. Mitigation Impact on Coverag'!$A$7:$MY$53,AV$2,FALSE)*AV$9,"")</f>
        <v>7</v>
      </c>
      <c r="AW11" s="15">
        <f>IFERROR(VLOOKUP($A11,'[1]3. Mitigation Impact on Coverag'!$A$7:$MY$53,AW$2,FALSE)*AW$9,"")</f>
        <v>0</v>
      </c>
      <c r="AX11" s="15">
        <f>IFERROR(VLOOKUP($A11,'[1]3. Mitigation Impact on Coverag'!$A$7:$MY$53,AX$2,FALSE)*AX$9,"")</f>
        <v>7.3333333333333304</v>
      </c>
      <c r="AY11" s="15">
        <f>IFERROR(VLOOKUP($A11,'[1]3. Mitigation Impact on Coverag'!$A$7:$MY$53,AY$2,FALSE)*AY$9,"")</f>
        <v>1</v>
      </c>
      <c r="AZ11" s="15">
        <f>IFERROR(VLOOKUP($A11,'[1]3. Mitigation Impact on Coverag'!$A$7:$MY$53,AZ$2,FALSE)*AZ$9,"")</f>
        <v>0</v>
      </c>
      <c r="BA11" s="15">
        <f>IFERROR(VLOOKUP($A11,'[1]3. Mitigation Impact on Coverag'!$A$7:$MY$53,BA$2,FALSE)*BA$9,"")</f>
        <v>0</v>
      </c>
      <c r="BB11" s="23">
        <f>IFERROR(VLOOKUP($A11,'[1]3. Mitigation Impact on Coverag'!$A$7:$MY$53,BB$2,FALSE)*BB$9,"")</f>
        <v>1.7777777777777799</v>
      </c>
      <c r="BC11" s="14">
        <f>IFERROR(VLOOKUP($A11,'[1]3. Mitigation Impact on Coverag'!$A$7:$MY$53,BC$2,FALSE)*BC$9,"")</f>
        <v>0</v>
      </c>
      <c r="BD11" s="15">
        <f>IFERROR(VLOOKUP($A11,'[1]3. Mitigation Impact on Coverag'!$A$7:$MY$53,BD$2,FALSE)*BD$9,"")</f>
        <v>0</v>
      </c>
      <c r="BE11" s="15">
        <f>IFERROR(VLOOKUP($A11,'[1]3. Mitigation Impact on Coverag'!$A$7:$MY$53,BE$2,FALSE)*BE$9,"")</f>
        <v>1</v>
      </c>
      <c r="BF11" s="15">
        <f>IFERROR(VLOOKUP($A11,'[1]3. Mitigation Impact on Coverag'!$A$7:$MY$53,BF$2,FALSE)*BF$9,"")</f>
        <v>0</v>
      </c>
      <c r="BG11" s="15">
        <f>IFERROR(VLOOKUP($A11,'[1]3. Mitigation Impact on Coverag'!$A$7:$MY$53,BG$2,FALSE)*BG$9,"")</f>
        <v>0</v>
      </c>
      <c r="BH11" s="15">
        <f>IFERROR(VLOOKUP($A11,'[1]3. Mitigation Impact on Coverag'!$A$7:$MY$53,BH$2,FALSE)*BH$9,"")</f>
        <v>2.7777777777777799</v>
      </c>
      <c r="BI11" s="15">
        <f>IFERROR(VLOOKUP($A11,'[1]3. Mitigation Impact on Coverag'!$A$7:$MY$53,BI$2,FALSE)*BI$9,"")</f>
        <v>0</v>
      </c>
      <c r="BJ11" s="19">
        <f>IFERROR(VLOOKUP($A11,'[1]3. Mitigation Impact on Coverag'!$A$7:$MY$53,BJ$2,FALSE)*BJ$9,"")</f>
        <v>0</v>
      </c>
      <c r="BK11" s="40" t="str">
        <f>IFERROR(VLOOKUP($A11,'[1]3. Mitigation Impact on Coverag'!$A$7:$MY$53,BK$2,FALSE)*BK$9,"")</f>
        <v/>
      </c>
      <c r="BL11" s="41" t="str">
        <f>IFERROR(VLOOKUP($A11,'[1]3. Mitigation Impact on Coverag'!$A$7:$MY$53,BL$2,FALSE)*BL$9,"")</f>
        <v/>
      </c>
      <c r="BM11" s="51" t="str">
        <f>IFERROR(VLOOKUP($A11,'[1]3. Mitigation Impact on Coverag'!$A$7:$MY$53,BM$2,FALSE)*BM$9,"")</f>
        <v/>
      </c>
      <c r="BN11" s="52">
        <f t="shared" ref="BN11:BN20" si="10">B11</f>
        <v>0.660377358490566</v>
      </c>
      <c r="BO11" s="52">
        <f t="shared" ref="BO11:BO20" si="11">SUM(C11:O11)</f>
        <v>10.7129742962056</v>
      </c>
      <c r="BP11" s="52">
        <f t="shared" ref="BP11:BP20" si="12">SUM(P11:AF11)</f>
        <v>26.487240829346099</v>
      </c>
      <c r="BQ11" s="52">
        <f t="shared" ref="BQ11:BQ20" si="13">SUM(AG11:AO11)</f>
        <v>303.42105263157902</v>
      </c>
      <c r="BR11" s="52">
        <f t="shared" ref="BR11:BR20" si="14">SUM(AP11:AR11)</f>
        <v>55.921052631578902</v>
      </c>
      <c r="BS11" s="52">
        <f t="shared" ref="BS11:BS20" si="15">SUM(AS11:BB11)</f>
        <v>23.7777777777778</v>
      </c>
      <c r="BT11" s="52">
        <f t="shared" ref="BT11:BT20" si="16">SUM(BC11:BJ11)</f>
        <v>3.7777777777777799</v>
      </c>
      <c r="BU11" s="52">
        <f t="shared" ref="BU11:BU20" si="17">SUM(BK11:BL11)</f>
        <v>0</v>
      </c>
      <c r="BV11" s="52" t="str">
        <f t="shared" ref="BV11:BV20" si="18">BM11</f>
        <v/>
      </c>
      <c r="BW11" s="94">
        <f t="shared" ref="BW11:BW20" si="19">SUM(BN11:BV11)</f>
        <v>424.75825330275597</v>
      </c>
      <c r="BX11" s="95">
        <f t="shared" ref="BX11:BX20" si="20">BW11/$BW$9</f>
        <v>0.12989549030665301</v>
      </c>
    </row>
    <row r="12" spans="1:76" s="2" customFormat="1">
      <c r="A12" s="96" t="s">
        <v>83</v>
      </c>
      <c r="B12" s="13">
        <f>IFERROR(VLOOKUP($A12,'[1]3. Mitigation Impact on Coverag'!$A$7:$MY$53,B$2,FALSE)*B$9,"")</f>
        <v>0.26415094339622602</v>
      </c>
      <c r="C12" s="14">
        <f>IFERROR(VLOOKUP($A12,'[1]3. Mitigation Impact on Coverag'!$A$7:$MY$53,C$2,FALSE)*C$9,"")</f>
        <v>0</v>
      </c>
      <c r="D12" s="15">
        <f>IFERROR(VLOOKUP($A12,'[1]3. Mitigation Impact on Coverag'!$A$7:$MY$53,D$2,FALSE)*D$9,"")</f>
        <v>0</v>
      </c>
      <c r="E12" s="15">
        <f>IFERROR(VLOOKUP($A12,'[1]3. Mitigation Impact on Coverag'!$A$7:$MY$53,E$2,FALSE)*E$9,"")</f>
        <v>3.7674418604651199</v>
      </c>
      <c r="F12" s="15">
        <f>IFERROR(VLOOKUP($A12,'[1]3. Mitigation Impact on Coverag'!$A$7:$MY$53,F$2,FALSE)*F$9,"")</f>
        <v>0</v>
      </c>
      <c r="G12" s="15">
        <f>IFERROR(VLOOKUP($A12,'[1]3. Mitigation Impact on Coverag'!$A$7:$MY$53,G$2,FALSE)*G$9,"")</f>
        <v>0</v>
      </c>
      <c r="H12" s="15">
        <f>IFERROR(VLOOKUP($A12,'[1]3. Mitigation Impact on Coverag'!$A$7:$MY$53,H$2,FALSE)*H$9,"")</f>
        <v>0</v>
      </c>
      <c r="I12" s="15">
        <f>IFERROR(VLOOKUP($A12,'[1]3. Mitigation Impact on Coverag'!$A$7:$MY$53,I$2,FALSE)*I$9,"")</f>
        <v>0</v>
      </c>
      <c r="J12" s="15">
        <f>IFERROR(VLOOKUP($A12,'[1]3. Mitigation Impact on Coverag'!$A$7:$MY$53,J$2,FALSE)*J$9,"")</f>
        <v>0</v>
      </c>
      <c r="K12" s="15">
        <f>IFERROR(VLOOKUP($A12,'[1]3. Mitigation Impact on Coverag'!$A$7:$MY$53,K$2,FALSE)*K$9,"")</f>
        <v>0</v>
      </c>
      <c r="L12" s="15">
        <f>IFERROR(VLOOKUP($A12,'[1]3. Mitigation Impact on Coverag'!$A$7:$MY$53,L$2,FALSE)*L$9,"")</f>
        <v>0.13953488372093001</v>
      </c>
      <c r="M12" s="15">
        <f>IFERROR(VLOOKUP($A12,'[1]3. Mitigation Impact on Coverag'!$A$7:$MY$53,M$2,FALSE)*M$9,"")</f>
        <v>0</v>
      </c>
      <c r="N12" s="15">
        <f>IFERROR(VLOOKUP($A12,'[1]3. Mitigation Impact on Coverag'!$A$7:$MY$53,N$2,FALSE)*N$9,"")</f>
        <v>5.2631578947368397E-2</v>
      </c>
      <c r="O12" s="19">
        <f>IFERROR(VLOOKUP($A12,'[1]3. Mitigation Impact on Coverag'!$A$7:$MY$53,O$2,FALSE)*O$9,"")</f>
        <v>0.32558139534883701</v>
      </c>
      <c r="P12" s="14">
        <f>IFERROR(VLOOKUP($A12,'[1]3. Mitigation Impact on Coverag'!$A$7:$MY$53,P$2,FALSE)*P$9,"")</f>
        <v>0</v>
      </c>
      <c r="Q12" s="15">
        <f>IFERROR(VLOOKUP($A12,'[1]3. Mitigation Impact on Coverag'!$A$7:$MY$53,Q$2,FALSE)*Q$9,"")</f>
        <v>2.3636363636363602</v>
      </c>
      <c r="R12" s="15">
        <f>IFERROR(VLOOKUP($A12,'[1]3. Mitigation Impact on Coverag'!$A$7:$MY$53,R$2,FALSE)*R$9,"")</f>
        <v>0.12121212121212099</v>
      </c>
      <c r="S12" s="15">
        <f>IFERROR(VLOOKUP($A12,'[1]3. Mitigation Impact on Coverag'!$A$7:$MY$53,S$2,FALSE)*S$9,"")</f>
        <v>0</v>
      </c>
      <c r="T12" s="15">
        <f>IFERROR(VLOOKUP($A12,'[1]3. Mitigation Impact on Coverag'!$A$7:$MY$53,T$2,FALSE)*T$9,"")</f>
        <v>1.15789473684211</v>
      </c>
      <c r="U12" s="15">
        <f>IFERROR(VLOOKUP($A12,'[1]3. Mitigation Impact on Coverag'!$A$7:$MY$53,U$2,FALSE)*U$9,"")</f>
        <v>1.26315789473684</v>
      </c>
      <c r="V12" s="15">
        <f>IFERROR(VLOOKUP($A12,'[1]3. Mitigation Impact on Coverag'!$A$7:$MY$53,V$2,FALSE)*V$9,"")</f>
        <v>1.3684210526315801</v>
      </c>
      <c r="W12" s="15">
        <f>IFERROR(VLOOKUP($A12,'[1]3. Mitigation Impact on Coverag'!$A$7:$MY$53,W$2,FALSE)*W$9,"")</f>
        <v>1.63636363636364</v>
      </c>
      <c r="X12" s="15">
        <f>IFERROR(VLOOKUP($A12,'[1]3. Mitigation Impact on Coverag'!$A$7:$MY$53,X$2,FALSE)*X$9,"")</f>
        <v>0.105263157894737</v>
      </c>
      <c r="Y12" s="15">
        <f>IFERROR(VLOOKUP($A12,'[1]3. Mitigation Impact on Coverag'!$A$7:$MY$53,Y$2,FALSE)*Y$9,"")</f>
        <v>0</v>
      </c>
      <c r="Z12" s="15">
        <f>IFERROR(VLOOKUP($A12,'[1]3. Mitigation Impact on Coverag'!$A$7:$MY$53,Z$2,FALSE)*Z$9,"")</f>
        <v>0</v>
      </c>
      <c r="AA12" s="15">
        <f>IFERROR(VLOOKUP($A12,'[1]3. Mitigation Impact on Coverag'!$A$7:$MY$53,AA$2,FALSE)*AA$9,"")</f>
        <v>0</v>
      </c>
      <c r="AB12" s="15" t="str">
        <f>IFERROR(VLOOKUP($A12,'[1]3. Mitigation Impact on Coverag'!$A$7:$MY$53,AB$2,FALSE)*AB$9,"")</f>
        <v/>
      </c>
      <c r="AC12" s="15" t="str">
        <f>IFERROR(VLOOKUP($A12,'[1]3. Mitigation Impact on Coverag'!$A$7:$MY$53,AC$2,FALSE)*AC$9,"")</f>
        <v/>
      </c>
      <c r="AD12" s="15">
        <f>IFERROR(VLOOKUP($A12,'[1]3. Mitigation Impact on Coverag'!$A$7:$MY$53,AD$2,FALSE)*AD$9,"")</f>
        <v>2.57894736842105</v>
      </c>
      <c r="AE12" s="15" t="str">
        <f>IFERROR(VLOOKUP($A12,'[1]3. Mitigation Impact on Coverag'!$A$7:$MY$53,AE$2,FALSE)*AE$9,"")</f>
        <v/>
      </c>
      <c r="AF12" s="23">
        <f>IFERROR(VLOOKUP($A12,'[1]3. Mitigation Impact on Coverag'!$A$7:$MY$53,AF$2,FALSE)*AF$9,"")</f>
        <v>0</v>
      </c>
      <c r="AG12" s="14">
        <f>IFERROR(VLOOKUP($A12,'[1]3. Mitigation Impact on Coverag'!$A$7:$MY$53,AG$2,FALSE)*AG$9,"")</f>
        <v>11</v>
      </c>
      <c r="AH12" s="28">
        <f>IFERROR(VLOOKUP($A12,'[1]3. Mitigation Impact on Coverag'!$A$7:$MY$53,AH$2,FALSE)*AH$9,"")</f>
        <v>18.421052631578899</v>
      </c>
      <c r="AI12" s="28">
        <f>IFERROR(VLOOKUP($A12,'[1]3. Mitigation Impact on Coverag'!$A$7:$MY$53,AI$2,FALSE)*AI$9,"")</f>
        <v>15.2631578947368</v>
      </c>
      <c r="AJ12" s="15">
        <f>IFERROR(VLOOKUP($A12,'[1]3. Mitigation Impact on Coverag'!$A$7:$MY$53,AJ$2,FALSE)*AJ$9,"")</f>
        <v>12.473684210526301</v>
      </c>
      <c r="AK12" s="15">
        <f>IFERROR(VLOOKUP($A12,'[1]3. Mitigation Impact on Coverag'!$A$7:$MY$53,AK$2,FALSE)*AK$9,"")</f>
        <v>0</v>
      </c>
      <c r="AL12" s="15">
        <f>IFERROR(VLOOKUP($A12,'[1]3. Mitigation Impact on Coverag'!$A$7:$MY$53,AL$2,FALSE)*AL$9,"")</f>
        <v>0</v>
      </c>
      <c r="AM12" s="15">
        <f>IFERROR(VLOOKUP($A12,'[1]3. Mitigation Impact on Coverag'!$A$7:$MY$53,AM$2,FALSE)*AM$9,"")</f>
        <v>0</v>
      </c>
      <c r="AN12" s="15">
        <f>IFERROR(VLOOKUP($A12,'[1]3. Mitigation Impact on Coverag'!$A$7:$MY$53,AN$2,FALSE)*AN$9,"")</f>
        <v>64.210526315789494</v>
      </c>
      <c r="AO12" s="15">
        <f>IFERROR(VLOOKUP($A12,'[1]3. Mitigation Impact on Coverag'!$A$7:$MY$53,AO$2,FALSE)*AO$9,"")</f>
        <v>0</v>
      </c>
      <c r="AP12" s="14">
        <f>IFERROR(VLOOKUP($A12,'[1]3. Mitigation Impact on Coverag'!$A$7:$MY$53,AP$2,FALSE)*AP$9,"")</f>
        <v>22.052631578947398</v>
      </c>
      <c r="AQ12" s="15">
        <f>IFERROR(VLOOKUP($A12,'[1]3. Mitigation Impact on Coverag'!$A$7:$MY$53,AQ$2,FALSE)*AQ$9,"")</f>
        <v>0.31578947368421101</v>
      </c>
      <c r="AR12" s="19">
        <f>IFERROR(VLOOKUP($A12,'[1]3. Mitigation Impact on Coverag'!$A$7:$MY$53,AR$2,FALSE)*AR$9,"")</f>
        <v>0</v>
      </c>
      <c r="AS12" s="28">
        <f>IFERROR(VLOOKUP($A12,'[1]3. Mitigation Impact on Coverag'!$A$7:$MY$53,AS$2,FALSE)*AS$9,"")</f>
        <v>0</v>
      </c>
      <c r="AT12" s="15">
        <f>IFERROR(VLOOKUP($A12,'[1]3. Mitigation Impact on Coverag'!$A$7:$MY$53,AT$2,FALSE)*AT$9,"")</f>
        <v>0</v>
      </c>
      <c r="AU12" s="15">
        <f>IFERROR(VLOOKUP($A12,'[1]3. Mitigation Impact on Coverag'!$A$7:$MY$53,AU$2,FALSE)*AU$9,"")</f>
        <v>2.6666666666666701</v>
      </c>
      <c r="AV12" s="15">
        <f>IFERROR(VLOOKUP($A12,'[1]3. Mitigation Impact on Coverag'!$A$7:$MY$53,AV$2,FALSE)*AV$9,"")</f>
        <v>2.8</v>
      </c>
      <c r="AW12" s="15">
        <f>IFERROR(VLOOKUP($A12,'[1]3. Mitigation Impact on Coverag'!$A$7:$MY$53,AW$2,FALSE)*AW$9,"")</f>
        <v>0</v>
      </c>
      <c r="AX12" s="15">
        <f>IFERROR(VLOOKUP($A12,'[1]3. Mitigation Impact on Coverag'!$A$7:$MY$53,AX$2,FALSE)*AX$9,"")</f>
        <v>2.93333333333333</v>
      </c>
      <c r="AY12" s="15">
        <f>IFERROR(VLOOKUP($A12,'[1]3. Mitigation Impact on Coverag'!$A$7:$MY$53,AY$2,FALSE)*AY$9,"")</f>
        <v>0.4</v>
      </c>
      <c r="AZ12" s="15">
        <f>IFERROR(VLOOKUP($A12,'[1]3. Mitigation Impact on Coverag'!$A$7:$MY$53,AZ$2,FALSE)*AZ$9,"")</f>
        <v>0</v>
      </c>
      <c r="BA12" s="15">
        <f>IFERROR(VLOOKUP($A12,'[1]3. Mitigation Impact on Coverag'!$A$7:$MY$53,BA$2,FALSE)*BA$9,"")</f>
        <v>0</v>
      </c>
      <c r="BB12" s="23">
        <f>IFERROR(VLOOKUP($A12,'[1]3. Mitigation Impact on Coverag'!$A$7:$MY$53,BB$2,FALSE)*BB$9,"")</f>
        <v>0.71111111111111103</v>
      </c>
      <c r="BC12" s="14">
        <f>IFERROR(VLOOKUP($A12,'[1]3. Mitigation Impact on Coverag'!$A$7:$MY$53,BC$2,FALSE)*BC$9,"")</f>
        <v>0</v>
      </c>
      <c r="BD12" s="15">
        <f>IFERROR(VLOOKUP($A12,'[1]3. Mitigation Impact on Coverag'!$A$7:$MY$53,BD$2,FALSE)*BD$9,"")</f>
        <v>0</v>
      </c>
      <c r="BE12" s="15">
        <f>IFERROR(VLOOKUP($A12,'[1]3. Mitigation Impact on Coverag'!$A$7:$MY$53,BE$2,FALSE)*BE$9,"")</f>
        <v>0.4</v>
      </c>
      <c r="BF12" s="15">
        <f>IFERROR(VLOOKUP($A12,'[1]3. Mitigation Impact on Coverag'!$A$7:$MY$53,BF$2,FALSE)*BF$9,"")</f>
        <v>0</v>
      </c>
      <c r="BG12" s="15">
        <f>IFERROR(VLOOKUP($A12,'[1]3. Mitigation Impact on Coverag'!$A$7:$MY$53,BG$2,FALSE)*BG$9,"")</f>
        <v>0</v>
      </c>
      <c r="BH12" s="15">
        <f>IFERROR(VLOOKUP($A12,'[1]3. Mitigation Impact on Coverag'!$A$7:$MY$53,BH$2,FALSE)*BH$9,"")</f>
        <v>1.1111111111111101</v>
      </c>
      <c r="BI12" s="15">
        <f>IFERROR(VLOOKUP($A12,'[1]3. Mitigation Impact on Coverag'!$A$7:$MY$53,BI$2,FALSE)*BI$9,"")</f>
        <v>0</v>
      </c>
      <c r="BJ12" s="19">
        <f>IFERROR(VLOOKUP($A12,'[1]3. Mitigation Impact on Coverag'!$A$7:$MY$53,BJ$2,FALSE)*BJ$9,"")</f>
        <v>0</v>
      </c>
      <c r="BK12" s="40" t="str">
        <f>IFERROR(VLOOKUP($A12,'[1]3. Mitigation Impact on Coverag'!$A$7:$MY$53,BK$2,FALSE)*BK$9,"")</f>
        <v/>
      </c>
      <c r="BL12" s="41" t="str">
        <f>IFERROR(VLOOKUP($A12,'[1]3. Mitigation Impact on Coverag'!$A$7:$MY$53,BL$2,FALSE)*BL$9,"")</f>
        <v/>
      </c>
      <c r="BM12" s="51" t="str">
        <f>IFERROR(VLOOKUP($A12,'[1]3. Mitigation Impact on Coverag'!$A$7:$MY$53,BM$2,FALSE)*BM$9,"")</f>
        <v/>
      </c>
      <c r="BN12" s="52">
        <f t="shared" si="10"/>
        <v>0.26415094339622602</v>
      </c>
      <c r="BO12" s="52">
        <f t="shared" si="11"/>
        <v>4.2851897184822496</v>
      </c>
      <c r="BP12" s="52">
        <f t="shared" si="12"/>
        <v>10.594896331738401</v>
      </c>
      <c r="BQ12" s="52">
        <f t="shared" si="13"/>
        <v>121.368421052632</v>
      </c>
      <c r="BR12" s="52">
        <f t="shared" si="14"/>
        <v>22.3684210526316</v>
      </c>
      <c r="BS12" s="52">
        <f t="shared" si="15"/>
        <v>9.5111111111111093</v>
      </c>
      <c r="BT12" s="52">
        <f t="shared" si="16"/>
        <v>1.51111111111111</v>
      </c>
      <c r="BU12" s="52">
        <f t="shared" si="17"/>
        <v>0</v>
      </c>
      <c r="BV12" s="52" t="str">
        <f t="shared" si="18"/>
        <v/>
      </c>
      <c r="BW12" s="94">
        <f t="shared" si="19"/>
        <v>169.90330132110199</v>
      </c>
      <c r="BX12" s="95">
        <f t="shared" si="20"/>
        <v>5.1958196122661199E-2</v>
      </c>
    </row>
    <row r="13" spans="1:76" s="2" customFormat="1" ht="28.5">
      <c r="A13" s="96" t="s">
        <v>84</v>
      </c>
      <c r="B13" s="13" t="str">
        <f>IFERROR(VLOOKUP($A13,'[1]3. Mitigation Impact on Coverag'!$A$7:$MY$53,B$2,FALSE)*B$9,"")</f>
        <v/>
      </c>
      <c r="C13" s="14" t="str">
        <f>IFERROR(VLOOKUP($A13,'[1]3. Mitigation Impact on Coverag'!$A$7:$MY$53,C$2,FALSE)*C$9,"")</f>
        <v/>
      </c>
      <c r="D13" s="15" t="str">
        <f>IFERROR(VLOOKUP($A13,'[1]3. Mitigation Impact on Coverag'!$A$7:$MY$53,D$2,FALSE)*D$9,"")</f>
        <v/>
      </c>
      <c r="E13" s="15" t="str">
        <f>IFERROR(VLOOKUP($A13,'[1]3. Mitigation Impact on Coverag'!$A$7:$MY$53,E$2,FALSE)*E$9,"")</f>
        <v/>
      </c>
      <c r="F13" s="15" t="str">
        <f>IFERROR(VLOOKUP($A13,'[1]3. Mitigation Impact on Coverag'!$A$7:$MY$53,F$2,FALSE)*F$9,"")</f>
        <v/>
      </c>
      <c r="G13" s="15" t="str">
        <f>IFERROR(VLOOKUP($A13,'[1]3. Mitigation Impact on Coverag'!$A$7:$MY$53,G$2,FALSE)*G$9,"")</f>
        <v/>
      </c>
      <c r="H13" s="15" t="str">
        <f>IFERROR(VLOOKUP($A13,'[1]3. Mitigation Impact on Coverag'!$A$7:$MY$53,H$2,FALSE)*H$9,"")</f>
        <v/>
      </c>
      <c r="I13" s="15" t="str">
        <f>IFERROR(VLOOKUP($A13,'[1]3. Mitigation Impact on Coverag'!$A$7:$MY$53,I$2,FALSE)*I$9,"")</f>
        <v/>
      </c>
      <c r="J13" s="15" t="str">
        <f>IFERROR(VLOOKUP($A13,'[1]3. Mitigation Impact on Coverag'!$A$7:$MY$53,J$2,FALSE)*J$9,"")</f>
        <v/>
      </c>
      <c r="K13" s="15" t="str">
        <f>IFERROR(VLOOKUP($A13,'[1]3. Mitigation Impact on Coverag'!$A$7:$MY$53,K$2,FALSE)*K$9,"")</f>
        <v/>
      </c>
      <c r="L13" s="15" t="str">
        <f>IFERROR(VLOOKUP($A13,'[1]3. Mitigation Impact on Coverag'!$A$7:$MY$53,L$2,FALSE)*L$9,"")</f>
        <v/>
      </c>
      <c r="M13" s="15" t="str">
        <f>IFERROR(VLOOKUP($A13,'[1]3. Mitigation Impact on Coverag'!$A$7:$MY$53,M$2,FALSE)*M$9,"")</f>
        <v/>
      </c>
      <c r="N13" s="15" t="str">
        <f>IFERROR(VLOOKUP($A13,'[1]3. Mitigation Impact on Coverag'!$A$7:$MY$53,N$2,FALSE)*N$9,"")</f>
        <v/>
      </c>
      <c r="O13" s="19" t="str">
        <f>IFERROR(VLOOKUP($A13,'[1]3. Mitigation Impact on Coverag'!$A$7:$MY$53,O$2,FALSE)*O$9,"")</f>
        <v/>
      </c>
      <c r="P13" s="14" t="str">
        <f>IFERROR(VLOOKUP($A13,'[1]3. Mitigation Impact on Coverag'!$A$7:$MY$53,P$2,FALSE)*P$9,"")</f>
        <v/>
      </c>
      <c r="Q13" s="15" t="str">
        <f>IFERROR(VLOOKUP($A13,'[1]3. Mitigation Impact on Coverag'!$A$7:$MY$53,Q$2,FALSE)*Q$9,"")</f>
        <v/>
      </c>
      <c r="R13" s="15" t="str">
        <f>IFERROR(VLOOKUP($A13,'[1]3. Mitigation Impact on Coverag'!$A$7:$MY$53,R$2,FALSE)*R$9,"")</f>
        <v/>
      </c>
      <c r="S13" s="15" t="str">
        <f>IFERROR(VLOOKUP($A13,'[1]3. Mitigation Impact on Coverag'!$A$7:$MY$53,S$2,FALSE)*S$9,"")</f>
        <v/>
      </c>
      <c r="T13" s="15" t="str">
        <f>IFERROR(VLOOKUP($A13,'[1]3. Mitigation Impact on Coverag'!$A$7:$MY$53,T$2,FALSE)*T$9,"")</f>
        <v/>
      </c>
      <c r="U13" s="15" t="str">
        <f>IFERROR(VLOOKUP($A13,'[1]3. Mitigation Impact on Coverag'!$A$7:$MY$53,U$2,FALSE)*U$9,"")</f>
        <v/>
      </c>
      <c r="V13" s="15" t="str">
        <f>IFERROR(VLOOKUP($A13,'[1]3. Mitigation Impact on Coverag'!$A$7:$MY$53,V$2,FALSE)*V$9,"")</f>
        <v/>
      </c>
      <c r="W13" s="15" t="str">
        <f>IFERROR(VLOOKUP($A13,'[1]3. Mitigation Impact on Coverag'!$A$7:$MY$53,W$2,FALSE)*W$9,"")</f>
        <v/>
      </c>
      <c r="X13" s="15" t="str">
        <f>IFERROR(VLOOKUP($A13,'[1]3. Mitigation Impact on Coverag'!$A$7:$MY$53,X$2,FALSE)*X$9,"")</f>
        <v/>
      </c>
      <c r="Y13" s="15" t="str">
        <f>IFERROR(VLOOKUP($A13,'[1]3. Mitigation Impact on Coverag'!$A$7:$MY$53,Y$2,FALSE)*Y$9,"")</f>
        <v/>
      </c>
      <c r="Z13" s="15" t="str">
        <f>IFERROR(VLOOKUP($A13,'[1]3. Mitigation Impact on Coverag'!$A$7:$MY$53,Z$2,FALSE)*Z$9,"")</f>
        <v/>
      </c>
      <c r="AA13" s="15" t="str">
        <f>IFERROR(VLOOKUP($A13,'[1]3. Mitigation Impact on Coverag'!$A$7:$MY$53,AA$2,FALSE)*AA$9,"")</f>
        <v/>
      </c>
      <c r="AB13" s="15" t="str">
        <f>IFERROR(VLOOKUP($A13,'[1]3. Mitigation Impact on Coverag'!$A$7:$MY$53,AB$2,FALSE)*AB$9,"")</f>
        <v/>
      </c>
      <c r="AC13" s="15" t="str">
        <f>IFERROR(VLOOKUP($A13,'[1]3. Mitigation Impact on Coverag'!$A$7:$MY$53,AC$2,FALSE)*AC$9,"")</f>
        <v/>
      </c>
      <c r="AD13" s="15" t="str">
        <f>IFERROR(VLOOKUP($A13,'[1]3. Mitigation Impact on Coverag'!$A$7:$MY$53,AD$2,FALSE)*AD$9,"")</f>
        <v/>
      </c>
      <c r="AE13" s="15" t="str">
        <f>IFERROR(VLOOKUP($A13,'[1]3. Mitigation Impact on Coverag'!$A$7:$MY$53,AE$2,FALSE)*AE$9,"")</f>
        <v/>
      </c>
      <c r="AF13" s="23" t="str">
        <f>IFERROR(VLOOKUP($A13,'[1]3. Mitigation Impact on Coverag'!$A$7:$MY$53,AF$2,FALSE)*AF$9,"")</f>
        <v/>
      </c>
      <c r="AG13" s="14" t="str">
        <f>IFERROR(VLOOKUP($A13,'[1]3. Mitigation Impact on Coverag'!$A$7:$MY$53,AG$2,FALSE)*AG$9,"")</f>
        <v/>
      </c>
      <c r="AH13" s="28" t="str">
        <f>IFERROR(VLOOKUP($A13,'[1]3. Mitigation Impact on Coverag'!$A$7:$MY$53,AH$2,FALSE)*AH$9,"")</f>
        <v/>
      </c>
      <c r="AI13" s="28" t="str">
        <f>IFERROR(VLOOKUP($A13,'[1]3. Mitigation Impact on Coverag'!$A$7:$MY$53,AI$2,FALSE)*AI$9,"")</f>
        <v/>
      </c>
      <c r="AJ13" s="15" t="str">
        <f>IFERROR(VLOOKUP($A13,'[1]3. Mitigation Impact on Coverag'!$A$7:$MY$53,AJ$2,FALSE)*AJ$9,"")</f>
        <v/>
      </c>
      <c r="AK13" s="15" t="str">
        <f>IFERROR(VLOOKUP($A13,'[1]3. Mitigation Impact on Coverag'!$A$7:$MY$53,AK$2,FALSE)*AK$9,"")</f>
        <v/>
      </c>
      <c r="AL13" s="15" t="str">
        <f>IFERROR(VLOOKUP($A13,'[1]3. Mitigation Impact on Coverag'!$A$7:$MY$53,AL$2,FALSE)*AL$9,"")</f>
        <v/>
      </c>
      <c r="AM13" s="15" t="str">
        <f>IFERROR(VLOOKUP($A13,'[1]3. Mitigation Impact on Coverag'!$A$7:$MY$53,AM$2,FALSE)*AM$9,"")</f>
        <v/>
      </c>
      <c r="AN13" s="15" t="str">
        <f>IFERROR(VLOOKUP($A13,'[1]3. Mitigation Impact on Coverag'!$A$7:$MY$53,AN$2,FALSE)*AN$9,"")</f>
        <v/>
      </c>
      <c r="AO13" s="15" t="str">
        <f>IFERROR(VLOOKUP($A13,'[1]3. Mitigation Impact on Coverag'!$A$7:$MY$53,AO$2,FALSE)*AO$9,"")</f>
        <v/>
      </c>
      <c r="AP13" s="14" t="str">
        <f>IFERROR(VLOOKUP($A13,'[1]3. Mitigation Impact on Coverag'!$A$7:$MY$53,AP$2,FALSE)*AP$9,"")</f>
        <v/>
      </c>
      <c r="AQ13" s="15" t="str">
        <f>IFERROR(VLOOKUP($A13,'[1]3. Mitigation Impact on Coverag'!$A$7:$MY$53,AQ$2,FALSE)*AQ$9,"")</f>
        <v/>
      </c>
      <c r="AR13" s="19" t="str">
        <f>IFERROR(VLOOKUP($A13,'[1]3. Mitigation Impact on Coverag'!$A$7:$MY$53,AR$2,FALSE)*AR$9,"")</f>
        <v/>
      </c>
      <c r="AS13" s="28" t="str">
        <f>IFERROR(VLOOKUP($A13,'[1]3. Mitigation Impact on Coverag'!$A$7:$MY$53,AS$2,FALSE)*AS$9,"")</f>
        <v/>
      </c>
      <c r="AT13" s="15" t="str">
        <f>IFERROR(VLOOKUP($A13,'[1]3. Mitigation Impact on Coverag'!$A$7:$MY$53,AT$2,FALSE)*AT$9,"")</f>
        <v/>
      </c>
      <c r="AU13" s="15" t="str">
        <f>IFERROR(VLOOKUP($A13,'[1]3. Mitigation Impact on Coverag'!$A$7:$MY$53,AU$2,FALSE)*AU$9,"")</f>
        <v/>
      </c>
      <c r="AV13" s="15" t="str">
        <f>IFERROR(VLOOKUP($A13,'[1]3. Mitigation Impact on Coverag'!$A$7:$MY$53,AV$2,FALSE)*AV$9,"")</f>
        <v/>
      </c>
      <c r="AW13" s="15" t="str">
        <f>IFERROR(VLOOKUP($A13,'[1]3. Mitigation Impact on Coverag'!$A$7:$MY$53,AW$2,FALSE)*AW$9,"")</f>
        <v/>
      </c>
      <c r="AX13" s="15" t="str">
        <f>IFERROR(VLOOKUP($A13,'[1]3. Mitigation Impact on Coverag'!$A$7:$MY$53,AX$2,FALSE)*AX$9,"")</f>
        <v/>
      </c>
      <c r="AY13" s="15" t="str">
        <f>IFERROR(VLOOKUP($A13,'[1]3. Mitigation Impact on Coverag'!$A$7:$MY$53,AY$2,FALSE)*AY$9,"")</f>
        <v/>
      </c>
      <c r="AZ13" s="15" t="str">
        <f>IFERROR(VLOOKUP($A13,'[1]3. Mitigation Impact on Coverag'!$A$7:$MY$53,AZ$2,FALSE)*AZ$9,"")</f>
        <v/>
      </c>
      <c r="BA13" s="15" t="str">
        <f>IFERROR(VLOOKUP($A13,'[1]3. Mitigation Impact on Coverag'!$A$7:$MY$53,BA$2,FALSE)*BA$9,"")</f>
        <v/>
      </c>
      <c r="BB13" s="23" t="str">
        <f>IFERROR(VLOOKUP($A13,'[1]3. Mitigation Impact on Coverag'!$A$7:$MY$53,BB$2,FALSE)*BB$9,"")</f>
        <v/>
      </c>
      <c r="BC13" s="14" t="str">
        <f>IFERROR(VLOOKUP($A13,'[1]3. Mitigation Impact on Coverag'!$A$7:$MY$53,BC$2,FALSE)*BC$9,"")</f>
        <v/>
      </c>
      <c r="BD13" s="15" t="str">
        <f>IFERROR(VLOOKUP($A13,'[1]3. Mitigation Impact on Coverag'!$A$7:$MY$53,BD$2,FALSE)*BD$9,"")</f>
        <v/>
      </c>
      <c r="BE13" s="15" t="str">
        <f>IFERROR(VLOOKUP($A13,'[1]3. Mitigation Impact on Coverag'!$A$7:$MY$53,BE$2,FALSE)*BE$9,"")</f>
        <v/>
      </c>
      <c r="BF13" s="15" t="str">
        <f>IFERROR(VLOOKUP($A13,'[1]3. Mitigation Impact on Coverag'!$A$7:$MY$53,BF$2,FALSE)*BF$9,"")</f>
        <v/>
      </c>
      <c r="BG13" s="15" t="str">
        <f>IFERROR(VLOOKUP($A13,'[1]3. Mitigation Impact on Coverag'!$A$7:$MY$53,BG$2,FALSE)*BG$9,"")</f>
        <v/>
      </c>
      <c r="BH13" s="15" t="str">
        <f>IFERROR(VLOOKUP($A13,'[1]3. Mitigation Impact on Coverag'!$A$7:$MY$53,BH$2,FALSE)*BH$9,"")</f>
        <v/>
      </c>
      <c r="BI13" s="15" t="str">
        <f>IFERROR(VLOOKUP($A13,'[1]3. Mitigation Impact on Coverag'!$A$7:$MY$53,BI$2,FALSE)*BI$9,"")</f>
        <v/>
      </c>
      <c r="BJ13" s="19" t="str">
        <f>IFERROR(VLOOKUP($A13,'[1]3. Mitigation Impact on Coverag'!$A$7:$MY$53,BJ$2,FALSE)*BJ$9,"")</f>
        <v/>
      </c>
      <c r="BK13" s="40" t="str">
        <f>IFERROR(VLOOKUP($A13,'[1]3. Mitigation Impact on Coverag'!$A$7:$MY$53,BK$2,FALSE)*BK$9,"")</f>
        <v/>
      </c>
      <c r="BL13" s="41" t="str">
        <f>IFERROR(VLOOKUP($A13,'[1]3. Mitigation Impact on Coverag'!$A$7:$MY$53,BL$2,FALSE)*BL$9,"")</f>
        <v/>
      </c>
      <c r="BM13" s="51" t="str">
        <f>IFERROR(VLOOKUP($A13,'[1]3. Mitigation Impact on Coverag'!$A$7:$MY$53,BM$2,FALSE)*BM$9,"")</f>
        <v/>
      </c>
      <c r="BN13" s="52" t="str">
        <f t="shared" si="10"/>
        <v/>
      </c>
      <c r="BO13" s="52">
        <f t="shared" si="11"/>
        <v>0</v>
      </c>
      <c r="BP13" s="52">
        <f t="shared" si="12"/>
        <v>0</v>
      </c>
      <c r="BQ13" s="52">
        <f t="shared" si="13"/>
        <v>0</v>
      </c>
      <c r="BR13" s="52">
        <f t="shared" si="14"/>
        <v>0</v>
      </c>
      <c r="BS13" s="52">
        <f t="shared" si="15"/>
        <v>0</v>
      </c>
      <c r="BT13" s="52">
        <f t="shared" si="16"/>
        <v>0</v>
      </c>
      <c r="BU13" s="52">
        <f t="shared" si="17"/>
        <v>0</v>
      </c>
      <c r="BV13" s="52" t="str">
        <f t="shared" si="18"/>
        <v/>
      </c>
      <c r="BW13" s="94">
        <f t="shared" si="19"/>
        <v>0</v>
      </c>
      <c r="BX13" s="95">
        <f t="shared" si="20"/>
        <v>0</v>
      </c>
    </row>
    <row r="14" spans="1:76" s="2" customFormat="1" ht="28.5">
      <c r="A14" s="96" t="s">
        <v>85</v>
      </c>
      <c r="B14" s="13">
        <f>IFERROR(VLOOKUP($A14,'[1]3. Mitigation Impact on Coverag'!$A$7:$MY$53,B$2,FALSE)*B$9,"")</f>
        <v>0.26415094339622602</v>
      </c>
      <c r="C14" s="14">
        <f>IFERROR(VLOOKUP($A14,'[1]3. Mitigation Impact on Coverag'!$A$7:$MY$53,C$2,FALSE)*C$9,"")</f>
        <v>0</v>
      </c>
      <c r="D14" s="15">
        <f>IFERROR(VLOOKUP($A14,'[1]3. Mitigation Impact on Coverag'!$A$7:$MY$53,D$2,FALSE)*D$9,"")</f>
        <v>0</v>
      </c>
      <c r="E14" s="15">
        <f>IFERROR(VLOOKUP($A14,'[1]3. Mitigation Impact on Coverag'!$A$7:$MY$53,E$2,FALSE)*E$9,"")</f>
        <v>3.7674418604651199</v>
      </c>
      <c r="F14" s="15">
        <f>IFERROR(VLOOKUP($A14,'[1]3. Mitigation Impact on Coverag'!$A$7:$MY$53,F$2,FALSE)*F$9,"")</f>
        <v>0</v>
      </c>
      <c r="G14" s="15">
        <f>IFERROR(VLOOKUP($A14,'[1]3. Mitigation Impact on Coverag'!$A$7:$MY$53,G$2,FALSE)*G$9,"")</f>
        <v>0</v>
      </c>
      <c r="H14" s="15">
        <f>IFERROR(VLOOKUP($A14,'[1]3. Mitigation Impact on Coverag'!$A$7:$MY$53,H$2,FALSE)*H$9,"")</f>
        <v>0</v>
      </c>
      <c r="I14" s="15">
        <f>IFERROR(VLOOKUP($A14,'[1]3. Mitigation Impact on Coverag'!$A$7:$MY$53,I$2,FALSE)*I$9,"")</f>
        <v>0</v>
      </c>
      <c r="J14" s="15">
        <f>IFERROR(VLOOKUP($A14,'[1]3. Mitigation Impact on Coverag'!$A$7:$MY$53,J$2,FALSE)*J$9,"")</f>
        <v>0</v>
      </c>
      <c r="K14" s="15">
        <f>IFERROR(VLOOKUP($A14,'[1]3. Mitigation Impact on Coverag'!$A$7:$MY$53,K$2,FALSE)*K$9,"")</f>
        <v>0</v>
      </c>
      <c r="L14" s="15">
        <f>IFERROR(VLOOKUP($A14,'[1]3. Mitigation Impact on Coverag'!$A$7:$MY$53,L$2,FALSE)*L$9,"")</f>
        <v>0.13953488372093001</v>
      </c>
      <c r="M14" s="15">
        <f>IFERROR(VLOOKUP($A14,'[1]3. Mitigation Impact on Coverag'!$A$7:$MY$53,M$2,FALSE)*M$9,"")</f>
        <v>0</v>
      </c>
      <c r="N14" s="15">
        <f>IFERROR(VLOOKUP($A14,'[1]3. Mitigation Impact on Coverag'!$A$7:$MY$53,N$2,FALSE)*N$9,"")</f>
        <v>5.2631578947368397E-2</v>
      </c>
      <c r="O14" s="19">
        <f>IFERROR(VLOOKUP($A14,'[1]3. Mitigation Impact on Coverag'!$A$7:$MY$53,O$2,FALSE)*O$9,"")</f>
        <v>0.32558139534883701</v>
      </c>
      <c r="P14" s="14">
        <f>IFERROR(VLOOKUP($A14,'[1]3. Mitigation Impact on Coverag'!$A$7:$MY$53,P$2,FALSE)*P$9,"")</f>
        <v>0</v>
      </c>
      <c r="Q14" s="15">
        <f>IFERROR(VLOOKUP($A14,'[1]3. Mitigation Impact on Coverag'!$A$7:$MY$53,Q$2,FALSE)*Q$9,"")</f>
        <v>2.3636363636363602</v>
      </c>
      <c r="R14" s="15">
        <f>IFERROR(VLOOKUP($A14,'[1]3. Mitigation Impact on Coverag'!$A$7:$MY$53,R$2,FALSE)*R$9,"")</f>
        <v>0.12121212121212099</v>
      </c>
      <c r="S14" s="15">
        <f>IFERROR(VLOOKUP($A14,'[1]3. Mitigation Impact on Coverag'!$A$7:$MY$53,S$2,FALSE)*S$9,"")</f>
        <v>0</v>
      </c>
      <c r="T14" s="15">
        <f>IFERROR(VLOOKUP($A14,'[1]3. Mitigation Impact on Coverag'!$A$7:$MY$53,T$2,FALSE)*T$9,"")</f>
        <v>1.15789473684211</v>
      </c>
      <c r="U14" s="15">
        <f>IFERROR(VLOOKUP($A14,'[1]3. Mitigation Impact on Coverag'!$A$7:$MY$53,U$2,FALSE)*U$9,"")</f>
        <v>1.26315789473684</v>
      </c>
      <c r="V14" s="15">
        <f>IFERROR(VLOOKUP($A14,'[1]3. Mitigation Impact on Coverag'!$A$7:$MY$53,V$2,FALSE)*V$9,"")</f>
        <v>1.3684210526315801</v>
      </c>
      <c r="W14" s="15">
        <f>IFERROR(VLOOKUP($A14,'[1]3. Mitigation Impact on Coverag'!$A$7:$MY$53,W$2,FALSE)*W$9,"")</f>
        <v>1.63636363636364</v>
      </c>
      <c r="X14" s="15">
        <f>IFERROR(VLOOKUP($A14,'[1]3. Mitigation Impact on Coverag'!$A$7:$MY$53,X$2,FALSE)*X$9,"")</f>
        <v>0.105263157894737</v>
      </c>
      <c r="Y14" s="15">
        <f>IFERROR(VLOOKUP($A14,'[1]3. Mitigation Impact on Coverag'!$A$7:$MY$53,Y$2,FALSE)*Y$9,"")</f>
        <v>0</v>
      </c>
      <c r="Z14" s="15">
        <f>IFERROR(VLOOKUP($A14,'[1]3. Mitigation Impact on Coverag'!$A$7:$MY$53,Z$2,FALSE)*Z$9,"")</f>
        <v>0</v>
      </c>
      <c r="AA14" s="15">
        <f>IFERROR(VLOOKUP($A14,'[1]3. Mitigation Impact on Coverag'!$A$7:$MY$53,AA$2,FALSE)*AA$9,"")</f>
        <v>0</v>
      </c>
      <c r="AB14" s="15" t="str">
        <f>IFERROR(VLOOKUP($A14,'[1]3. Mitigation Impact on Coverag'!$A$7:$MY$53,AB$2,FALSE)*AB$9,"")</f>
        <v/>
      </c>
      <c r="AC14" s="15" t="str">
        <f>IFERROR(VLOOKUP($A14,'[1]3. Mitigation Impact on Coverag'!$A$7:$MY$53,AC$2,FALSE)*AC$9,"")</f>
        <v/>
      </c>
      <c r="AD14" s="15">
        <f>IFERROR(VLOOKUP($A14,'[1]3. Mitigation Impact on Coverag'!$A$7:$MY$53,AD$2,FALSE)*AD$9,"")</f>
        <v>2.57894736842105</v>
      </c>
      <c r="AE14" s="15" t="str">
        <f>IFERROR(VLOOKUP($A14,'[1]3. Mitigation Impact on Coverag'!$A$7:$MY$53,AE$2,FALSE)*AE$9,"")</f>
        <v/>
      </c>
      <c r="AF14" s="23">
        <f>IFERROR(VLOOKUP($A14,'[1]3. Mitigation Impact on Coverag'!$A$7:$MY$53,AF$2,FALSE)*AF$9,"")</f>
        <v>0</v>
      </c>
      <c r="AG14" s="14">
        <f>IFERROR(VLOOKUP($A14,'[1]3. Mitigation Impact on Coverag'!$A$7:$MY$53,AG$2,FALSE)*AG$9,"")</f>
        <v>11</v>
      </c>
      <c r="AH14" s="28">
        <f>IFERROR(VLOOKUP($A14,'[1]3. Mitigation Impact on Coverag'!$A$7:$MY$53,AH$2,FALSE)*AH$9,"")</f>
        <v>18.421052631578899</v>
      </c>
      <c r="AI14" s="28">
        <f>IFERROR(VLOOKUP($A14,'[1]3. Mitigation Impact on Coverag'!$A$7:$MY$53,AI$2,FALSE)*AI$9,"")</f>
        <v>15.2631578947368</v>
      </c>
      <c r="AJ14" s="15">
        <f>IFERROR(VLOOKUP($A14,'[1]3. Mitigation Impact on Coverag'!$A$7:$MY$53,AJ$2,FALSE)*AJ$9,"")</f>
        <v>12.473684210526301</v>
      </c>
      <c r="AK14" s="15">
        <f>IFERROR(VLOOKUP($A14,'[1]3. Mitigation Impact on Coverag'!$A$7:$MY$53,AK$2,FALSE)*AK$9,"")</f>
        <v>0</v>
      </c>
      <c r="AL14" s="15">
        <f>IFERROR(VLOOKUP($A14,'[1]3. Mitigation Impact on Coverag'!$A$7:$MY$53,AL$2,FALSE)*AL$9,"")</f>
        <v>0</v>
      </c>
      <c r="AM14" s="15">
        <f>IFERROR(VLOOKUP($A14,'[1]3. Mitigation Impact on Coverag'!$A$7:$MY$53,AM$2,FALSE)*AM$9,"")</f>
        <v>0</v>
      </c>
      <c r="AN14" s="15">
        <f>IFERROR(VLOOKUP($A14,'[1]3. Mitigation Impact on Coverag'!$A$7:$MY$53,AN$2,FALSE)*AN$9,"")</f>
        <v>64.210526315789494</v>
      </c>
      <c r="AO14" s="15">
        <f>IFERROR(VLOOKUP($A14,'[1]3. Mitigation Impact on Coverag'!$A$7:$MY$53,AO$2,FALSE)*AO$9,"")</f>
        <v>0</v>
      </c>
      <c r="AP14" s="14">
        <f>IFERROR(VLOOKUP($A14,'[1]3. Mitigation Impact on Coverag'!$A$7:$MY$53,AP$2,FALSE)*AP$9,"")</f>
        <v>22.052631578947398</v>
      </c>
      <c r="AQ14" s="15">
        <f>IFERROR(VLOOKUP($A14,'[1]3. Mitigation Impact on Coverag'!$A$7:$MY$53,AQ$2,FALSE)*AQ$9,"")</f>
        <v>0.31578947368421101</v>
      </c>
      <c r="AR14" s="19">
        <f>IFERROR(VLOOKUP($A14,'[1]3. Mitigation Impact on Coverag'!$A$7:$MY$53,AR$2,FALSE)*AR$9,"")</f>
        <v>0</v>
      </c>
      <c r="AS14" s="28">
        <f>IFERROR(VLOOKUP($A14,'[1]3. Mitigation Impact on Coverag'!$A$7:$MY$53,AS$2,FALSE)*AS$9,"")</f>
        <v>0</v>
      </c>
      <c r="AT14" s="15">
        <f>IFERROR(VLOOKUP($A14,'[1]3. Mitigation Impact on Coverag'!$A$7:$MY$53,AT$2,FALSE)*AT$9,"")</f>
        <v>0</v>
      </c>
      <c r="AU14" s="15">
        <f>IFERROR(VLOOKUP($A14,'[1]3. Mitigation Impact on Coverag'!$A$7:$MY$53,AU$2,FALSE)*AU$9,"")</f>
        <v>2.6666666666666701</v>
      </c>
      <c r="AV14" s="15">
        <f>IFERROR(VLOOKUP($A14,'[1]3. Mitigation Impact on Coverag'!$A$7:$MY$53,AV$2,FALSE)*AV$9,"")</f>
        <v>2.8</v>
      </c>
      <c r="AW14" s="15">
        <f>IFERROR(VLOOKUP($A14,'[1]3. Mitigation Impact on Coverag'!$A$7:$MY$53,AW$2,FALSE)*AW$9,"")</f>
        <v>0</v>
      </c>
      <c r="AX14" s="15">
        <f>IFERROR(VLOOKUP($A14,'[1]3. Mitigation Impact on Coverag'!$A$7:$MY$53,AX$2,FALSE)*AX$9,"")</f>
        <v>2.93333333333333</v>
      </c>
      <c r="AY14" s="15">
        <f>IFERROR(VLOOKUP($A14,'[1]3. Mitigation Impact on Coverag'!$A$7:$MY$53,AY$2,FALSE)*AY$9,"")</f>
        <v>0.4</v>
      </c>
      <c r="AZ14" s="15">
        <f>IFERROR(VLOOKUP($A14,'[1]3. Mitigation Impact on Coverag'!$A$7:$MY$53,AZ$2,FALSE)*AZ$9,"")</f>
        <v>0</v>
      </c>
      <c r="BA14" s="15">
        <f>IFERROR(VLOOKUP($A14,'[1]3. Mitigation Impact on Coverag'!$A$7:$MY$53,BA$2,FALSE)*BA$9,"")</f>
        <v>0</v>
      </c>
      <c r="BB14" s="23">
        <f>IFERROR(VLOOKUP($A14,'[1]3. Mitigation Impact on Coverag'!$A$7:$MY$53,BB$2,FALSE)*BB$9,"")</f>
        <v>0.71111111111111103</v>
      </c>
      <c r="BC14" s="14">
        <f>IFERROR(VLOOKUP($A14,'[1]3. Mitigation Impact on Coverag'!$A$7:$MY$53,BC$2,FALSE)*BC$9,"")</f>
        <v>0</v>
      </c>
      <c r="BD14" s="15">
        <f>IFERROR(VLOOKUP($A14,'[1]3. Mitigation Impact on Coverag'!$A$7:$MY$53,BD$2,FALSE)*BD$9,"")</f>
        <v>0</v>
      </c>
      <c r="BE14" s="15">
        <f>IFERROR(VLOOKUP($A14,'[1]3. Mitigation Impact on Coverag'!$A$7:$MY$53,BE$2,FALSE)*BE$9,"")</f>
        <v>0.4</v>
      </c>
      <c r="BF14" s="15">
        <f>IFERROR(VLOOKUP($A14,'[1]3. Mitigation Impact on Coverag'!$A$7:$MY$53,BF$2,FALSE)*BF$9,"")</f>
        <v>0</v>
      </c>
      <c r="BG14" s="15">
        <f>IFERROR(VLOOKUP($A14,'[1]3. Mitigation Impact on Coverag'!$A$7:$MY$53,BG$2,FALSE)*BG$9,"")</f>
        <v>0</v>
      </c>
      <c r="BH14" s="15">
        <f>IFERROR(VLOOKUP($A14,'[1]3. Mitigation Impact on Coverag'!$A$7:$MY$53,BH$2,FALSE)*BH$9,"")</f>
        <v>1.1111111111111101</v>
      </c>
      <c r="BI14" s="15">
        <f>IFERROR(VLOOKUP($A14,'[1]3. Mitigation Impact on Coverag'!$A$7:$MY$53,BI$2,FALSE)*BI$9,"")</f>
        <v>0</v>
      </c>
      <c r="BJ14" s="19">
        <f>IFERROR(VLOOKUP($A14,'[1]3. Mitigation Impact on Coverag'!$A$7:$MY$53,BJ$2,FALSE)*BJ$9,"")</f>
        <v>0</v>
      </c>
      <c r="BK14" s="40" t="str">
        <f>IFERROR(VLOOKUP($A14,'[1]3. Mitigation Impact on Coverag'!$A$7:$MY$53,BK$2,FALSE)*BK$9,"")</f>
        <v/>
      </c>
      <c r="BL14" s="41" t="str">
        <f>IFERROR(VLOOKUP($A14,'[1]3. Mitigation Impact on Coverag'!$A$7:$MY$53,BL$2,FALSE)*BL$9,"")</f>
        <v/>
      </c>
      <c r="BM14" s="51" t="str">
        <f>IFERROR(VLOOKUP($A14,'[1]3. Mitigation Impact on Coverag'!$A$7:$MY$53,BM$2,FALSE)*BM$9,"")</f>
        <v/>
      </c>
      <c r="BN14" s="52">
        <f t="shared" si="10"/>
        <v>0.26415094339622602</v>
      </c>
      <c r="BO14" s="52">
        <f t="shared" si="11"/>
        <v>4.2851897184822496</v>
      </c>
      <c r="BP14" s="52">
        <f t="shared" si="12"/>
        <v>10.594896331738401</v>
      </c>
      <c r="BQ14" s="52">
        <f t="shared" si="13"/>
        <v>121.368421052632</v>
      </c>
      <c r="BR14" s="52">
        <f t="shared" si="14"/>
        <v>22.3684210526316</v>
      </c>
      <c r="BS14" s="52">
        <f t="shared" si="15"/>
        <v>9.5111111111111093</v>
      </c>
      <c r="BT14" s="52">
        <f t="shared" si="16"/>
        <v>1.51111111111111</v>
      </c>
      <c r="BU14" s="52">
        <f t="shared" si="17"/>
        <v>0</v>
      </c>
      <c r="BV14" s="52" t="str">
        <f t="shared" si="18"/>
        <v/>
      </c>
      <c r="BW14" s="94">
        <f t="shared" si="19"/>
        <v>169.90330132110199</v>
      </c>
      <c r="BX14" s="95">
        <f t="shared" si="20"/>
        <v>5.1958196122661199E-2</v>
      </c>
    </row>
    <row r="15" spans="1:76" s="2" customFormat="1">
      <c r="A15" s="96" t="s">
        <v>86</v>
      </c>
      <c r="B15" s="13">
        <f>IFERROR(VLOOKUP($A15,'[1]3. Mitigation Impact on Coverag'!$A$7:$MY$53,B$2,FALSE)*B$9,"")</f>
        <v>0.26415094339622602</v>
      </c>
      <c r="C15" s="14">
        <f>IFERROR(VLOOKUP($A15,'[1]3. Mitigation Impact on Coverag'!$A$7:$MY$53,C$2,FALSE)*C$9,"")</f>
        <v>0</v>
      </c>
      <c r="D15" s="15">
        <f>IFERROR(VLOOKUP($A15,'[1]3. Mitigation Impact on Coverag'!$A$7:$MY$53,D$2,FALSE)*D$9,"")</f>
        <v>0</v>
      </c>
      <c r="E15" s="15">
        <f>IFERROR(VLOOKUP($A15,'[1]3. Mitigation Impact on Coverag'!$A$7:$MY$53,E$2,FALSE)*E$9,"")</f>
        <v>3.7674418604651199</v>
      </c>
      <c r="F15" s="15">
        <f>IFERROR(VLOOKUP($A15,'[1]3. Mitigation Impact on Coverag'!$A$7:$MY$53,F$2,FALSE)*F$9,"")</f>
        <v>0</v>
      </c>
      <c r="G15" s="15">
        <f>IFERROR(VLOOKUP($A15,'[1]3. Mitigation Impact on Coverag'!$A$7:$MY$53,G$2,FALSE)*G$9,"")</f>
        <v>0</v>
      </c>
      <c r="H15" s="15">
        <f>IFERROR(VLOOKUP($A15,'[1]3. Mitigation Impact on Coverag'!$A$7:$MY$53,H$2,FALSE)*H$9,"")</f>
        <v>0</v>
      </c>
      <c r="I15" s="15">
        <f>IFERROR(VLOOKUP($A15,'[1]3. Mitigation Impact on Coverag'!$A$7:$MY$53,I$2,FALSE)*I$9,"")</f>
        <v>0</v>
      </c>
      <c r="J15" s="15">
        <f>IFERROR(VLOOKUP($A15,'[1]3. Mitigation Impact on Coverag'!$A$7:$MY$53,J$2,FALSE)*J$9,"")</f>
        <v>0</v>
      </c>
      <c r="K15" s="15">
        <f>IFERROR(VLOOKUP($A15,'[1]3. Mitigation Impact on Coverag'!$A$7:$MY$53,K$2,FALSE)*K$9,"")</f>
        <v>0</v>
      </c>
      <c r="L15" s="15">
        <f>IFERROR(VLOOKUP($A15,'[1]3. Mitigation Impact on Coverag'!$A$7:$MY$53,L$2,FALSE)*L$9,"")</f>
        <v>0.13953488372093001</v>
      </c>
      <c r="M15" s="15">
        <f>IFERROR(VLOOKUP($A15,'[1]3. Mitigation Impact on Coverag'!$A$7:$MY$53,M$2,FALSE)*M$9,"")</f>
        <v>0</v>
      </c>
      <c r="N15" s="15">
        <f>IFERROR(VLOOKUP($A15,'[1]3. Mitigation Impact on Coverag'!$A$7:$MY$53,N$2,FALSE)*N$9,"")</f>
        <v>5.2631578947368397E-2</v>
      </c>
      <c r="O15" s="19">
        <f>IFERROR(VLOOKUP($A15,'[1]3. Mitigation Impact on Coverag'!$A$7:$MY$53,O$2,FALSE)*O$9,"")</f>
        <v>0.32558139534883701</v>
      </c>
      <c r="P15" s="14">
        <f>IFERROR(VLOOKUP($A15,'[1]3. Mitigation Impact on Coverag'!$A$7:$MY$53,P$2,FALSE)*P$9,"")</f>
        <v>0</v>
      </c>
      <c r="Q15" s="15">
        <f>IFERROR(VLOOKUP($A15,'[1]3. Mitigation Impact on Coverag'!$A$7:$MY$53,Q$2,FALSE)*Q$9,"")</f>
        <v>2.3636363636363602</v>
      </c>
      <c r="R15" s="15">
        <f>IFERROR(VLOOKUP($A15,'[1]3. Mitigation Impact on Coverag'!$A$7:$MY$53,R$2,FALSE)*R$9,"")</f>
        <v>0.12121212121212099</v>
      </c>
      <c r="S15" s="15">
        <f>IFERROR(VLOOKUP($A15,'[1]3. Mitigation Impact on Coverag'!$A$7:$MY$53,S$2,FALSE)*S$9,"")</f>
        <v>0</v>
      </c>
      <c r="T15" s="15">
        <f>IFERROR(VLOOKUP($A15,'[1]3. Mitigation Impact on Coverag'!$A$7:$MY$53,T$2,FALSE)*T$9,"")</f>
        <v>1.15789473684211</v>
      </c>
      <c r="U15" s="15">
        <f>IFERROR(VLOOKUP($A15,'[1]3. Mitigation Impact on Coverag'!$A$7:$MY$53,U$2,FALSE)*U$9,"")</f>
        <v>1.26315789473684</v>
      </c>
      <c r="V15" s="15">
        <f>IFERROR(VLOOKUP($A15,'[1]3. Mitigation Impact on Coverag'!$A$7:$MY$53,V$2,FALSE)*V$9,"")</f>
        <v>1.3684210526315801</v>
      </c>
      <c r="W15" s="15">
        <f>IFERROR(VLOOKUP($A15,'[1]3. Mitigation Impact on Coverag'!$A$7:$MY$53,W$2,FALSE)*W$9,"")</f>
        <v>1.63636363636364</v>
      </c>
      <c r="X15" s="15">
        <f>IFERROR(VLOOKUP($A15,'[1]3. Mitigation Impact on Coverag'!$A$7:$MY$53,X$2,FALSE)*X$9,"")</f>
        <v>0.105263157894737</v>
      </c>
      <c r="Y15" s="15">
        <f>IFERROR(VLOOKUP($A15,'[1]3. Mitigation Impact on Coverag'!$A$7:$MY$53,Y$2,FALSE)*Y$9,"")</f>
        <v>0</v>
      </c>
      <c r="Z15" s="15">
        <f>IFERROR(VLOOKUP($A15,'[1]3. Mitigation Impact on Coverag'!$A$7:$MY$53,Z$2,FALSE)*Z$9,"")</f>
        <v>0</v>
      </c>
      <c r="AA15" s="15">
        <f>IFERROR(VLOOKUP($A15,'[1]3. Mitigation Impact on Coverag'!$A$7:$MY$53,AA$2,FALSE)*AA$9,"")</f>
        <v>0</v>
      </c>
      <c r="AB15" s="15" t="str">
        <f>IFERROR(VLOOKUP($A15,'[1]3. Mitigation Impact on Coverag'!$A$7:$MY$53,AB$2,FALSE)*AB$9,"")</f>
        <v/>
      </c>
      <c r="AC15" s="15" t="str">
        <f>IFERROR(VLOOKUP($A15,'[1]3. Mitigation Impact on Coverag'!$A$7:$MY$53,AC$2,FALSE)*AC$9,"")</f>
        <v/>
      </c>
      <c r="AD15" s="15">
        <f>IFERROR(VLOOKUP($A15,'[1]3. Mitigation Impact on Coverag'!$A$7:$MY$53,AD$2,FALSE)*AD$9,"")</f>
        <v>2.57894736842105</v>
      </c>
      <c r="AE15" s="15" t="str">
        <f>IFERROR(VLOOKUP($A15,'[1]3. Mitigation Impact on Coverag'!$A$7:$MY$53,AE$2,FALSE)*AE$9,"")</f>
        <v/>
      </c>
      <c r="AF15" s="23">
        <f>IFERROR(VLOOKUP($A15,'[1]3. Mitigation Impact on Coverag'!$A$7:$MY$53,AF$2,FALSE)*AF$9,"")</f>
        <v>0</v>
      </c>
      <c r="AG15" s="14">
        <f>IFERROR(VLOOKUP($A15,'[1]3. Mitigation Impact on Coverag'!$A$7:$MY$53,AG$2,FALSE)*AG$9,"")</f>
        <v>11</v>
      </c>
      <c r="AH15" s="28">
        <f>IFERROR(VLOOKUP($A15,'[1]3. Mitigation Impact on Coverag'!$A$7:$MY$53,AH$2,FALSE)*AH$9,"")</f>
        <v>18.421052631578899</v>
      </c>
      <c r="AI15" s="28">
        <f>IFERROR(VLOOKUP($A15,'[1]3. Mitigation Impact on Coverag'!$A$7:$MY$53,AI$2,FALSE)*AI$9,"")</f>
        <v>15.2631578947368</v>
      </c>
      <c r="AJ15" s="15">
        <f>IFERROR(VLOOKUP($A15,'[1]3. Mitigation Impact on Coverag'!$A$7:$MY$53,AJ$2,FALSE)*AJ$9,"")</f>
        <v>12.473684210526301</v>
      </c>
      <c r="AK15" s="15">
        <f>IFERROR(VLOOKUP($A15,'[1]3. Mitigation Impact on Coverag'!$A$7:$MY$53,AK$2,FALSE)*AK$9,"")</f>
        <v>0</v>
      </c>
      <c r="AL15" s="15">
        <f>IFERROR(VLOOKUP($A15,'[1]3. Mitigation Impact on Coverag'!$A$7:$MY$53,AL$2,FALSE)*AL$9,"")</f>
        <v>0</v>
      </c>
      <c r="AM15" s="15">
        <f>IFERROR(VLOOKUP($A15,'[1]3. Mitigation Impact on Coverag'!$A$7:$MY$53,AM$2,FALSE)*AM$9,"")</f>
        <v>0</v>
      </c>
      <c r="AN15" s="15">
        <f>IFERROR(VLOOKUP($A15,'[1]3. Mitigation Impact on Coverag'!$A$7:$MY$53,AN$2,FALSE)*AN$9,"")</f>
        <v>64.210526315789494</v>
      </c>
      <c r="AO15" s="15">
        <f>IFERROR(VLOOKUP($A15,'[1]3. Mitigation Impact on Coverag'!$A$7:$MY$53,AO$2,FALSE)*AO$9,"")</f>
        <v>0</v>
      </c>
      <c r="AP15" s="14">
        <f>IFERROR(VLOOKUP($A15,'[1]3. Mitigation Impact on Coverag'!$A$7:$MY$53,AP$2,FALSE)*AP$9,"")</f>
        <v>22.052631578947398</v>
      </c>
      <c r="AQ15" s="15">
        <f>IFERROR(VLOOKUP($A15,'[1]3. Mitigation Impact on Coverag'!$A$7:$MY$53,AQ$2,FALSE)*AQ$9,"")</f>
        <v>0.31578947368421101</v>
      </c>
      <c r="AR15" s="19">
        <f>IFERROR(VLOOKUP($A15,'[1]3. Mitigation Impact on Coverag'!$A$7:$MY$53,AR$2,FALSE)*AR$9,"")</f>
        <v>0</v>
      </c>
      <c r="AS15" s="28">
        <f>IFERROR(VLOOKUP($A15,'[1]3. Mitigation Impact on Coverag'!$A$7:$MY$53,AS$2,FALSE)*AS$9,"")</f>
        <v>0</v>
      </c>
      <c r="AT15" s="15">
        <f>IFERROR(VLOOKUP($A15,'[1]3. Mitigation Impact on Coverag'!$A$7:$MY$53,AT$2,FALSE)*AT$9,"")</f>
        <v>0</v>
      </c>
      <c r="AU15" s="15">
        <f>IFERROR(VLOOKUP($A15,'[1]3. Mitigation Impact on Coverag'!$A$7:$MY$53,AU$2,FALSE)*AU$9,"")</f>
        <v>2.6666666666666701</v>
      </c>
      <c r="AV15" s="15">
        <f>IFERROR(VLOOKUP($A15,'[1]3. Mitigation Impact on Coverag'!$A$7:$MY$53,AV$2,FALSE)*AV$9,"")</f>
        <v>2.8</v>
      </c>
      <c r="AW15" s="15">
        <f>IFERROR(VLOOKUP($A15,'[1]3. Mitigation Impact on Coverag'!$A$7:$MY$53,AW$2,FALSE)*AW$9,"")</f>
        <v>0</v>
      </c>
      <c r="AX15" s="15">
        <f>IFERROR(VLOOKUP($A15,'[1]3. Mitigation Impact on Coverag'!$A$7:$MY$53,AX$2,FALSE)*AX$9,"")</f>
        <v>2.93333333333333</v>
      </c>
      <c r="AY15" s="15">
        <f>IFERROR(VLOOKUP($A15,'[1]3. Mitigation Impact on Coverag'!$A$7:$MY$53,AY$2,FALSE)*AY$9,"")</f>
        <v>0.4</v>
      </c>
      <c r="AZ15" s="15">
        <f>IFERROR(VLOOKUP($A15,'[1]3. Mitigation Impact on Coverag'!$A$7:$MY$53,AZ$2,FALSE)*AZ$9,"")</f>
        <v>0</v>
      </c>
      <c r="BA15" s="15">
        <f>IFERROR(VLOOKUP($A15,'[1]3. Mitigation Impact on Coverag'!$A$7:$MY$53,BA$2,FALSE)*BA$9,"")</f>
        <v>0</v>
      </c>
      <c r="BB15" s="23">
        <f>IFERROR(VLOOKUP($A15,'[1]3. Mitigation Impact on Coverag'!$A$7:$MY$53,BB$2,FALSE)*BB$9,"")</f>
        <v>0.71111111111111103</v>
      </c>
      <c r="BC15" s="14">
        <f>IFERROR(VLOOKUP($A15,'[1]3. Mitigation Impact on Coverag'!$A$7:$MY$53,BC$2,FALSE)*BC$9,"")</f>
        <v>0</v>
      </c>
      <c r="BD15" s="15">
        <f>IFERROR(VLOOKUP($A15,'[1]3. Mitigation Impact on Coverag'!$A$7:$MY$53,BD$2,FALSE)*BD$9,"")</f>
        <v>0</v>
      </c>
      <c r="BE15" s="15">
        <f>IFERROR(VLOOKUP($A15,'[1]3. Mitigation Impact on Coverag'!$A$7:$MY$53,BE$2,FALSE)*BE$9,"")</f>
        <v>0.4</v>
      </c>
      <c r="BF15" s="15">
        <f>IFERROR(VLOOKUP($A15,'[1]3. Mitigation Impact on Coverag'!$A$7:$MY$53,BF$2,FALSE)*BF$9,"")</f>
        <v>0</v>
      </c>
      <c r="BG15" s="15">
        <f>IFERROR(VLOOKUP($A15,'[1]3. Mitigation Impact on Coverag'!$A$7:$MY$53,BG$2,FALSE)*BG$9,"")</f>
        <v>0</v>
      </c>
      <c r="BH15" s="15">
        <f>IFERROR(VLOOKUP($A15,'[1]3. Mitigation Impact on Coverag'!$A$7:$MY$53,BH$2,FALSE)*BH$9,"")</f>
        <v>1.1111111111111101</v>
      </c>
      <c r="BI15" s="15">
        <f>IFERROR(VLOOKUP($A15,'[1]3. Mitigation Impact on Coverag'!$A$7:$MY$53,BI$2,FALSE)*BI$9,"")</f>
        <v>0</v>
      </c>
      <c r="BJ15" s="19">
        <f>IFERROR(VLOOKUP($A15,'[1]3. Mitigation Impact on Coverag'!$A$7:$MY$53,BJ$2,FALSE)*BJ$9,"")</f>
        <v>0</v>
      </c>
      <c r="BK15" s="40" t="str">
        <f>IFERROR(VLOOKUP($A15,'[1]3. Mitigation Impact on Coverag'!$A$7:$MY$53,BK$2,FALSE)*BK$9,"")</f>
        <v/>
      </c>
      <c r="BL15" s="41" t="str">
        <f>IFERROR(VLOOKUP($A15,'[1]3. Mitigation Impact on Coverag'!$A$7:$MY$53,BL$2,FALSE)*BL$9,"")</f>
        <v/>
      </c>
      <c r="BM15" s="51" t="str">
        <f>IFERROR(VLOOKUP($A15,'[1]3. Mitigation Impact on Coverag'!$A$7:$MY$53,BM$2,FALSE)*BM$9,"")</f>
        <v/>
      </c>
      <c r="BN15" s="52">
        <f t="shared" si="10"/>
        <v>0.26415094339622602</v>
      </c>
      <c r="BO15" s="52">
        <f t="shared" si="11"/>
        <v>4.2851897184822496</v>
      </c>
      <c r="BP15" s="52">
        <f t="shared" si="12"/>
        <v>10.594896331738401</v>
      </c>
      <c r="BQ15" s="52">
        <f t="shared" si="13"/>
        <v>121.368421052632</v>
      </c>
      <c r="BR15" s="52">
        <f t="shared" si="14"/>
        <v>22.3684210526316</v>
      </c>
      <c r="BS15" s="52">
        <f t="shared" si="15"/>
        <v>9.5111111111111093</v>
      </c>
      <c r="BT15" s="52">
        <f t="shared" si="16"/>
        <v>1.51111111111111</v>
      </c>
      <c r="BU15" s="52">
        <f t="shared" si="17"/>
        <v>0</v>
      </c>
      <c r="BV15" s="52" t="str">
        <f t="shared" si="18"/>
        <v/>
      </c>
      <c r="BW15" s="94">
        <f t="shared" si="19"/>
        <v>169.90330132110199</v>
      </c>
      <c r="BX15" s="95">
        <f t="shared" si="20"/>
        <v>5.1958196122661199E-2</v>
      </c>
    </row>
    <row r="16" spans="1:76" s="2" customFormat="1">
      <c r="A16" s="96" t="s">
        <v>87</v>
      </c>
      <c r="B16" s="13">
        <f>IFERROR(VLOOKUP($A16,'[1]3. Mitigation Impact on Coverag'!$A$7:$MY$53,B$2,FALSE)*B$9,"")</f>
        <v>0.660377358490566</v>
      </c>
      <c r="C16" s="14">
        <f>IFERROR(VLOOKUP($A16,'[1]3. Mitigation Impact on Coverag'!$A$7:$MY$53,C$2,FALSE)*C$9,"")</f>
        <v>0</v>
      </c>
      <c r="D16" s="15">
        <f>IFERROR(VLOOKUP($A16,'[1]3. Mitigation Impact on Coverag'!$A$7:$MY$53,D$2,FALSE)*D$9,"")</f>
        <v>0</v>
      </c>
      <c r="E16" s="15">
        <f>IFERROR(VLOOKUP($A16,'[1]3. Mitigation Impact on Coverag'!$A$7:$MY$53,E$2,FALSE)*E$9,"")</f>
        <v>9.4186046511627897</v>
      </c>
      <c r="F16" s="15">
        <f>IFERROR(VLOOKUP($A16,'[1]3. Mitigation Impact on Coverag'!$A$7:$MY$53,F$2,FALSE)*F$9,"")</f>
        <v>0</v>
      </c>
      <c r="G16" s="15">
        <f>IFERROR(VLOOKUP($A16,'[1]3. Mitigation Impact on Coverag'!$A$7:$MY$53,G$2,FALSE)*G$9,"")</f>
        <v>0</v>
      </c>
      <c r="H16" s="15">
        <f>IFERROR(VLOOKUP($A16,'[1]3. Mitigation Impact on Coverag'!$A$7:$MY$53,H$2,FALSE)*H$9,"")</f>
        <v>0</v>
      </c>
      <c r="I16" s="15">
        <f>IFERROR(VLOOKUP($A16,'[1]3. Mitigation Impact on Coverag'!$A$7:$MY$53,I$2,FALSE)*I$9,"")</f>
        <v>0</v>
      </c>
      <c r="J16" s="15">
        <f>IFERROR(VLOOKUP($A16,'[1]3. Mitigation Impact on Coverag'!$A$7:$MY$53,J$2,FALSE)*J$9,"")</f>
        <v>0</v>
      </c>
      <c r="K16" s="15">
        <f>IFERROR(VLOOKUP($A16,'[1]3. Mitigation Impact on Coverag'!$A$7:$MY$53,K$2,FALSE)*K$9,"")</f>
        <v>0</v>
      </c>
      <c r="L16" s="15">
        <f>IFERROR(VLOOKUP($A16,'[1]3. Mitigation Impact on Coverag'!$A$7:$MY$53,L$2,FALSE)*L$9,"")</f>
        <v>0.34883720930232598</v>
      </c>
      <c r="M16" s="15">
        <f>IFERROR(VLOOKUP($A16,'[1]3. Mitigation Impact on Coverag'!$A$7:$MY$53,M$2,FALSE)*M$9,"")</f>
        <v>0</v>
      </c>
      <c r="N16" s="15">
        <f>IFERROR(VLOOKUP($A16,'[1]3. Mitigation Impact on Coverag'!$A$7:$MY$53,N$2,FALSE)*N$9,"")</f>
        <v>0.13157894736842099</v>
      </c>
      <c r="O16" s="19">
        <f>IFERROR(VLOOKUP($A16,'[1]3. Mitigation Impact on Coverag'!$A$7:$MY$53,O$2,FALSE)*O$9,"")</f>
        <v>0.81395348837209303</v>
      </c>
      <c r="P16" s="14" t="str">
        <f>IFERROR(VLOOKUP($A16,'[1]3. Mitigation Impact on Coverag'!$A$7:$MY$53,P$2,FALSE)*P$9,"")</f>
        <v/>
      </c>
      <c r="Q16" s="15" t="str">
        <f>IFERROR(VLOOKUP($A16,'[1]3. Mitigation Impact on Coverag'!$A$7:$MY$53,Q$2,FALSE)*Q$9,"")</f>
        <v/>
      </c>
      <c r="R16" s="15" t="str">
        <f>IFERROR(VLOOKUP($A16,'[1]3. Mitigation Impact on Coverag'!$A$7:$MY$53,R$2,FALSE)*R$9,"")</f>
        <v/>
      </c>
      <c r="S16" s="15" t="str">
        <f>IFERROR(VLOOKUP($A16,'[1]3. Mitigation Impact on Coverag'!$A$7:$MY$53,S$2,FALSE)*S$9,"")</f>
        <v/>
      </c>
      <c r="T16" s="15" t="str">
        <f>IFERROR(VLOOKUP($A16,'[1]3. Mitigation Impact on Coverag'!$A$7:$MY$53,T$2,FALSE)*T$9,"")</f>
        <v/>
      </c>
      <c r="U16" s="15" t="str">
        <f>IFERROR(VLOOKUP($A16,'[1]3. Mitigation Impact on Coverag'!$A$7:$MY$53,U$2,FALSE)*U$9,"")</f>
        <v/>
      </c>
      <c r="V16" s="15" t="str">
        <f>IFERROR(VLOOKUP($A16,'[1]3. Mitigation Impact on Coverag'!$A$7:$MY$53,V$2,FALSE)*V$9,"")</f>
        <v/>
      </c>
      <c r="W16" s="15" t="str">
        <f>IFERROR(VLOOKUP($A16,'[1]3. Mitigation Impact on Coverag'!$A$7:$MY$53,W$2,FALSE)*W$9,"")</f>
        <v/>
      </c>
      <c r="X16" s="15" t="str">
        <f>IFERROR(VLOOKUP($A16,'[1]3. Mitigation Impact on Coverag'!$A$7:$MY$53,X$2,FALSE)*X$9,"")</f>
        <v/>
      </c>
      <c r="Y16" s="15" t="str">
        <f>IFERROR(VLOOKUP($A16,'[1]3. Mitigation Impact on Coverag'!$A$7:$MY$53,Y$2,FALSE)*Y$9,"")</f>
        <v/>
      </c>
      <c r="Z16" s="15" t="str">
        <f>IFERROR(VLOOKUP($A16,'[1]3. Mitigation Impact on Coverag'!$A$7:$MY$53,Z$2,FALSE)*Z$9,"")</f>
        <v/>
      </c>
      <c r="AA16" s="15" t="str">
        <f>IFERROR(VLOOKUP($A16,'[1]3. Mitigation Impact on Coverag'!$A$7:$MY$53,AA$2,FALSE)*AA$9,"")</f>
        <v/>
      </c>
      <c r="AB16" s="15" t="str">
        <f>IFERROR(VLOOKUP($A16,'[1]3. Mitigation Impact on Coverag'!$A$7:$MY$53,AB$2,FALSE)*AB$9,"")</f>
        <v/>
      </c>
      <c r="AC16" s="15" t="str">
        <f>IFERROR(VLOOKUP($A16,'[1]3. Mitigation Impact on Coverag'!$A$7:$MY$53,AC$2,FALSE)*AC$9,"")</f>
        <v/>
      </c>
      <c r="AD16" s="15" t="str">
        <f>IFERROR(VLOOKUP($A16,'[1]3. Mitigation Impact on Coverag'!$A$7:$MY$53,AD$2,FALSE)*AD$9,"")</f>
        <v/>
      </c>
      <c r="AE16" s="15" t="str">
        <f>IFERROR(VLOOKUP($A16,'[1]3. Mitigation Impact on Coverag'!$A$7:$MY$53,AE$2,FALSE)*AE$9,"")</f>
        <v/>
      </c>
      <c r="AF16" s="23" t="str">
        <f>IFERROR(VLOOKUP($A16,'[1]3. Mitigation Impact on Coverag'!$A$7:$MY$53,AF$2,FALSE)*AF$9,"")</f>
        <v/>
      </c>
      <c r="AG16" s="14" t="str">
        <f>IFERROR(VLOOKUP($A16,'[1]3. Mitigation Impact on Coverag'!$A$7:$MY$53,AG$2,FALSE)*AG$9,"")</f>
        <v/>
      </c>
      <c r="AH16" s="28" t="str">
        <f>IFERROR(VLOOKUP($A16,'[1]3. Mitigation Impact on Coverag'!$A$7:$MY$53,AH$2,FALSE)*AH$9,"")</f>
        <v/>
      </c>
      <c r="AI16" s="28" t="str">
        <f>IFERROR(VLOOKUP($A16,'[1]3. Mitigation Impact on Coverag'!$A$7:$MY$53,AI$2,FALSE)*AI$9,"")</f>
        <v/>
      </c>
      <c r="AJ16" s="15" t="str">
        <f>IFERROR(VLOOKUP($A16,'[1]3. Mitigation Impact on Coverag'!$A$7:$MY$53,AJ$2,FALSE)*AJ$9,"")</f>
        <v/>
      </c>
      <c r="AK16" s="15" t="str">
        <f>IFERROR(VLOOKUP($A16,'[1]3. Mitigation Impact on Coverag'!$A$7:$MY$53,AK$2,FALSE)*AK$9,"")</f>
        <v/>
      </c>
      <c r="AL16" s="15" t="str">
        <f>IFERROR(VLOOKUP($A16,'[1]3. Mitigation Impact on Coverag'!$A$7:$MY$53,AL$2,FALSE)*AL$9,"")</f>
        <v/>
      </c>
      <c r="AM16" s="15" t="str">
        <f>IFERROR(VLOOKUP($A16,'[1]3. Mitigation Impact on Coverag'!$A$7:$MY$53,AM$2,FALSE)*AM$9,"")</f>
        <v/>
      </c>
      <c r="AN16" s="15" t="str">
        <f>IFERROR(VLOOKUP($A16,'[1]3. Mitigation Impact on Coverag'!$A$7:$MY$53,AN$2,FALSE)*AN$9,"")</f>
        <v/>
      </c>
      <c r="AO16" s="15" t="str">
        <f>IFERROR(VLOOKUP($A16,'[1]3. Mitigation Impact on Coverag'!$A$7:$MY$53,AO$2,FALSE)*AO$9,"")</f>
        <v/>
      </c>
      <c r="AP16" s="14">
        <f>IFERROR(VLOOKUP($A16,'[1]3. Mitigation Impact on Coverag'!$A$7:$MY$53,AP$2,FALSE)*AP$9,"")</f>
        <v>55.131578947368403</v>
      </c>
      <c r="AQ16" s="15">
        <f>IFERROR(VLOOKUP($A16,'[1]3. Mitigation Impact on Coverag'!$A$7:$MY$53,AQ$2,FALSE)*AQ$9,"")</f>
        <v>0.78947368421052599</v>
      </c>
      <c r="AR16" s="19">
        <f>IFERROR(VLOOKUP($A16,'[1]3. Mitigation Impact on Coverag'!$A$7:$MY$53,AR$2,FALSE)*AR$9,"")</f>
        <v>0</v>
      </c>
      <c r="AS16" s="28">
        <f>IFERROR(VLOOKUP($A16,'[1]3. Mitigation Impact on Coverag'!$A$7:$MY$53,AS$2,FALSE)*AS$9,"")</f>
        <v>0</v>
      </c>
      <c r="AT16" s="15">
        <f>IFERROR(VLOOKUP($A16,'[1]3. Mitigation Impact on Coverag'!$A$7:$MY$53,AT$2,FALSE)*AT$9,"")</f>
        <v>0</v>
      </c>
      <c r="AU16" s="15">
        <f>IFERROR(VLOOKUP($A16,'[1]3. Mitigation Impact on Coverag'!$A$7:$MY$53,AU$2,FALSE)*AU$9,"")</f>
        <v>6.6666666666666696</v>
      </c>
      <c r="AV16" s="15">
        <f>IFERROR(VLOOKUP($A16,'[1]3. Mitigation Impact on Coverag'!$A$7:$MY$53,AV$2,FALSE)*AV$9,"")</f>
        <v>7</v>
      </c>
      <c r="AW16" s="15">
        <f>IFERROR(VLOOKUP($A16,'[1]3. Mitigation Impact on Coverag'!$A$7:$MY$53,AW$2,FALSE)*AW$9,"")</f>
        <v>0</v>
      </c>
      <c r="AX16" s="15">
        <f>IFERROR(VLOOKUP($A16,'[1]3. Mitigation Impact on Coverag'!$A$7:$MY$53,AX$2,FALSE)*AX$9,"")</f>
        <v>7.3333333333333304</v>
      </c>
      <c r="AY16" s="15">
        <f>IFERROR(VLOOKUP($A16,'[1]3. Mitigation Impact on Coverag'!$A$7:$MY$53,AY$2,FALSE)*AY$9,"")</f>
        <v>1</v>
      </c>
      <c r="AZ16" s="15">
        <f>IFERROR(VLOOKUP($A16,'[1]3. Mitigation Impact on Coverag'!$A$7:$MY$53,AZ$2,FALSE)*AZ$9,"")</f>
        <v>0</v>
      </c>
      <c r="BA16" s="15">
        <f>IFERROR(VLOOKUP($A16,'[1]3. Mitigation Impact on Coverag'!$A$7:$MY$53,BA$2,FALSE)*BA$9,"")</f>
        <v>0</v>
      </c>
      <c r="BB16" s="23">
        <f>IFERROR(VLOOKUP($A16,'[1]3. Mitigation Impact on Coverag'!$A$7:$MY$53,BB$2,FALSE)*BB$9,"")</f>
        <v>1.7777777777777799</v>
      </c>
      <c r="BC16" s="14">
        <f>IFERROR(VLOOKUP($A16,'[1]3. Mitigation Impact on Coverag'!$A$7:$MY$53,BC$2,FALSE)*BC$9,"")</f>
        <v>0</v>
      </c>
      <c r="BD16" s="15">
        <f>IFERROR(VLOOKUP($A16,'[1]3. Mitigation Impact on Coverag'!$A$7:$MY$53,BD$2,FALSE)*BD$9,"")</f>
        <v>0</v>
      </c>
      <c r="BE16" s="15">
        <f>IFERROR(VLOOKUP($A16,'[1]3. Mitigation Impact on Coverag'!$A$7:$MY$53,BE$2,FALSE)*BE$9,"")</f>
        <v>1</v>
      </c>
      <c r="BF16" s="15">
        <f>IFERROR(VLOOKUP($A16,'[1]3. Mitigation Impact on Coverag'!$A$7:$MY$53,BF$2,FALSE)*BF$9,"")</f>
        <v>0</v>
      </c>
      <c r="BG16" s="15">
        <f>IFERROR(VLOOKUP($A16,'[1]3. Mitigation Impact on Coverag'!$A$7:$MY$53,BG$2,FALSE)*BG$9,"")</f>
        <v>0</v>
      </c>
      <c r="BH16" s="15">
        <f>IFERROR(VLOOKUP($A16,'[1]3. Mitigation Impact on Coverag'!$A$7:$MY$53,BH$2,FALSE)*BH$9,"")</f>
        <v>2.7777777777777799</v>
      </c>
      <c r="BI16" s="15">
        <f>IFERROR(VLOOKUP($A16,'[1]3. Mitigation Impact on Coverag'!$A$7:$MY$53,BI$2,FALSE)*BI$9,"")</f>
        <v>0</v>
      </c>
      <c r="BJ16" s="19">
        <f>IFERROR(VLOOKUP($A16,'[1]3. Mitigation Impact on Coverag'!$A$7:$MY$53,BJ$2,FALSE)*BJ$9,"")</f>
        <v>0</v>
      </c>
      <c r="BK16" s="40" t="str">
        <f>IFERROR(VLOOKUP($A16,'[1]3. Mitigation Impact on Coverag'!$A$7:$MY$53,BK$2,FALSE)*BK$9,"")</f>
        <v/>
      </c>
      <c r="BL16" s="41" t="str">
        <f>IFERROR(VLOOKUP($A16,'[1]3. Mitigation Impact on Coverag'!$A$7:$MY$53,BL$2,FALSE)*BL$9,"")</f>
        <v/>
      </c>
      <c r="BM16" s="51" t="str">
        <f>IFERROR(VLOOKUP($A16,'[1]3. Mitigation Impact on Coverag'!$A$7:$MY$53,BM$2,FALSE)*BM$9,"")</f>
        <v/>
      </c>
      <c r="BN16" s="52">
        <f t="shared" si="10"/>
        <v>0.660377358490566</v>
      </c>
      <c r="BO16" s="52">
        <f t="shared" si="11"/>
        <v>10.7129742962056</v>
      </c>
      <c r="BP16" s="52">
        <f t="shared" si="12"/>
        <v>0</v>
      </c>
      <c r="BQ16" s="52">
        <f t="shared" si="13"/>
        <v>0</v>
      </c>
      <c r="BR16" s="52">
        <f t="shared" si="14"/>
        <v>55.921052631578902</v>
      </c>
      <c r="BS16" s="52">
        <f t="shared" si="15"/>
        <v>23.7777777777778</v>
      </c>
      <c r="BT16" s="52">
        <f t="shared" si="16"/>
        <v>3.7777777777777799</v>
      </c>
      <c r="BU16" s="52">
        <f t="shared" si="17"/>
        <v>0</v>
      </c>
      <c r="BV16" s="52" t="str">
        <f t="shared" si="18"/>
        <v/>
      </c>
      <c r="BW16" s="94">
        <f t="shared" si="19"/>
        <v>94.849959841830696</v>
      </c>
      <c r="BX16" s="95">
        <f t="shared" si="20"/>
        <v>2.9006103927165301E-2</v>
      </c>
    </row>
    <row r="17" spans="1:76" s="2" customFormat="1" ht="42.75">
      <c r="A17" s="96" t="s">
        <v>88</v>
      </c>
      <c r="B17" s="13">
        <f>IFERROR(VLOOKUP($A17,'[1]3. Mitigation Impact on Coverag'!$A$7:$MY$53,B$2,FALSE)*B$9,"")</f>
        <v>1.32075471698113</v>
      </c>
      <c r="C17" s="14">
        <f>IFERROR(VLOOKUP($A17,'[1]3. Mitigation Impact on Coverag'!$A$7:$MY$53,C$2,FALSE)*C$9,"")</f>
        <v>0</v>
      </c>
      <c r="D17" s="15">
        <f>IFERROR(VLOOKUP($A17,'[1]3. Mitigation Impact on Coverag'!$A$7:$MY$53,D$2,FALSE)*D$9,"")</f>
        <v>0</v>
      </c>
      <c r="E17" s="15">
        <f>IFERROR(VLOOKUP($A17,'[1]3. Mitigation Impact on Coverag'!$A$7:$MY$53,E$2,FALSE)*E$9,"")</f>
        <v>18.837209302325601</v>
      </c>
      <c r="F17" s="15">
        <f>IFERROR(VLOOKUP($A17,'[1]3. Mitigation Impact on Coverag'!$A$7:$MY$53,F$2,FALSE)*F$9,"")</f>
        <v>0</v>
      </c>
      <c r="G17" s="15">
        <f>IFERROR(VLOOKUP($A17,'[1]3. Mitigation Impact on Coverag'!$A$7:$MY$53,G$2,FALSE)*G$9,"")</f>
        <v>0</v>
      </c>
      <c r="H17" s="15">
        <f>IFERROR(VLOOKUP($A17,'[1]3. Mitigation Impact on Coverag'!$A$7:$MY$53,H$2,FALSE)*H$9,"")</f>
        <v>0</v>
      </c>
      <c r="I17" s="15">
        <f>IFERROR(VLOOKUP($A17,'[1]3. Mitigation Impact on Coverag'!$A$7:$MY$53,I$2,FALSE)*I$9,"")</f>
        <v>0</v>
      </c>
      <c r="J17" s="15">
        <f>IFERROR(VLOOKUP($A17,'[1]3. Mitigation Impact on Coverag'!$A$7:$MY$53,J$2,FALSE)*J$9,"")</f>
        <v>0</v>
      </c>
      <c r="K17" s="15">
        <f>IFERROR(VLOOKUP($A17,'[1]3. Mitigation Impact on Coverag'!$A$7:$MY$53,K$2,FALSE)*K$9,"")</f>
        <v>0</v>
      </c>
      <c r="L17" s="15">
        <f>IFERROR(VLOOKUP($A17,'[1]3. Mitigation Impact on Coverag'!$A$7:$MY$53,L$2,FALSE)*L$9,"")</f>
        <v>0.69767441860465096</v>
      </c>
      <c r="M17" s="15">
        <f>IFERROR(VLOOKUP($A17,'[1]3. Mitigation Impact on Coverag'!$A$7:$MY$53,M$2,FALSE)*M$9,"")</f>
        <v>0</v>
      </c>
      <c r="N17" s="15">
        <f>IFERROR(VLOOKUP($A17,'[1]3. Mitigation Impact on Coverag'!$A$7:$MY$53,N$2,FALSE)*N$9,"")</f>
        <v>0.26315789473684198</v>
      </c>
      <c r="O17" s="19">
        <f>IFERROR(VLOOKUP($A17,'[1]3. Mitigation Impact on Coverag'!$A$7:$MY$53,O$2,FALSE)*O$9,"")</f>
        <v>1.62790697674419</v>
      </c>
      <c r="P17" s="14">
        <f>IFERROR(VLOOKUP($A17,'[1]3. Mitigation Impact on Coverag'!$A$7:$MY$53,P$2,FALSE)*P$9,"")</f>
        <v>0</v>
      </c>
      <c r="Q17" s="15">
        <f>IFERROR(VLOOKUP($A17,'[1]3. Mitigation Impact on Coverag'!$A$7:$MY$53,Q$2,FALSE)*Q$9,"")</f>
        <v>11.818181818181801</v>
      </c>
      <c r="R17" s="15">
        <f>IFERROR(VLOOKUP($A17,'[1]3. Mitigation Impact on Coverag'!$A$7:$MY$53,R$2,FALSE)*R$9,"")</f>
        <v>0.60606060606060597</v>
      </c>
      <c r="S17" s="15">
        <f>IFERROR(VLOOKUP($A17,'[1]3. Mitigation Impact on Coverag'!$A$7:$MY$53,S$2,FALSE)*S$9,"")</f>
        <v>0</v>
      </c>
      <c r="T17" s="15">
        <f>IFERROR(VLOOKUP($A17,'[1]3. Mitigation Impact on Coverag'!$A$7:$MY$53,T$2,FALSE)*T$9,"")</f>
        <v>5.7894736842105301</v>
      </c>
      <c r="U17" s="15">
        <f>IFERROR(VLOOKUP($A17,'[1]3. Mitigation Impact on Coverag'!$A$7:$MY$53,U$2,FALSE)*U$9,"")</f>
        <v>6.3157894736842097</v>
      </c>
      <c r="V17" s="15">
        <f>IFERROR(VLOOKUP($A17,'[1]3. Mitigation Impact on Coverag'!$A$7:$MY$53,V$2,FALSE)*V$9,"")</f>
        <v>6.8421052631578902</v>
      </c>
      <c r="W17" s="15">
        <f>IFERROR(VLOOKUP($A17,'[1]3. Mitigation Impact on Coverag'!$A$7:$MY$53,W$2,FALSE)*W$9,"")</f>
        <v>8.1818181818181799</v>
      </c>
      <c r="X17" s="15">
        <f>IFERROR(VLOOKUP($A17,'[1]3. Mitigation Impact on Coverag'!$A$7:$MY$53,X$2,FALSE)*X$9,"")</f>
        <v>0.52631578947368396</v>
      </c>
      <c r="Y17" s="15">
        <f>IFERROR(VLOOKUP($A17,'[1]3. Mitigation Impact on Coverag'!$A$7:$MY$53,Y$2,FALSE)*Y$9,"")</f>
        <v>0</v>
      </c>
      <c r="Z17" s="15">
        <f>IFERROR(VLOOKUP($A17,'[1]3. Mitigation Impact on Coverag'!$A$7:$MY$53,Z$2,FALSE)*Z$9,"")</f>
        <v>0</v>
      </c>
      <c r="AA17" s="15">
        <f>IFERROR(VLOOKUP($A17,'[1]3. Mitigation Impact on Coverag'!$A$7:$MY$53,AA$2,FALSE)*AA$9,"")</f>
        <v>0</v>
      </c>
      <c r="AB17" s="15" t="str">
        <f>IFERROR(VLOOKUP($A17,'[1]3. Mitigation Impact on Coverag'!$A$7:$MY$53,AB$2,FALSE)*AB$9,"")</f>
        <v/>
      </c>
      <c r="AC17" s="15" t="str">
        <f>IFERROR(VLOOKUP($A17,'[1]3. Mitigation Impact on Coverag'!$A$7:$MY$53,AC$2,FALSE)*AC$9,"")</f>
        <v/>
      </c>
      <c r="AD17" s="15">
        <f>IFERROR(VLOOKUP($A17,'[1]3. Mitigation Impact on Coverag'!$A$7:$MY$53,AD$2,FALSE)*AD$9,"")</f>
        <v>12.894736842105299</v>
      </c>
      <c r="AE17" s="15" t="str">
        <f>IFERROR(VLOOKUP($A17,'[1]3. Mitigation Impact on Coverag'!$A$7:$MY$53,AE$2,FALSE)*AE$9,"")</f>
        <v/>
      </c>
      <c r="AF17" s="23">
        <f>IFERROR(VLOOKUP($A17,'[1]3. Mitigation Impact on Coverag'!$A$7:$MY$53,AF$2,FALSE)*AF$9,"")</f>
        <v>0</v>
      </c>
      <c r="AG17" s="14">
        <f>IFERROR(VLOOKUP($A17,'[1]3. Mitigation Impact on Coverag'!$A$7:$MY$53,AG$2,FALSE)*AG$9,"")</f>
        <v>55</v>
      </c>
      <c r="AH17" s="28">
        <f>IFERROR(VLOOKUP($A17,'[1]3. Mitigation Impact on Coverag'!$A$7:$MY$53,AH$2,FALSE)*AH$9,"")</f>
        <v>92.105263157894697</v>
      </c>
      <c r="AI17" s="28">
        <f>IFERROR(VLOOKUP($A17,'[1]3. Mitigation Impact on Coverag'!$A$7:$MY$53,AI$2,FALSE)*AI$9,"")</f>
        <v>76.315789473684205</v>
      </c>
      <c r="AJ17" s="15">
        <f>IFERROR(VLOOKUP($A17,'[1]3. Mitigation Impact on Coverag'!$A$7:$MY$53,AJ$2,FALSE)*AJ$9,"")</f>
        <v>62.368421052631597</v>
      </c>
      <c r="AK17" s="15">
        <f>IFERROR(VLOOKUP($A17,'[1]3. Mitigation Impact on Coverag'!$A$7:$MY$53,AK$2,FALSE)*AK$9,"")</f>
        <v>0</v>
      </c>
      <c r="AL17" s="15">
        <f>IFERROR(VLOOKUP($A17,'[1]3. Mitigation Impact on Coverag'!$A$7:$MY$53,AL$2,FALSE)*AL$9,"")</f>
        <v>0</v>
      </c>
      <c r="AM17" s="15">
        <f>IFERROR(VLOOKUP($A17,'[1]3. Mitigation Impact on Coverag'!$A$7:$MY$53,AM$2,FALSE)*AM$9,"")</f>
        <v>0</v>
      </c>
      <c r="AN17" s="15">
        <f>IFERROR(VLOOKUP($A17,'[1]3. Mitigation Impact on Coverag'!$A$7:$MY$53,AN$2,FALSE)*AN$9,"")</f>
        <v>321.052631578947</v>
      </c>
      <c r="AO17" s="15">
        <f>IFERROR(VLOOKUP($A17,'[1]3. Mitigation Impact on Coverag'!$A$7:$MY$53,AO$2,FALSE)*AO$9,"")</f>
        <v>0</v>
      </c>
      <c r="AP17" s="14">
        <f>IFERROR(VLOOKUP($A17,'[1]3. Mitigation Impact on Coverag'!$A$7:$MY$53,AP$2,FALSE)*AP$9,"")</f>
        <v>110.26315789473701</v>
      </c>
      <c r="AQ17" s="15">
        <f>IFERROR(VLOOKUP($A17,'[1]3. Mitigation Impact on Coverag'!$A$7:$MY$53,AQ$2,FALSE)*AQ$9,"")</f>
        <v>1.57894736842105</v>
      </c>
      <c r="AR17" s="19">
        <f>IFERROR(VLOOKUP($A17,'[1]3. Mitigation Impact on Coverag'!$A$7:$MY$53,AR$2,FALSE)*AR$9,"")</f>
        <v>0</v>
      </c>
      <c r="AS17" s="28">
        <f>IFERROR(VLOOKUP($A17,'[1]3. Mitigation Impact on Coverag'!$A$7:$MY$53,AS$2,FALSE)*AS$9,"")</f>
        <v>0</v>
      </c>
      <c r="AT17" s="15">
        <f>IFERROR(VLOOKUP($A17,'[1]3. Mitigation Impact on Coverag'!$A$7:$MY$53,AT$2,FALSE)*AT$9,"")</f>
        <v>0</v>
      </c>
      <c r="AU17" s="15">
        <f>IFERROR(VLOOKUP($A17,'[1]3. Mitigation Impact on Coverag'!$A$7:$MY$53,AU$2,FALSE)*AU$9,"")</f>
        <v>13.3333333333333</v>
      </c>
      <c r="AV17" s="15">
        <f>IFERROR(VLOOKUP($A17,'[1]3. Mitigation Impact on Coverag'!$A$7:$MY$53,AV$2,FALSE)*AV$9,"")</f>
        <v>14</v>
      </c>
      <c r="AW17" s="15">
        <f>IFERROR(VLOOKUP($A17,'[1]3. Mitigation Impact on Coverag'!$A$7:$MY$53,AW$2,FALSE)*AW$9,"")</f>
        <v>0</v>
      </c>
      <c r="AX17" s="15">
        <f>IFERROR(VLOOKUP($A17,'[1]3. Mitigation Impact on Coverag'!$A$7:$MY$53,AX$2,FALSE)*AX$9,"")</f>
        <v>14.6666666666667</v>
      </c>
      <c r="AY17" s="15">
        <f>IFERROR(VLOOKUP($A17,'[1]3. Mitigation Impact on Coverag'!$A$7:$MY$53,AY$2,FALSE)*AY$9,"")</f>
        <v>2</v>
      </c>
      <c r="AZ17" s="15">
        <f>IFERROR(VLOOKUP($A17,'[1]3. Mitigation Impact on Coverag'!$A$7:$MY$53,AZ$2,FALSE)*AZ$9,"")</f>
        <v>0</v>
      </c>
      <c r="BA17" s="15">
        <f>IFERROR(VLOOKUP($A17,'[1]3. Mitigation Impact on Coverag'!$A$7:$MY$53,BA$2,FALSE)*BA$9,"")</f>
        <v>0</v>
      </c>
      <c r="BB17" s="23">
        <f>IFERROR(VLOOKUP($A17,'[1]3. Mitigation Impact on Coverag'!$A$7:$MY$53,BB$2,FALSE)*BB$9,"")</f>
        <v>3.5555555555555598</v>
      </c>
      <c r="BC17" s="14">
        <f>IFERROR(VLOOKUP($A17,'[1]3. Mitigation Impact on Coverag'!$A$7:$MY$53,BC$2,FALSE)*BC$9,"")</f>
        <v>0</v>
      </c>
      <c r="BD17" s="15">
        <f>IFERROR(VLOOKUP($A17,'[1]3. Mitigation Impact on Coverag'!$A$7:$MY$53,BD$2,FALSE)*BD$9,"")</f>
        <v>0</v>
      </c>
      <c r="BE17" s="15">
        <f>IFERROR(VLOOKUP($A17,'[1]3. Mitigation Impact on Coverag'!$A$7:$MY$53,BE$2,FALSE)*BE$9,"")</f>
        <v>2</v>
      </c>
      <c r="BF17" s="15">
        <f>IFERROR(VLOOKUP($A17,'[1]3. Mitigation Impact on Coverag'!$A$7:$MY$53,BF$2,FALSE)*BF$9,"")</f>
        <v>0</v>
      </c>
      <c r="BG17" s="15">
        <f>IFERROR(VLOOKUP($A17,'[1]3. Mitigation Impact on Coverag'!$A$7:$MY$53,BG$2,FALSE)*BG$9,"")</f>
        <v>0</v>
      </c>
      <c r="BH17" s="15">
        <f>IFERROR(VLOOKUP($A17,'[1]3. Mitigation Impact on Coverag'!$A$7:$MY$53,BH$2,FALSE)*BH$9,"")</f>
        <v>5.5555555555555598</v>
      </c>
      <c r="BI17" s="15">
        <f>IFERROR(VLOOKUP($A17,'[1]3. Mitigation Impact on Coverag'!$A$7:$MY$53,BI$2,FALSE)*BI$9,"")</f>
        <v>0</v>
      </c>
      <c r="BJ17" s="19">
        <f>IFERROR(VLOOKUP($A17,'[1]3. Mitigation Impact on Coverag'!$A$7:$MY$53,BJ$2,FALSE)*BJ$9,"")</f>
        <v>0</v>
      </c>
      <c r="BK17" s="40" t="str">
        <f>IFERROR(VLOOKUP($A17,'[1]3. Mitigation Impact on Coverag'!$A$7:$MY$53,BK$2,FALSE)*BK$9,"")</f>
        <v/>
      </c>
      <c r="BL17" s="41" t="str">
        <f>IFERROR(VLOOKUP($A17,'[1]3. Mitigation Impact on Coverag'!$A$7:$MY$53,BL$2,FALSE)*BL$9,"")</f>
        <v/>
      </c>
      <c r="BM17" s="51" t="str">
        <f>IFERROR(VLOOKUP($A17,'[1]3. Mitigation Impact on Coverag'!$A$7:$MY$53,BM$2,FALSE)*BM$9,"")</f>
        <v/>
      </c>
      <c r="BN17" s="52">
        <f t="shared" si="10"/>
        <v>1.32075471698113</v>
      </c>
      <c r="BO17" s="52">
        <f t="shared" si="11"/>
        <v>21.425948592411299</v>
      </c>
      <c r="BP17" s="52">
        <f t="shared" si="12"/>
        <v>52.974481658692198</v>
      </c>
      <c r="BQ17" s="52">
        <f t="shared" si="13"/>
        <v>606.84210526315803</v>
      </c>
      <c r="BR17" s="52">
        <f t="shared" si="14"/>
        <v>111.842105263158</v>
      </c>
      <c r="BS17" s="52">
        <f t="shared" si="15"/>
        <v>47.5555555555556</v>
      </c>
      <c r="BT17" s="52">
        <f t="shared" si="16"/>
        <v>7.5555555555555598</v>
      </c>
      <c r="BU17" s="52">
        <f t="shared" si="17"/>
        <v>0</v>
      </c>
      <c r="BV17" s="52" t="str">
        <f t="shared" si="18"/>
        <v/>
      </c>
      <c r="BW17" s="94">
        <f t="shared" si="19"/>
        <v>849.51650660551104</v>
      </c>
      <c r="BX17" s="95">
        <f t="shared" si="20"/>
        <v>0.25979098061330602</v>
      </c>
    </row>
    <row r="18" spans="1:76" s="2" customFormat="1" ht="42.75">
      <c r="A18" s="96" t="s">
        <v>89</v>
      </c>
      <c r="B18" s="13" t="str">
        <f>IFERROR(VLOOKUP($A18,'[1]3. Mitigation Impact on Coverag'!$A$7:$MY$53,B$2,FALSE)*B$9,"")</f>
        <v/>
      </c>
      <c r="C18" s="14" t="str">
        <f>IFERROR(VLOOKUP($A18,'[1]3. Mitigation Impact on Coverag'!$A$7:$MY$53,C$2,FALSE)*C$9,"")</f>
        <v/>
      </c>
      <c r="D18" s="15" t="str">
        <f>IFERROR(VLOOKUP($A18,'[1]3. Mitigation Impact on Coverag'!$A$7:$MY$53,D$2,FALSE)*D$9,"")</f>
        <v/>
      </c>
      <c r="E18" s="15" t="str">
        <f>IFERROR(VLOOKUP($A18,'[1]3. Mitigation Impact on Coverag'!$A$7:$MY$53,E$2,FALSE)*E$9,"")</f>
        <v/>
      </c>
      <c r="F18" s="15" t="str">
        <f>IFERROR(VLOOKUP($A18,'[1]3. Mitigation Impact on Coverag'!$A$7:$MY$53,F$2,FALSE)*F$9,"")</f>
        <v/>
      </c>
      <c r="G18" s="15" t="str">
        <f>IFERROR(VLOOKUP($A18,'[1]3. Mitigation Impact on Coverag'!$A$7:$MY$53,G$2,FALSE)*G$9,"")</f>
        <v/>
      </c>
      <c r="H18" s="15" t="str">
        <f>IFERROR(VLOOKUP($A18,'[1]3. Mitigation Impact on Coverag'!$A$7:$MY$53,H$2,FALSE)*H$9,"")</f>
        <v/>
      </c>
      <c r="I18" s="15" t="str">
        <f>IFERROR(VLOOKUP($A18,'[1]3. Mitigation Impact on Coverag'!$A$7:$MY$53,I$2,FALSE)*I$9,"")</f>
        <v/>
      </c>
      <c r="J18" s="15" t="str">
        <f>IFERROR(VLOOKUP($A18,'[1]3. Mitigation Impact on Coverag'!$A$7:$MY$53,J$2,FALSE)*J$9,"")</f>
        <v/>
      </c>
      <c r="K18" s="15" t="str">
        <f>IFERROR(VLOOKUP($A18,'[1]3. Mitigation Impact on Coverag'!$A$7:$MY$53,K$2,FALSE)*K$9,"")</f>
        <v/>
      </c>
      <c r="L18" s="15" t="str">
        <f>IFERROR(VLOOKUP($A18,'[1]3. Mitigation Impact on Coverag'!$A$7:$MY$53,L$2,FALSE)*L$9,"")</f>
        <v/>
      </c>
      <c r="M18" s="15" t="str">
        <f>IFERROR(VLOOKUP($A18,'[1]3. Mitigation Impact on Coverag'!$A$7:$MY$53,M$2,FALSE)*M$9,"")</f>
        <v/>
      </c>
      <c r="N18" s="15" t="str">
        <f>IFERROR(VLOOKUP($A18,'[1]3. Mitigation Impact on Coverag'!$A$7:$MY$53,N$2,FALSE)*N$9,"")</f>
        <v/>
      </c>
      <c r="O18" s="19" t="str">
        <f>IFERROR(VLOOKUP($A18,'[1]3. Mitigation Impact on Coverag'!$A$7:$MY$53,O$2,FALSE)*O$9,"")</f>
        <v/>
      </c>
      <c r="P18" s="14" t="str">
        <f>IFERROR(VLOOKUP($A18,'[1]3. Mitigation Impact on Coverag'!$A$7:$MY$53,P$2,FALSE)*P$9,"")</f>
        <v/>
      </c>
      <c r="Q18" s="15" t="str">
        <f>IFERROR(VLOOKUP($A18,'[1]3. Mitigation Impact on Coverag'!$A$7:$MY$53,Q$2,FALSE)*Q$9,"")</f>
        <v/>
      </c>
      <c r="R18" s="15" t="str">
        <f>IFERROR(VLOOKUP($A18,'[1]3. Mitigation Impact on Coverag'!$A$7:$MY$53,R$2,FALSE)*R$9,"")</f>
        <v/>
      </c>
      <c r="S18" s="15" t="str">
        <f>IFERROR(VLOOKUP($A18,'[1]3. Mitigation Impact on Coverag'!$A$7:$MY$53,S$2,FALSE)*S$9,"")</f>
        <v/>
      </c>
      <c r="T18" s="15" t="str">
        <f>IFERROR(VLOOKUP($A18,'[1]3. Mitigation Impact on Coverag'!$A$7:$MY$53,T$2,FALSE)*T$9,"")</f>
        <v/>
      </c>
      <c r="U18" s="15" t="str">
        <f>IFERROR(VLOOKUP($A18,'[1]3. Mitigation Impact on Coverag'!$A$7:$MY$53,U$2,FALSE)*U$9,"")</f>
        <v/>
      </c>
      <c r="V18" s="15" t="str">
        <f>IFERROR(VLOOKUP($A18,'[1]3. Mitigation Impact on Coverag'!$A$7:$MY$53,V$2,FALSE)*V$9,"")</f>
        <v/>
      </c>
      <c r="W18" s="15" t="str">
        <f>IFERROR(VLOOKUP($A18,'[1]3. Mitigation Impact on Coverag'!$A$7:$MY$53,W$2,FALSE)*W$9,"")</f>
        <v/>
      </c>
      <c r="X18" s="15" t="str">
        <f>IFERROR(VLOOKUP($A18,'[1]3. Mitigation Impact on Coverag'!$A$7:$MY$53,X$2,FALSE)*X$9,"")</f>
        <v/>
      </c>
      <c r="Y18" s="15" t="str">
        <f>IFERROR(VLOOKUP($A18,'[1]3. Mitigation Impact on Coverag'!$A$7:$MY$53,Y$2,FALSE)*Y$9,"")</f>
        <v/>
      </c>
      <c r="Z18" s="15" t="str">
        <f>IFERROR(VLOOKUP($A18,'[1]3. Mitigation Impact on Coverag'!$A$7:$MY$53,Z$2,FALSE)*Z$9,"")</f>
        <v/>
      </c>
      <c r="AA18" s="15" t="str">
        <f>IFERROR(VLOOKUP($A18,'[1]3. Mitigation Impact on Coverag'!$A$7:$MY$53,AA$2,FALSE)*AA$9,"")</f>
        <v/>
      </c>
      <c r="AB18" s="15" t="str">
        <f>IFERROR(VLOOKUP($A18,'[1]3. Mitigation Impact on Coverag'!$A$7:$MY$53,AB$2,FALSE)*AB$9,"")</f>
        <v/>
      </c>
      <c r="AC18" s="15" t="str">
        <f>IFERROR(VLOOKUP($A18,'[1]3. Mitigation Impact on Coverag'!$A$7:$MY$53,AC$2,FALSE)*AC$9,"")</f>
        <v/>
      </c>
      <c r="AD18" s="15" t="str">
        <f>IFERROR(VLOOKUP($A18,'[1]3. Mitigation Impact on Coverag'!$A$7:$MY$53,AD$2,FALSE)*AD$9,"")</f>
        <v/>
      </c>
      <c r="AE18" s="15" t="str">
        <f>IFERROR(VLOOKUP($A18,'[1]3. Mitigation Impact on Coverag'!$A$7:$MY$53,AE$2,FALSE)*AE$9,"")</f>
        <v/>
      </c>
      <c r="AF18" s="23" t="str">
        <f>IFERROR(VLOOKUP($A18,'[1]3. Mitigation Impact on Coverag'!$A$7:$MY$53,AF$2,FALSE)*AF$9,"")</f>
        <v/>
      </c>
      <c r="AG18" s="14" t="str">
        <f>IFERROR(VLOOKUP($A18,'[1]3. Mitigation Impact on Coverag'!$A$7:$MY$53,AG$2,FALSE)*AG$9,"")</f>
        <v/>
      </c>
      <c r="AH18" s="28" t="str">
        <f>IFERROR(VLOOKUP($A18,'[1]3. Mitigation Impact on Coverag'!$A$7:$MY$53,AH$2,FALSE)*AH$9,"")</f>
        <v/>
      </c>
      <c r="AI18" s="28" t="str">
        <f>IFERROR(VLOOKUP($A18,'[1]3. Mitigation Impact on Coverag'!$A$7:$MY$53,AI$2,FALSE)*AI$9,"")</f>
        <v/>
      </c>
      <c r="AJ18" s="15" t="str">
        <f>IFERROR(VLOOKUP($A18,'[1]3. Mitigation Impact on Coverag'!$A$7:$MY$53,AJ$2,FALSE)*AJ$9,"")</f>
        <v/>
      </c>
      <c r="AK18" s="15" t="str">
        <f>IFERROR(VLOOKUP($A18,'[1]3. Mitigation Impact on Coverag'!$A$7:$MY$53,AK$2,FALSE)*AK$9,"")</f>
        <v/>
      </c>
      <c r="AL18" s="15" t="str">
        <f>IFERROR(VLOOKUP($A18,'[1]3. Mitigation Impact on Coverag'!$A$7:$MY$53,AL$2,FALSE)*AL$9,"")</f>
        <v/>
      </c>
      <c r="AM18" s="15" t="str">
        <f>IFERROR(VLOOKUP($A18,'[1]3. Mitigation Impact on Coverag'!$A$7:$MY$53,AM$2,FALSE)*AM$9,"")</f>
        <v/>
      </c>
      <c r="AN18" s="15" t="str">
        <f>IFERROR(VLOOKUP($A18,'[1]3. Mitigation Impact on Coverag'!$A$7:$MY$53,AN$2,FALSE)*AN$9,"")</f>
        <v/>
      </c>
      <c r="AO18" s="15" t="str">
        <f>IFERROR(VLOOKUP($A18,'[1]3. Mitigation Impact on Coverag'!$A$7:$MY$53,AO$2,FALSE)*AO$9,"")</f>
        <v/>
      </c>
      <c r="AP18" s="14" t="str">
        <f>IFERROR(VLOOKUP($A18,'[1]3. Mitigation Impact on Coverag'!$A$7:$MY$53,AP$2,FALSE)*AP$9,"")</f>
        <v/>
      </c>
      <c r="AQ18" s="15" t="str">
        <f>IFERROR(VLOOKUP($A18,'[1]3. Mitigation Impact on Coverag'!$A$7:$MY$53,AQ$2,FALSE)*AQ$9,"")</f>
        <v/>
      </c>
      <c r="AR18" s="19" t="str">
        <f>IFERROR(VLOOKUP($A18,'[1]3. Mitigation Impact on Coverag'!$A$7:$MY$53,AR$2,FALSE)*AR$9,"")</f>
        <v/>
      </c>
      <c r="AS18" s="28">
        <f>IFERROR(VLOOKUP($A18,'[1]3. Mitigation Impact on Coverag'!$A$7:$MY$53,AS$2,FALSE)*AS$9,"")</f>
        <v>0</v>
      </c>
      <c r="AT18" s="15">
        <f>IFERROR(VLOOKUP($A18,'[1]3. Mitigation Impact on Coverag'!$A$7:$MY$53,AT$2,FALSE)*AT$9,"")</f>
        <v>0</v>
      </c>
      <c r="AU18" s="15">
        <f>IFERROR(VLOOKUP($A18,'[1]3. Mitigation Impact on Coverag'!$A$7:$MY$53,AU$2,FALSE)*AU$9,"")</f>
        <v>2.6666666666666701</v>
      </c>
      <c r="AV18" s="15">
        <f>IFERROR(VLOOKUP($A18,'[1]3. Mitigation Impact on Coverag'!$A$7:$MY$53,AV$2,FALSE)*AV$9,"")</f>
        <v>2.8</v>
      </c>
      <c r="AW18" s="15">
        <f>IFERROR(VLOOKUP($A18,'[1]3. Mitigation Impact on Coverag'!$A$7:$MY$53,AW$2,FALSE)*AW$9,"")</f>
        <v>0</v>
      </c>
      <c r="AX18" s="15">
        <f>IFERROR(VLOOKUP($A18,'[1]3. Mitigation Impact on Coverag'!$A$7:$MY$53,AX$2,FALSE)*AX$9,"")</f>
        <v>2.93333333333333</v>
      </c>
      <c r="AY18" s="15">
        <f>IFERROR(VLOOKUP($A18,'[1]3. Mitigation Impact on Coverag'!$A$7:$MY$53,AY$2,FALSE)*AY$9,"")</f>
        <v>0.4</v>
      </c>
      <c r="AZ18" s="15">
        <f>IFERROR(VLOOKUP($A18,'[1]3. Mitigation Impact on Coverag'!$A$7:$MY$53,AZ$2,FALSE)*AZ$9,"")</f>
        <v>0</v>
      </c>
      <c r="BA18" s="15">
        <f>IFERROR(VLOOKUP($A18,'[1]3. Mitigation Impact on Coverag'!$A$7:$MY$53,BA$2,FALSE)*BA$9,"")</f>
        <v>0</v>
      </c>
      <c r="BB18" s="23">
        <f>IFERROR(VLOOKUP($A18,'[1]3. Mitigation Impact on Coverag'!$A$7:$MY$53,BB$2,FALSE)*BB$9,"")</f>
        <v>0.71111111111111103</v>
      </c>
      <c r="BC18" s="14">
        <f>IFERROR(VLOOKUP($A18,'[1]3. Mitigation Impact on Coverag'!$A$7:$MY$53,BC$2,FALSE)*BC$9,"")</f>
        <v>0</v>
      </c>
      <c r="BD18" s="15">
        <f>IFERROR(VLOOKUP($A18,'[1]3. Mitigation Impact on Coverag'!$A$7:$MY$53,BD$2,FALSE)*BD$9,"")</f>
        <v>0</v>
      </c>
      <c r="BE18" s="15">
        <f>IFERROR(VLOOKUP($A18,'[1]3. Mitigation Impact on Coverag'!$A$7:$MY$53,BE$2,FALSE)*BE$9,"")</f>
        <v>0.4</v>
      </c>
      <c r="BF18" s="15">
        <f>IFERROR(VLOOKUP($A18,'[1]3. Mitigation Impact on Coverag'!$A$7:$MY$53,BF$2,FALSE)*BF$9,"")</f>
        <v>0</v>
      </c>
      <c r="BG18" s="15">
        <f>IFERROR(VLOOKUP($A18,'[1]3. Mitigation Impact on Coverag'!$A$7:$MY$53,BG$2,FALSE)*BG$9,"")</f>
        <v>0</v>
      </c>
      <c r="BH18" s="15">
        <f>IFERROR(VLOOKUP($A18,'[1]3. Mitigation Impact on Coverag'!$A$7:$MY$53,BH$2,FALSE)*BH$9,"")</f>
        <v>1.1111111111111101</v>
      </c>
      <c r="BI18" s="15">
        <f>IFERROR(VLOOKUP($A18,'[1]3. Mitigation Impact on Coverag'!$A$7:$MY$53,BI$2,FALSE)*BI$9,"")</f>
        <v>0</v>
      </c>
      <c r="BJ18" s="19">
        <f>IFERROR(VLOOKUP($A18,'[1]3. Mitigation Impact on Coverag'!$A$7:$MY$53,BJ$2,FALSE)*BJ$9,"")</f>
        <v>0</v>
      </c>
      <c r="BK18" s="40" t="str">
        <f>IFERROR(VLOOKUP($A18,'[1]3. Mitigation Impact on Coverag'!$A$7:$MY$53,BK$2,FALSE)*BK$9,"")</f>
        <v/>
      </c>
      <c r="BL18" s="41" t="str">
        <f>IFERROR(VLOOKUP($A18,'[1]3. Mitigation Impact on Coverag'!$A$7:$MY$53,BL$2,FALSE)*BL$9,"")</f>
        <v/>
      </c>
      <c r="BM18" s="51" t="str">
        <f>IFERROR(VLOOKUP($A18,'[1]3. Mitigation Impact on Coverag'!$A$7:$MY$53,BM$2,FALSE)*BM$9,"")</f>
        <v/>
      </c>
      <c r="BN18" s="52" t="str">
        <f t="shared" si="10"/>
        <v/>
      </c>
      <c r="BO18" s="52">
        <f t="shared" si="11"/>
        <v>0</v>
      </c>
      <c r="BP18" s="52">
        <f t="shared" si="12"/>
        <v>0</v>
      </c>
      <c r="BQ18" s="52">
        <f t="shared" si="13"/>
        <v>0</v>
      </c>
      <c r="BR18" s="52">
        <f t="shared" si="14"/>
        <v>0</v>
      </c>
      <c r="BS18" s="52">
        <f t="shared" si="15"/>
        <v>9.5111111111111093</v>
      </c>
      <c r="BT18" s="52">
        <f t="shared" si="16"/>
        <v>1.51111111111111</v>
      </c>
      <c r="BU18" s="52">
        <f t="shared" si="17"/>
        <v>0</v>
      </c>
      <c r="BV18" s="52" t="str">
        <f t="shared" si="18"/>
        <v/>
      </c>
      <c r="BW18" s="94">
        <f t="shared" si="19"/>
        <v>11.022222222222201</v>
      </c>
      <c r="BX18" s="95">
        <f t="shared" si="20"/>
        <v>3.3707101597009901E-3</v>
      </c>
    </row>
    <row r="19" spans="1:76" s="2" customFormat="1" ht="42.75">
      <c r="A19" s="96" t="s">
        <v>90</v>
      </c>
      <c r="B19" s="13">
        <f>IFERROR(VLOOKUP($A19,'[1]3. Mitigation Impact on Coverag'!$A$7:$MY$53,B$2,FALSE)*B$9,"")</f>
        <v>0.660377358490566</v>
      </c>
      <c r="C19" s="14">
        <f>IFERROR(VLOOKUP($A19,'[1]3. Mitigation Impact on Coverag'!$A$7:$MY$53,C$2,FALSE)*C$9,"")</f>
        <v>0</v>
      </c>
      <c r="D19" s="15">
        <f>IFERROR(VLOOKUP($A19,'[1]3. Mitigation Impact on Coverag'!$A$7:$MY$53,D$2,FALSE)*D$9,"")</f>
        <v>0</v>
      </c>
      <c r="E19" s="15">
        <f>IFERROR(VLOOKUP($A19,'[1]3. Mitigation Impact on Coverag'!$A$7:$MY$53,E$2,FALSE)*E$9,"")</f>
        <v>9.4186046511627897</v>
      </c>
      <c r="F19" s="15">
        <f>IFERROR(VLOOKUP($A19,'[1]3. Mitigation Impact on Coverag'!$A$7:$MY$53,F$2,FALSE)*F$9,"")</f>
        <v>0</v>
      </c>
      <c r="G19" s="15">
        <f>IFERROR(VLOOKUP($A19,'[1]3. Mitigation Impact on Coverag'!$A$7:$MY$53,G$2,FALSE)*G$9,"")</f>
        <v>0</v>
      </c>
      <c r="H19" s="15">
        <f>IFERROR(VLOOKUP($A19,'[1]3. Mitigation Impact on Coverag'!$A$7:$MY$53,H$2,FALSE)*H$9,"")</f>
        <v>0</v>
      </c>
      <c r="I19" s="15">
        <f>IFERROR(VLOOKUP($A19,'[1]3. Mitigation Impact on Coverag'!$A$7:$MY$53,I$2,FALSE)*I$9,"")</f>
        <v>0</v>
      </c>
      <c r="J19" s="15">
        <f>IFERROR(VLOOKUP($A19,'[1]3. Mitigation Impact on Coverag'!$A$7:$MY$53,J$2,FALSE)*J$9,"")</f>
        <v>0</v>
      </c>
      <c r="K19" s="15">
        <f>IFERROR(VLOOKUP($A19,'[1]3. Mitigation Impact on Coverag'!$A$7:$MY$53,K$2,FALSE)*K$9,"")</f>
        <v>0</v>
      </c>
      <c r="L19" s="15">
        <f>IFERROR(VLOOKUP($A19,'[1]3. Mitigation Impact on Coverag'!$A$7:$MY$53,L$2,FALSE)*L$9,"")</f>
        <v>0.34883720930232598</v>
      </c>
      <c r="M19" s="15">
        <f>IFERROR(VLOOKUP($A19,'[1]3. Mitigation Impact on Coverag'!$A$7:$MY$53,M$2,FALSE)*M$9,"")</f>
        <v>0</v>
      </c>
      <c r="N19" s="15">
        <f>IFERROR(VLOOKUP($A19,'[1]3. Mitigation Impact on Coverag'!$A$7:$MY$53,N$2,FALSE)*N$9,"")</f>
        <v>0.13157894736842099</v>
      </c>
      <c r="O19" s="19">
        <f>IFERROR(VLOOKUP($A19,'[1]3. Mitigation Impact on Coverag'!$A$7:$MY$53,O$2,FALSE)*O$9,"")</f>
        <v>0.81395348837209303</v>
      </c>
      <c r="P19" s="14">
        <f>IFERROR(VLOOKUP($A19,'[1]3. Mitigation Impact on Coverag'!$A$7:$MY$53,P$2,FALSE)*P$9,"")</f>
        <v>0</v>
      </c>
      <c r="Q19" s="15">
        <f>IFERROR(VLOOKUP($A19,'[1]3. Mitigation Impact on Coverag'!$A$7:$MY$53,Q$2,FALSE)*Q$9,"")</f>
        <v>5.9090909090909101</v>
      </c>
      <c r="R19" s="15">
        <f>IFERROR(VLOOKUP($A19,'[1]3. Mitigation Impact on Coverag'!$A$7:$MY$53,R$2,FALSE)*R$9,"")</f>
        <v>0.30303030303030298</v>
      </c>
      <c r="S19" s="15">
        <f>IFERROR(VLOOKUP($A19,'[1]3. Mitigation Impact on Coverag'!$A$7:$MY$53,S$2,FALSE)*S$9,"")</f>
        <v>0</v>
      </c>
      <c r="T19" s="15">
        <f>IFERROR(VLOOKUP($A19,'[1]3. Mitigation Impact on Coverag'!$A$7:$MY$53,T$2,FALSE)*T$9,"")</f>
        <v>2.8947368421052602</v>
      </c>
      <c r="U19" s="15">
        <f>IFERROR(VLOOKUP($A19,'[1]3. Mitigation Impact on Coverag'!$A$7:$MY$53,U$2,FALSE)*U$9,"")</f>
        <v>3.1578947368421102</v>
      </c>
      <c r="V19" s="15">
        <f>IFERROR(VLOOKUP($A19,'[1]3. Mitigation Impact on Coverag'!$A$7:$MY$53,V$2,FALSE)*V$9,"")</f>
        <v>3.42105263157895</v>
      </c>
      <c r="W19" s="15">
        <f>IFERROR(VLOOKUP($A19,'[1]3. Mitigation Impact on Coverag'!$A$7:$MY$53,W$2,FALSE)*W$9,"")</f>
        <v>4.0909090909090899</v>
      </c>
      <c r="X19" s="15">
        <f>IFERROR(VLOOKUP($A19,'[1]3. Mitigation Impact on Coverag'!$A$7:$MY$53,X$2,FALSE)*X$9,"")</f>
        <v>0.26315789473684198</v>
      </c>
      <c r="Y19" s="15">
        <f>IFERROR(VLOOKUP($A19,'[1]3. Mitigation Impact on Coverag'!$A$7:$MY$53,Y$2,FALSE)*Y$9,"")</f>
        <v>0</v>
      </c>
      <c r="Z19" s="15">
        <f>IFERROR(VLOOKUP($A19,'[1]3. Mitigation Impact on Coverag'!$A$7:$MY$53,Z$2,FALSE)*Z$9,"")</f>
        <v>0</v>
      </c>
      <c r="AA19" s="15">
        <f>IFERROR(VLOOKUP($A19,'[1]3. Mitigation Impact on Coverag'!$A$7:$MY$53,AA$2,FALSE)*AA$9,"")</f>
        <v>0</v>
      </c>
      <c r="AB19" s="15" t="str">
        <f>IFERROR(VLOOKUP($A19,'[1]3. Mitigation Impact on Coverag'!$A$7:$MY$53,AB$2,FALSE)*AB$9,"")</f>
        <v/>
      </c>
      <c r="AC19" s="15" t="str">
        <f>IFERROR(VLOOKUP($A19,'[1]3. Mitigation Impact on Coverag'!$A$7:$MY$53,AC$2,FALSE)*AC$9,"")</f>
        <v/>
      </c>
      <c r="AD19" s="15">
        <f>IFERROR(VLOOKUP($A19,'[1]3. Mitigation Impact on Coverag'!$A$7:$MY$53,AD$2,FALSE)*AD$9,"")</f>
        <v>6.4473684210526301</v>
      </c>
      <c r="AE19" s="15" t="str">
        <f>IFERROR(VLOOKUP($A19,'[1]3. Mitigation Impact on Coverag'!$A$7:$MY$53,AE$2,FALSE)*AE$9,"")</f>
        <v/>
      </c>
      <c r="AF19" s="23">
        <f>IFERROR(VLOOKUP($A19,'[1]3. Mitigation Impact on Coverag'!$A$7:$MY$53,AF$2,FALSE)*AF$9,"")</f>
        <v>0</v>
      </c>
      <c r="AG19" s="14">
        <f>IFERROR(VLOOKUP($A19,'[1]3. Mitigation Impact on Coverag'!$A$7:$MY$53,AG$2,FALSE)*AG$9,"")</f>
        <v>27.5</v>
      </c>
      <c r="AH19" s="28">
        <f>IFERROR(VLOOKUP($A19,'[1]3. Mitigation Impact on Coverag'!$A$7:$MY$53,AH$2,FALSE)*AH$9,"")</f>
        <v>46.052631578947398</v>
      </c>
      <c r="AI19" s="28">
        <f>IFERROR(VLOOKUP($A19,'[1]3. Mitigation Impact on Coverag'!$A$7:$MY$53,AI$2,FALSE)*AI$9,"")</f>
        <v>38.157894736842103</v>
      </c>
      <c r="AJ19" s="15">
        <f>IFERROR(VLOOKUP($A19,'[1]3. Mitigation Impact on Coverag'!$A$7:$MY$53,AJ$2,FALSE)*AJ$9,"")</f>
        <v>31.184210526315798</v>
      </c>
      <c r="AK19" s="15">
        <f>IFERROR(VLOOKUP($A19,'[1]3. Mitigation Impact on Coverag'!$A$7:$MY$53,AK$2,FALSE)*AK$9,"")</f>
        <v>0</v>
      </c>
      <c r="AL19" s="15">
        <f>IFERROR(VLOOKUP($A19,'[1]3. Mitigation Impact on Coverag'!$A$7:$MY$53,AL$2,FALSE)*AL$9,"")</f>
        <v>0</v>
      </c>
      <c r="AM19" s="15">
        <f>IFERROR(VLOOKUP($A19,'[1]3. Mitigation Impact on Coverag'!$A$7:$MY$53,AM$2,FALSE)*AM$9,"")</f>
        <v>0</v>
      </c>
      <c r="AN19" s="15">
        <f>IFERROR(VLOOKUP($A19,'[1]3. Mitigation Impact on Coverag'!$A$7:$MY$53,AN$2,FALSE)*AN$9,"")</f>
        <v>160.52631578947401</v>
      </c>
      <c r="AO19" s="15">
        <f>IFERROR(VLOOKUP($A19,'[1]3. Mitigation Impact on Coverag'!$A$7:$MY$53,AO$2,FALSE)*AO$9,"")</f>
        <v>0</v>
      </c>
      <c r="AP19" s="14">
        <f>IFERROR(VLOOKUP($A19,'[1]3. Mitigation Impact on Coverag'!$A$7:$MY$53,AP$2,FALSE)*AP$9,"")</f>
        <v>55.131578947368403</v>
      </c>
      <c r="AQ19" s="15">
        <f>IFERROR(VLOOKUP($A19,'[1]3. Mitigation Impact on Coverag'!$A$7:$MY$53,AQ$2,FALSE)*AQ$9,"")</f>
        <v>0.78947368421052599</v>
      </c>
      <c r="AR19" s="19">
        <f>IFERROR(VLOOKUP($A19,'[1]3. Mitigation Impact on Coverag'!$A$7:$MY$53,AR$2,FALSE)*AR$9,"")</f>
        <v>0</v>
      </c>
      <c r="AS19" s="28">
        <f>IFERROR(VLOOKUP($A19,'[1]3. Mitigation Impact on Coverag'!$A$7:$MY$53,AS$2,FALSE)*AS$9,"")</f>
        <v>0</v>
      </c>
      <c r="AT19" s="15">
        <f>IFERROR(VLOOKUP($A19,'[1]3. Mitigation Impact on Coverag'!$A$7:$MY$53,AT$2,FALSE)*AT$9,"")</f>
        <v>0</v>
      </c>
      <c r="AU19" s="15">
        <f>IFERROR(VLOOKUP($A19,'[1]3. Mitigation Impact on Coverag'!$A$7:$MY$53,AU$2,FALSE)*AU$9,"")</f>
        <v>6.6666666666666696</v>
      </c>
      <c r="AV19" s="15">
        <f>IFERROR(VLOOKUP($A19,'[1]3. Mitigation Impact on Coverag'!$A$7:$MY$53,AV$2,FALSE)*AV$9,"")</f>
        <v>7</v>
      </c>
      <c r="AW19" s="15">
        <f>IFERROR(VLOOKUP($A19,'[1]3. Mitigation Impact on Coverag'!$A$7:$MY$53,AW$2,FALSE)*AW$9,"")</f>
        <v>0</v>
      </c>
      <c r="AX19" s="15">
        <f>IFERROR(VLOOKUP($A19,'[1]3. Mitigation Impact on Coverag'!$A$7:$MY$53,AX$2,FALSE)*AX$9,"")</f>
        <v>7.3333333333333304</v>
      </c>
      <c r="AY19" s="15">
        <f>IFERROR(VLOOKUP($A19,'[1]3. Mitigation Impact on Coverag'!$A$7:$MY$53,AY$2,FALSE)*AY$9,"")</f>
        <v>1</v>
      </c>
      <c r="AZ19" s="15">
        <f>IFERROR(VLOOKUP($A19,'[1]3. Mitigation Impact on Coverag'!$A$7:$MY$53,AZ$2,FALSE)*AZ$9,"")</f>
        <v>0</v>
      </c>
      <c r="BA19" s="15">
        <f>IFERROR(VLOOKUP($A19,'[1]3. Mitigation Impact on Coverag'!$A$7:$MY$53,BA$2,FALSE)*BA$9,"")</f>
        <v>0</v>
      </c>
      <c r="BB19" s="23">
        <f>IFERROR(VLOOKUP($A19,'[1]3. Mitigation Impact on Coverag'!$A$7:$MY$53,BB$2,FALSE)*BB$9,"")</f>
        <v>1.7777777777777799</v>
      </c>
      <c r="BC19" s="14">
        <f>IFERROR(VLOOKUP($A19,'[1]3. Mitigation Impact on Coverag'!$A$7:$MY$53,BC$2,FALSE)*BC$9,"")</f>
        <v>0</v>
      </c>
      <c r="BD19" s="15">
        <f>IFERROR(VLOOKUP($A19,'[1]3. Mitigation Impact on Coverag'!$A$7:$MY$53,BD$2,FALSE)*BD$9,"")</f>
        <v>0</v>
      </c>
      <c r="BE19" s="15">
        <f>IFERROR(VLOOKUP($A19,'[1]3. Mitigation Impact on Coverag'!$A$7:$MY$53,BE$2,FALSE)*BE$9,"")</f>
        <v>1</v>
      </c>
      <c r="BF19" s="15">
        <f>IFERROR(VLOOKUP($A19,'[1]3. Mitigation Impact on Coverag'!$A$7:$MY$53,BF$2,FALSE)*BF$9,"")</f>
        <v>0</v>
      </c>
      <c r="BG19" s="15">
        <f>IFERROR(VLOOKUP($A19,'[1]3. Mitigation Impact on Coverag'!$A$7:$MY$53,BG$2,FALSE)*BG$9,"")</f>
        <v>0</v>
      </c>
      <c r="BH19" s="15">
        <f>IFERROR(VLOOKUP($A19,'[1]3. Mitigation Impact on Coverag'!$A$7:$MY$53,BH$2,FALSE)*BH$9,"")</f>
        <v>2.7777777777777799</v>
      </c>
      <c r="BI19" s="15">
        <f>IFERROR(VLOOKUP($A19,'[1]3. Mitigation Impact on Coverag'!$A$7:$MY$53,BI$2,FALSE)*BI$9,"")</f>
        <v>0</v>
      </c>
      <c r="BJ19" s="19">
        <f>IFERROR(VLOOKUP($A19,'[1]3. Mitigation Impact on Coverag'!$A$7:$MY$53,BJ$2,FALSE)*BJ$9,"")</f>
        <v>0</v>
      </c>
      <c r="BK19" s="40" t="str">
        <f>IFERROR(VLOOKUP($A19,'[1]3. Mitigation Impact on Coverag'!$A$7:$MY$53,BK$2,FALSE)*BK$9,"")</f>
        <v/>
      </c>
      <c r="BL19" s="41" t="str">
        <f>IFERROR(VLOOKUP($A19,'[1]3. Mitigation Impact on Coverag'!$A$7:$MY$53,BL$2,FALSE)*BL$9,"")</f>
        <v/>
      </c>
      <c r="BM19" s="51" t="str">
        <f>IFERROR(VLOOKUP($A19,'[1]3. Mitigation Impact on Coverag'!$A$7:$MY$53,BM$2,FALSE)*BM$9,"")</f>
        <v/>
      </c>
      <c r="BN19" s="52">
        <f t="shared" si="10"/>
        <v>0.660377358490566</v>
      </c>
      <c r="BO19" s="52">
        <f t="shared" si="11"/>
        <v>10.7129742962056</v>
      </c>
      <c r="BP19" s="52">
        <f t="shared" si="12"/>
        <v>26.487240829346099</v>
      </c>
      <c r="BQ19" s="52">
        <f t="shared" si="13"/>
        <v>303.42105263157902</v>
      </c>
      <c r="BR19" s="52">
        <f t="shared" si="14"/>
        <v>55.921052631578902</v>
      </c>
      <c r="BS19" s="52">
        <f t="shared" si="15"/>
        <v>23.7777777777778</v>
      </c>
      <c r="BT19" s="52">
        <f t="shared" si="16"/>
        <v>3.7777777777777799</v>
      </c>
      <c r="BU19" s="52">
        <f t="shared" si="17"/>
        <v>0</v>
      </c>
      <c r="BV19" s="52" t="str">
        <f t="shared" si="18"/>
        <v/>
      </c>
      <c r="BW19" s="94">
        <f t="shared" si="19"/>
        <v>424.75825330275597</v>
      </c>
      <c r="BX19" s="95">
        <f t="shared" si="20"/>
        <v>0.12989549030665301</v>
      </c>
    </row>
    <row r="20" spans="1:76" s="2" customFormat="1" ht="28.5">
      <c r="A20" s="96" t="s">
        <v>91</v>
      </c>
      <c r="B20" s="13">
        <f>IFERROR(VLOOKUP($A20,'[1]3. Mitigation Impact on Coverag'!$A$7:$MY$53,B$2,FALSE)*B$9,"")</f>
        <v>0.660377358490566</v>
      </c>
      <c r="C20" s="14">
        <f>IFERROR(VLOOKUP($A20,'[1]3. Mitigation Impact on Coverag'!$A$7:$MY$53,C$2,FALSE)*C$9,"")</f>
        <v>0</v>
      </c>
      <c r="D20" s="15">
        <f>IFERROR(VLOOKUP($A20,'[1]3. Mitigation Impact on Coverag'!$A$7:$MY$53,D$2,FALSE)*D$9,"")</f>
        <v>0</v>
      </c>
      <c r="E20" s="15">
        <f>IFERROR(VLOOKUP($A20,'[1]3. Mitigation Impact on Coverag'!$A$7:$MY$53,E$2,FALSE)*E$9,"")</f>
        <v>9.4186046511627897</v>
      </c>
      <c r="F20" s="15">
        <f>IFERROR(VLOOKUP($A20,'[1]3. Mitigation Impact on Coverag'!$A$7:$MY$53,F$2,FALSE)*F$9,"")</f>
        <v>0</v>
      </c>
      <c r="G20" s="15">
        <f>IFERROR(VLOOKUP($A20,'[1]3. Mitigation Impact on Coverag'!$A$7:$MY$53,G$2,FALSE)*G$9,"")</f>
        <v>0</v>
      </c>
      <c r="H20" s="15">
        <f>IFERROR(VLOOKUP($A20,'[1]3. Mitigation Impact on Coverag'!$A$7:$MY$53,H$2,FALSE)*H$9,"")</f>
        <v>0</v>
      </c>
      <c r="I20" s="15">
        <f>IFERROR(VLOOKUP($A20,'[1]3. Mitigation Impact on Coverag'!$A$7:$MY$53,I$2,FALSE)*I$9,"")</f>
        <v>0</v>
      </c>
      <c r="J20" s="15">
        <f>IFERROR(VLOOKUP($A20,'[1]3. Mitigation Impact on Coverag'!$A$7:$MY$53,J$2,FALSE)*J$9,"")</f>
        <v>0</v>
      </c>
      <c r="K20" s="15">
        <f>IFERROR(VLOOKUP($A20,'[1]3. Mitigation Impact on Coverag'!$A$7:$MY$53,K$2,FALSE)*K$9,"")</f>
        <v>0</v>
      </c>
      <c r="L20" s="15">
        <f>IFERROR(VLOOKUP($A20,'[1]3. Mitigation Impact on Coverag'!$A$7:$MY$53,L$2,FALSE)*L$9,"")</f>
        <v>0.34883720930232598</v>
      </c>
      <c r="M20" s="15">
        <f>IFERROR(VLOOKUP($A20,'[1]3. Mitigation Impact on Coverag'!$A$7:$MY$53,M$2,FALSE)*M$9,"")</f>
        <v>0</v>
      </c>
      <c r="N20" s="15">
        <f>IFERROR(VLOOKUP($A20,'[1]3. Mitigation Impact on Coverag'!$A$7:$MY$53,N$2,FALSE)*N$9,"")</f>
        <v>0.13157894736842099</v>
      </c>
      <c r="O20" s="19">
        <f>IFERROR(VLOOKUP($A20,'[1]3. Mitigation Impact on Coverag'!$A$7:$MY$53,O$2,FALSE)*O$9,"")</f>
        <v>0.81395348837209303</v>
      </c>
      <c r="P20" s="14">
        <f>IFERROR(VLOOKUP($A20,'[1]3. Mitigation Impact on Coverag'!$A$7:$MY$53,P$2,FALSE)*P$9,"")</f>
        <v>0</v>
      </c>
      <c r="Q20" s="15">
        <f>IFERROR(VLOOKUP($A20,'[1]3. Mitigation Impact on Coverag'!$A$7:$MY$53,Q$2,FALSE)*Q$9,"")</f>
        <v>5.9090909090909101</v>
      </c>
      <c r="R20" s="15">
        <f>IFERROR(VLOOKUP($A20,'[1]3. Mitigation Impact on Coverag'!$A$7:$MY$53,R$2,FALSE)*R$9,"")</f>
        <v>0.30303030303030298</v>
      </c>
      <c r="S20" s="15">
        <f>IFERROR(VLOOKUP($A20,'[1]3. Mitigation Impact on Coverag'!$A$7:$MY$53,S$2,FALSE)*S$9,"")</f>
        <v>0</v>
      </c>
      <c r="T20" s="15">
        <f>IFERROR(VLOOKUP($A20,'[1]3. Mitigation Impact on Coverag'!$A$7:$MY$53,T$2,FALSE)*T$9,"")</f>
        <v>2.8947368421052602</v>
      </c>
      <c r="U20" s="15">
        <f>IFERROR(VLOOKUP($A20,'[1]3. Mitigation Impact on Coverag'!$A$7:$MY$53,U$2,FALSE)*U$9,"")</f>
        <v>3.1578947368421102</v>
      </c>
      <c r="V20" s="15">
        <f>IFERROR(VLOOKUP($A20,'[1]3. Mitigation Impact on Coverag'!$A$7:$MY$53,V$2,FALSE)*V$9,"")</f>
        <v>3.42105263157895</v>
      </c>
      <c r="W20" s="15">
        <f>IFERROR(VLOOKUP($A20,'[1]3. Mitigation Impact on Coverag'!$A$7:$MY$53,W$2,FALSE)*W$9,"")</f>
        <v>4.0909090909090899</v>
      </c>
      <c r="X20" s="15">
        <f>IFERROR(VLOOKUP($A20,'[1]3. Mitigation Impact on Coverag'!$A$7:$MY$53,X$2,FALSE)*X$9,"")</f>
        <v>0.26315789473684198</v>
      </c>
      <c r="Y20" s="15">
        <f>IFERROR(VLOOKUP($A20,'[1]3. Mitigation Impact on Coverag'!$A$7:$MY$53,Y$2,FALSE)*Y$9,"")</f>
        <v>0</v>
      </c>
      <c r="Z20" s="15">
        <f>IFERROR(VLOOKUP($A20,'[1]3. Mitigation Impact on Coverag'!$A$7:$MY$53,Z$2,FALSE)*Z$9,"")</f>
        <v>0</v>
      </c>
      <c r="AA20" s="15">
        <f>IFERROR(VLOOKUP($A20,'[1]3. Mitigation Impact on Coverag'!$A$7:$MY$53,AA$2,FALSE)*AA$9,"")</f>
        <v>0</v>
      </c>
      <c r="AB20" s="15" t="str">
        <f>IFERROR(VLOOKUP($A20,'[1]3. Mitigation Impact on Coverag'!$A$7:$MY$53,AB$2,FALSE)*AB$9,"")</f>
        <v/>
      </c>
      <c r="AC20" s="15" t="str">
        <f>IFERROR(VLOOKUP($A20,'[1]3. Mitigation Impact on Coverag'!$A$7:$MY$53,AC$2,FALSE)*AC$9,"")</f>
        <v/>
      </c>
      <c r="AD20" s="15">
        <f>IFERROR(VLOOKUP($A20,'[1]3. Mitigation Impact on Coverag'!$A$7:$MY$53,AD$2,FALSE)*AD$9,"")</f>
        <v>6.4473684210526301</v>
      </c>
      <c r="AE20" s="15" t="str">
        <f>IFERROR(VLOOKUP($A20,'[1]3. Mitigation Impact on Coverag'!$A$7:$MY$53,AE$2,FALSE)*AE$9,"")</f>
        <v/>
      </c>
      <c r="AF20" s="23">
        <f>IFERROR(VLOOKUP($A20,'[1]3. Mitigation Impact on Coverag'!$A$7:$MY$53,AF$2,FALSE)*AF$9,"")</f>
        <v>0</v>
      </c>
      <c r="AG20" s="14">
        <f>IFERROR(VLOOKUP($A20,'[1]3. Mitigation Impact on Coverag'!$A$7:$MY$53,AG$2,FALSE)*AG$9,"")</f>
        <v>27.5</v>
      </c>
      <c r="AH20" s="28">
        <f>IFERROR(VLOOKUP($A20,'[1]3. Mitigation Impact on Coverag'!$A$7:$MY$53,AH$2,FALSE)*AH$9,"")</f>
        <v>46.052631578947398</v>
      </c>
      <c r="AI20" s="28">
        <f>IFERROR(VLOOKUP($A20,'[1]3. Mitigation Impact on Coverag'!$A$7:$MY$53,AI$2,FALSE)*AI$9,"")</f>
        <v>38.157894736842103</v>
      </c>
      <c r="AJ20" s="15">
        <f>IFERROR(VLOOKUP($A20,'[1]3. Mitigation Impact on Coverag'!$A$7:$MY$53,AJ$2,FALSE)*AJ$9,"")</f>
        <v>31.184210526315798</v>
      </c>
      <c r="AK20" s="15">
        <f>IFERROR(VLOOKUP($A20,'[1]3. Mitigation Impact on Coverag'!$A$7:$MY$53,AK$2,FALSE)*AK$9,"")</f>
        <v>0</v>
      </c>
      <c r="AL20" s="15">
        <f>IFERROR(VLOOKUP($A20,'[1]3. Mitigation Impact on Coverag'!$A$7:$MY$53,AL$2,FALSE)*AL$9,"")</f>
        <v>0</v>
      </c>
      <c r="AM20" s="15">
        <f>IFERROR(VLOOKUP($A20,'[1]3. Mitigation Impact on Coverag'!$A$7:$MY$53,AM$2,FALSE)*AM$9,"")</f>
        <v>0</v>
      </c>
      <c r="AN20" s="15">
        <f>IFERROR(VLOOKUP($A20,'[1]3. Mitigation Impact on Coverag'!$A$7:$MY$53,AN$2,FALSE)*AN$9,"")</f>
        <v>160.52631578947401</v>
      </c>
      <c r="AO20" s="15">
        <f>IFERROR(VLOOKUP($A20,'[1]3. Mitigation Impact on Coverag'!$A$7:$MY$53,AO$2,FALSE)*AO$9,"")</f>
        <v>0</v>
      </c>
      <c r="AP20" s="14">
        <f>IFERROR(VLOOKUP($A20,'[1]3. Mitigation Impact on Coverag'!$A$7:$MY$53,AP$2,FALSE)*AP$9,"")</f>
        <v>55.131578947368403</v>
      </c>
      <c r="AQ20" s="15">
        <f>IFERROR(VLOOKUP($A20,'[1]3. Mitigation Impact on Coverag'!$A$7:$MY$53,AQ$2,FALSE)*AQ$9,"")</f>
        <v>0.78947368421052599</v>
      </c>
      <c r="AR20" s="19">
        <f>IFERROR(VLOOKUP($A20,'[1]3. Mitigation Impact on Coverag'!$A$7:$MY$53,AR$2,FALSE)*AR$9,"")</f>
        <v>0</v>
      </c>
      <c r="AS20" s="28">
        <f>IFERROR(VLOOKUP($A20,'[1]3. Mitigation Impact on Coverag'!$A$7:$MY$53,AS$2,FALSE)*AS$9,"")</f>
        <v>0</v>
      </c>
      <c r="AT20" s="15">
        <f>IFERROR(VLOOKUP($A20,'[1]3. Mitigation Impact on Coverag'!$A$7:$MY$53,AT$2,FALSE)*AT$9,"")</f>
        <v>0</v>
      </c>
      <c r="AU20" s="15">
        <f>IFERROR(VLOOKUP($A20,'[1]3. Mitigation Impact on Coverag'!$A$7:$MY$53,AU$2,FALSE)*AU$9,"")</f>
        <v>6.6666666666666696</v>
      </c>
      <c r="AV20" s="15">
        <f>IFERROR(VLOOKUP($A20,'[1]3. Mitigation Impact on Coverag'!$A$7:$MY$53,AV$2,FALSE)*AV$9,"")</f>
        <v>7</v>
      </c>
      <c r="AW20" s="15">
        <f>IFERROR(VLOOKUP($A20,'[1]3. Mitigation Impact on Coverag'!$A$7:$MY$53,AW$2,FALSE)*AW$9,"")</f>
        <v>0</v>
      </c>
      <c r="AX20" s="15">
        <f>IFERROR(VLOOKUP($A20,'[1]3. Mitigation Impact on Coverag'!$A$7:$MY$53,AX$2,FALSE)*AX$9,"")</f>
        <v>7.3333333333333304</v>
      </c>
      <c r="AY20" s="15">
        <f>IFERROR(VLOOKUP($A20,'[1]3. Mitigation Impact on Coverag'!$A$7:$MY$53,AY$2,FALSE)*AY$9,"")</f>
        <v>1</v>
      </c>
      <c r="AZ20" s="15">
        <f>IFERROR(VLOOKUP($A20,'[1]3. Mitigation Impact on Coverag'!$A$7:$MY$53,AZ$2,FALSE)*AZ$9,"")</f>
        <v>0</v>
      </c>
      <c r="BA20" s="15">
        <f>IFERROR(VLOOKUP($A20,'[1]3. Mitigation Impact on Coverag'!$A$7:$MY$53,BA$2,FALSE)*BA$9,"")</f>
        <v>0</v>
      </c>
      <c r="BB20" s="23">
        <f>IFERROR(VLOOKUP($A20,'[1]3. Mitigation Impact on Coverag'!$A$7:$MY$53,BB$2,FALSE)*BB$9,"")</f>
        <v>1.7777777777777799</v>
      </c>
      <c r="BC20" s="14">
        <f>IFERROR(VLOOKUP($A20,'[1]3. Mitigation Impact on Coverag'!$A$7:$MY$53,BC$2,FALSE)*BC$9,"")</f>
        <v>0</v>
      </c>
      <c r="BD20" s="15">
        <f>IFERROR(VLOOKUP($A20,'[1]3. Mitigation Impact on Coverag'!$A$7:$MY$53,BD$2,FALSE)*BD$9,"")</f>
        <v>0</v>
      </c>
      <c r="BE20" s="15">
        <f>IFERROR(VLOOKUP($A20,'[1]3. Mitigation Impact on Coverag'!$A$7:$MY$53,BE$2,FALSE)*BE$9,"")</f>
        <v>1</v>
      </c>
      <c r="BF20" s="15">
        <f>IFERROR(VLOOKUP($A20,'[1]3. Mitigation Impact on Coverag'!$A$7:$MY$53,BF$2,FALSE)*BF$9,"")</f>
        <v>0</v>
      </c>
      <c r="BG20" s="15">
        <f>IFERROR(VLOOKUP($A20,'[1]3. Mitigation Impact on Coverag'!$A$7:$MY$53,BG$2,FALSE)*BG$9,"")</f>
        <v>0</v>
      </c>
      <c r="BH20" s="15">
        <f>IFERROR(VLOOKUP($A20,'[1]3. Mitigation Impact on Coverag'!$A$7:$MY$53,BH$2,FALSE)*BH$9,"")</f>
        <v>2.7777777777777799</v>
      </c>
      <c r="BI20" s="15">
        <f>IFERROR(VLOOKUP($A20,'[1]3. Mitigation Impact on Coverag'!$A$7:$MY$53,BI$2,FALSE)*BI$9,"")</f>
        <v>0</v>
      </c>
      <c r="BJ20" s="19">
        <f>IFERROR(VLOOKUP($A20,'[1]3. Mitigation Impact on Coverag'!$A$7:$MY$53,BJ$2,FALSE)*BJ$9,"")</f>
        <v>0</v>
      </c>
      <c r="BK20" s="40" t="str">
        <f>IFERROR(VLOOKUP($A20,'[1]3. Mitigation Impact on Coverag'!$A$7:$MY$53,BK$2,FALSE)*BK$9,"")</f>
        <v/>
      </c>
      <c r="BL20" s="41" t="str">
        <f>IFERROR(VLOOKUP($A20,'[1]3. Mitigation Impact on Coverag'!$A$7:$MY$53,BL$2,FALSE)*BL$9,"")</f>
        <v/>
      </c>
      <c r="BM20" s="51" t="str">
        <f>IFERROR(VLOOKUP($A20,'[1]3. Mitigation Impact on Coverag'!$A$7:$MY$53,BM$2,FALSE)*BM$9,"")</f>
        <v/>
      </c>
      <c r="BN20" s="52">
        <f t="shared" si="10"/>
        <v>0.660377358490566</v>
      </c>
      <c r="BO20" s="52">
        <f t="shared" si="11"/>
        <v>10.7129742962056</v>
      </c>
      <c r="BP20" s="52">
        <f t="shared" si="12"/>
        <v>26.487240829346099</v>
      </c>
      <c r="BQ20" s="52">
        <f t="shared" si="13"/>
        <v>303.42105263157902</v>
      </c>
      <c r="BR20" s="52">
        <f t="shared" si="14"/>
        <v>55.921052631578902</v>
      </c>
      <c r="BS20" s="52">
        <f t="shared" si="15"/>
        <v>23.7777777777778</v>
      </c>
      <c r="BT20" s="52">
        <f t="shared" si="16"/>
        <v>3.7777777777777799</v>
      </c>
      <c r="BU20" s="52">
        <f t="shared" si="17"/>
        <v>0</v>
      </c>
      <c r="BV20" s="52" t="str">
        <f t="shared" si="18"/>
        <v/>
      </c>
      <c r="BW20" s="94">
        <f t="shared" si="19"/>
        <v>424.75825330275597</v>
      </c>
      <c r="BX20" s="95">
        <f t="shared" si="20"/>
        <v>0.12989549030665301</v>
      </c>
    </row>
    <row r="21" spans="1:76" s="2" customFormat="1">
      <c r="A21" s="106" t="s">
        <v>10</v>
      </c>
      <c r="B21" s="9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8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22"/>
      <c r="AF21" s="22"/>
      <c r="AG21" s="10"/>
      <c r="AH21" s="27"/>
      <c r="AI21" s="27"/>
      <c r="AJ21" s="11"/>
      <c r="AK21" s="11"/>
      <c r="AL21" s="11"/>
      <c r="AM21" s="11"/>
      <c r="AN21" s="11"/>
      <c r="AO21" s="11"/>
      <c r="AP21" s="10"/>
      <c r="AQ21" s="11"/>
      <c r="AR21" s="18"/>
      <c r="AS21" s="27"/>
      <c r="AT21" s="11"/>
      <c r="AU21" s="11"/>
      <c r="AV21" s="11"/>
      <c r="AW21" s="11"/>
      <c r="AX21" s="11"/>
      <c r="AY21" s="11"/>
      <c r="AZ21" s="11"/>
      <c r="BA21" s="11"/>
      <c r="BB21" s="22"/>
      <c r="BC21" s="10"/>
      <c r="BD21" s="11"/>
      <c r="BE21" s="11"/>
      <c r="BF21" s="11"/>
      <c r="BG21" s="11"/>
      <c r="BH21" s="11"/>
      <c r="BI21" s="11"/>
      <c r="BJ21" s="18"/>
      <c r="BK21" s="10"/>
      <c r="BL21" s="18"/>
      <c r="BM21" s="22"/>
      <c r="BN21" s="49"/>
      <c r="BO21" s="49"/>
      <c r="BP21" s="49"/>
      <c r="BQ21" s="49"/>
      <c r="BR21" s="50"/>
      <c r="BS21" s="50"/>
      <c r="BT21" s="50"/>
      <c r="BU21" s="55"/>
      <c r="BV21" s="55"/>
      <c r="BW21" s="93"/>
      <c r="BX21" s="93"/>
    </row>
    <row r="22" spans="1:76" s="2" customFormat="1" ht="28.5">
      <c r="A22" s="96" t="s">
        <v>92</v>
      </c>
      <c r="B22" s="13">
        <f>IFERROR(VLOOKUP($A22,'[1]3. Mitigation Impact on Coverag'!$A$7:$MY$53,B$2,FALSE)*B$9,"")</f>
        <v>1.32075471698113</v>
      </c>
      <c r="C22" s="14" t="str">
        <f>IFERROR(VLOOKUP($A22,'[1]3. Mitigation Impact on Coverag'!$A$7:$MY$53,C$2,FALSE)*C$9,"")</f>
        <v/>
      </c>
      <c r="D22" s="15" t="str">
        <f>IFERROR(VLOOKUP($A22,'[1]3. Mitigation Impact on Coverag'!$A$7:$MY$53,D$2,FALSE)*D$9,"")</f>
        <v/>
      </c>
      <c r="E22" s="15" t="str">
        <f>IFERROR(VLOOKUP($A22,'[1]3. Mitigation Impact on Coverag'!$A$7:$MY$53,E$2,FALSE)*E$9,"")</f>
        <v/>
      </c>
      <c r="F22" s="15" t="str">
        <f>IFERROR(VLOOKUP($A22,'[1]3. Mitigation Impact on Coverag'!$A$7:$MY$53,F$2,FALSE)*F$9,"")</f>
        <v/>
      </c>
      <c r="G22" s="15" t="str">
        <f>IFERROR(VLOOKUP($A22,'[1]3. Mitigation Impact on Coverag'!$A$7:$MY$53,G$2,FALSE)*G$9,"")</f>
        <v/>
      </c>
      <c r="H22" s="15" t="str">
        <f>IFERROR(VLOOKUP($A22,'[1]3. Mitigation Impact on Coverag'!$A$7:$MY$53,H$2,FALSE)*H$9,"")</f>
        <v/>
      </c>
      <c r="I22" s="15" t="str">
        <f>IFERROR(VLOOKUP($A22,'[1]3. Mitigation Impact on Coverag'!$A$7:$MY$53,I$2,FALSE)*I$9,"")</f>
        <v/>
      </c>
      <c r="J22" s="15" t="str">
        <f>IFERROR(VLOOKUP($A22,'[1]3. Mitigation Impact on Coverag'!$A$7:$MY$53,J$2,FALSE)*J$9,"")</f>
        <v/>
      </c>
      <c r="K22" s="15" t="str">
        <f>IFERROR(VLOOKUP($A22,'[1]3. Mitigation Impact on Coverag'!$A$7:$MY$53,K$2,FALSE)*K$9,"")</f>
        <v/>
      </c>
      <c r="L22" s="15" t="str">
        <f>IFERROR(VLOOKUP($A22,'[1]3. Mitigation Impact on Coverag'!$A$7:$MY$53,L$2,FALSE)*L$9,"")</f>
        <v/>
      </c>
      <c r="M22" s="15" t="str">
        <f>IFERROR(VLOOKUP($A22,'[1]3. Mitigation Impact on Coverag'!$A$7:$MY$53,M$2,FALSE)*M$9,"")</f>
        <v/>
      </c>
      <c r="N22" s="15" t="str">
        <f>IFERROR(VLOOKUP($A22,'[1]3. Mitigation Impact on Coverag'!$A$7:$MY$53,N$2,FALSE)*N$9,"")</f>
        <v/>
      </c>
      <c r="O22" s="19" t="str">
        <f>IFERROR(VLOOKUP($A22,'[1]3. Mitigation Impact on Coverag'!$A$7:$MY$53,O$2,FALSE)*O$9,"")</f>
        <v/>
      </c>
      <c r="P22" s="14" t="str">
        <f>IFERROR(VLOOKUP($A22,'[1]3. Mitigation Impact on Coverag'!$A$7:$MY$53,P$2,FALSE)*P$9,"")</f>
        <v/>
      </c>
      <c r="Q22" s="15" t="str">
        <f>IFERROR(VLOOKUP($A22,'[1]3. Mitigation Impact on Coverag'!$A$7:$MY$53,Q$2,FALSE)*Q$9,"")</f>
        <v/>
      </c>
      <c r="R22" s="15" t="str">
        <f>IFERROR(VLOOKUP($A22,'[1]3. Mitigation Impact on Coverag'!$A$7:$MY$53,R$2,FALSE)*R$9,"")</f>
        <v/>
      </c>
      <c r="S22" s="15" t="str">
        <f>IFERROR(VLOOKUP($A22,'[1]3. Mitigation Impact on Coverag'!$A$7:$MY$53,S$2,FALSE)*S$9,"")</f>
        <v/>
      </c>
      <c r="T22" s="15" t="str">
        <f>IFERROR(VLOOKUP($A22,'[1]3. Mitigation Impact on Coverag'!$A$7:$MY$53,T$2,FALSE)*T$9,"")</f>
        <v/>
      </c>
      <c r="U22" s="15" t="str">
        <f>IFERROR(VLOOKUP($A22,'[1]3. Mitigation Impact on Coverag'!$A$7:$MY$53,U$2,FALSE)*U$9,"")</f>
        <v/>
      </c>
      <c r="V22" s="15" t="str">
        <f>IFERROR(VLOOKUP($A22,'[1]3. Mitigation Impact on Coverag'!$A$7:$MY$53,V$2,FALSE)*V$9,"")</f>
        <v/>
      </c>
      <c r="W22" s="15" t="str">
        <f>IFERROR(VLOOKUP($A22,'[1]3. Mitigation Impact on Coverag'!$A$7:$MY$53,W$2,FALSE)*W$9,"")</f>
        <v/>
      </c>
      <c r="X22" s="15" t="str">
        <f>IFERROR(VLOOKUP($A22,'[1]3. Mitigation Impact on Coverag'!$A$7:$MY$53,X$2,FALSE)*X$9,"")</f>
        <v/>
      </c>
      <c r="Y22" s="15" t="str">
        <f>IFERROR(VLOOKUP($A22,'[1]3. Mitigation Impact on Coverag'!$A$7:$MY$53,Y$2,FALSE)*Y$9,"")</f>
        <v/>
      </c>
      <c r="Z22" s="15" t="str">
        <f>IFERROR(VLOOKUP($A22,'[1]3. Mitigation Impact on Coverag'!$A$7:$MY$53,Z$2,FALSE)*Z$9,"")</f>
        <v/>
      </c>
      <c r="AA22" s="15" t="str">
        <f>IFERROR(VLOOKUP($A22,'[1]3. Mitigation Impact on Coverag'!$A$7:$MY$53,AA$2,FALSE)*AA$9,"")</f>
        <v/>
      </c>
      <c r="AB22" s="15" t="str">
        <f>IFERROR(VLOOKUP($A22,'[1]3. Mitigation Impact on Coverag'!$A$7:$MY$53,AB$2,FALSE)*AB$9,"")</f>
        <v/>
      </c>
      <c r="AC22" s="15" t="str">
        <f>IFERROR(VLOOKUP($A22,'[1]3. Mitigation Impact on Coverag'!$A$7:$MY$53,AC$2,FALSE)*AC$9,"")</f>
        <v/>
      </c>
      <c r="AD22" s="15" t="str">
        <f>IFERROR(VLOOKUP($A22,'[1]3. Mitigation Impact on Coverag'!$A$7:$MY$53,AD$2,FALSE)*AD$9,"")</f>
        <v/>
      </c>
      <c r="AE22" s="15" t="str">
        <f>IFERROR(VLOOKUP($A22,'[1]3. Mitigation Impact on Coverag'!$A$7:$MY$53,AE$2,FALSE)*AE$9,"")</f>
        <v/>
      </c>
      <c r="AF22" s="23" t="str">
        <f>IFERROR(VLOOKUP($A22,'[1]3. Mitigation Impact on Coverag'!$A$7:$MY$53,AF$2,FALSE)*AF$9,"")</f>
        <v/>
      </c>
      <c r="AG22" s="14" t="str">
        <f>IFERROR(VLOOKUP($A22,'[1]3. Mitigation Impact on Coverag'!$A$7:$MY$53,AG$2,FALSE)*AG$9,"")</f>
        <v/>
      </c>
      <c r="AH22" s="28" t="str">
        <f>IFERROR(VLOOKUP($A22,'[1]3. Mitigation Impact on Coverag'!$A$7:$MY$53,AH$2,FALSE)*AH$9,"")</f>
        <v/>
      </c>
      <c r="AI22" s="28" t="str">
        <f>IFERROR(VLOOKUP($A22,'[1]3. Mitigation Impact on Coverag'!$A$7:$MY$53,AI$2,FALSE)*AI$9,"")</f>
        <v/>
      </c>
      <c r="AJ22" s="15" t="str">
        <f>IFERROR(VLOOKUP($A22,'[1]3. Mitigation Impact on Coverag'!$A$7:$MY$53,AJ$2,FALSE)*AJ$9,"")</f>
        <v/>
      </c>
      <c r="AK22" s="15" t="str">
        <f>IFERROR(VLOOKUP($A22,'[1]3. Mitigation Impact on Coverag'!$A$7:$MY$53,AK$2,FALSE)*AK$9,"")</f>
        <v/>
      </c>
      <c r="AL22" s="15" t="str">
        <f>IFERROR(VLOOKUP($A22,'[1]3. Mitigation Impact on Coverag'!$A$7:$MY$53,AL$2,FALSE)*AL$9,"")</f>
        <v/>
      </c>
      <c r="AM22" s="15" t="str">
        <f>IFERROR(VLOOKUP($A22,'[1]3. Mitigation Impact on Coverag'!$A$7:$MY$53,AM$2,FALSE)*AM$9,"")</f>
        <v/>
      </c>
      <c r="AN22" s="15" t="str">
        <f>IFERROR(VLOOKUP($A22,'[1]3. Mitigation Impact on Coverag'!$A$7:$MY$53,AN$2,FALSE)*AN$9,"")</f>
        <v/>
      </c>
      <c r="AO22" s="15" t="str">
        <f>IFERROR(VLOOKUP($A22,'[1]3. Mitigation Impact on Coverag'!$A$7:$MY$53,AO$2,FALSE)*AO$9,"")</f>
        <v/>
      </c>
      <c r="AP22" s="14" t="str">
        <f>IFERROR(VLOOKUP($A22,'[1]3. Mitigation Impact on Coverag'!$A$7:$MY$53,AP$2,FALSE)*AP$9,"")</f>
        <v/>
      </c>
      <c r="AQ22" s="15" t="str">
        <f>IFERROR(VLOOKUP($A22,'[1]3. Mitigation Impact on Coverag'!$A$7:$MY$53,AQ$2,FALSE)*AQ$9,"")</f>
        <v/>
      </c>
      <c r="AR22" s="19" t="str">
        <f>IFERROR(VLOOKUP($A22,'[1]3. Mitigation Impact on Coverag'!$A$7:$MY$53,AR$2,FALSE)*AR$9,"")</f>
        <v/>
      </c>
      <c r="AS22" s="28" t="str">
        <f>IFERROR(VLOOKUP($A22,'[1]3. Mitigation Impact on Coverag'!$A$7:$MY$53,AS$2,FALSE)*AS$9,"")</f>
        <v/>
      </c>
      <c r="AT22" s="15" t="str">
        <f>IFERROR(VLOOKUP($A22,'[1]3. Mitigation Impact on Coverag'!$A$7:$MY$53,AT$2,FALSE)*AT$9,"")</f>
        <v/>
      </c>
      <c r="AU22" s="15" t="str">
        <f>IFERROR(VLOOKUP($A22,'[1]3. Mitigation Impact on Coverag'!$A$7:$MY$53,AU$2,FALSE)*AU$9,"")</f>
        <v/>
      </c>
      <c r="AV22" s="15" t="str">
        <f>IFERROR(VLOOKUP($A22,'[1]3. Mitigation Impact on Coverag'!$A$7:$MY$53,AV$2,FALSE)*AV$9,"")</f>
        <v/>
      </c>
      <c r="AW22" s="15" t="str">
        <f>IFERROR(VLOOKUP($A22,'[1]3. Mitigation Impact on Coverag'!$A$7:$MY$53,AW$2,FALSE)*AW$9,"")</f>
        <v/>
      </c>
      <c r="AX22" s="15" t="str">
        <f>IFERROR(VLOOKUP($A22,'[1]3. Mitigation Impact on Coverag'!$A$7:$MY$53,AX$2,FALSE)*AX$9,"")</f>
        <v/>
      </c>
      <c r="AY22" s="15" t="str">
        <f>IFERROR(VLOOKUP($A22,'[1]3. Mitigation Impact on Coverag'!$A$7:$MY$53,AY$2,FALSE)*AY$9,"")</f>
        <v/>
      </c>
      <c r="AZ22" s="15" t="str">
        <f>IFERROR(VLOOKUP($A22,'[1]3. Mitigation Impact on Coverag'!$A$7:$MY$53,AZ$2,FALSE)*AZ$9,"")</f>
        <v/>
      </c>
      <c r="BA22" s="15" t="str">
        <f>IFERROR(VLOOKUP($A22,'[1]3. Mitigation Impact on Coverag'!$A$7:$MY$53,BA$2,FALSE)*BA$9,"")</f>
        <v/>
      </c>
      <c r="BB22" s="23" t="str">
        <f>IFERROR(VLOOKUP($A22,'[1]3. Mitigation Impact on Coverag'!$A$7:$MY$53,BB$2,FALSE)*BB$9,"")</f>
        <v/>
      </c>
      <c r="BC22" s="14" t="str">
        <f>IFERROR(VLOOKUP($A22,'[1]3. Mitigation Impact on Coverag'!$A$7:$MY$53,BC$2,FALSE)*BC$9,"")</f>
        <v/>
      </c>
      <c r="BD22" s="15" t="str">
        <f>IFERROR(VLOOKUP($A22,'[1]3. Mitigation Impact on Coverag'!$A$7:$MY$53,BD$2,FALSE)*BD$9,"")</f>
        <v/>
      </c>
      <c r="BE22" s="15" t="str">
        <f>IFERROR(VLOOKUP($A22,'[1]3. Mitigation Impact on Coverag'!$A$7:$MY$53,BE$2,FALSE)*BE$9,"")</f>
        <v/>
      </c>
      <c r="BF22" s="15" t="str">
        <f>IFERROR(VLOOKUP($A22,'[1]3. Mitigation Impact on Coverag'!$A$7:$MY$53,BF$2,FALSE)*BF$9,"")</f>
        <v/>
      </c>
      <c r="BG22" s="15" t="str">
        <f>IFERROR(VLOOKUP($A22,'[1]3. Mitigation Impact on Coverag'!$A$7:$MY$53,BG$2,FALSE)*BG$9,"")</f>
        <v/>
      </c>
      <c r="BH22" s="15" t="str">
        <f>IFERROR(VLOOKUP($A22,'[1]3. Mitigation Impact on Coverag'!$A$7:$MY$53,BH$2,FALSE)*BH$9,"")</f>
        <v/>
      </c>
      <c r="BI22" s="15" t="str">
        <f>IFERROR(VLOOKUP($A22,'[1]3. Mitigation Impact on Coverag'!$A$7:$MY$53,BI$2,FALSE)*BI$9,"")</f>
        <v/>
      </c>
      <c r="BJ22" s="19" t="str">
        <f>IFERROR(VLOOKUP($A22,'[1]3. Mitigation Impact on Coverag'!$A$7:$MY$53,BJ$2,FALSE)*BJ$9,"")</f>
        <v/>
      </c>
      <c r="BK22" s="40" t="str">
        <f>IFERROR(VLOOKUP($A22,'[1]3. Mitigation Impact on Coverag'!$A$7:$MY$53,BK$2,FALSE)*BK$9,"")</f>
        <v/>
      </c>
      <c r="BL22" s="41" t="str">
        <f>IFERROR(VLOOKUP($A22,'[1]3. Mitigation Impact on Coverag'!$A$7:$MY$53,BL$2,FALSE)*BL$9,"")</f>
        <v/>
      </c>
      <c r="BM22" s="51" t="str">
        <f>IFERROR(VLOOKUP($A22,'[1]3. Mitigation Impact on Coverag'!$A$7:$MY$53,BM$2,FALSE)*BM$9,"")</f>
        <v/>
      </c>
      <c r="BN22" s="52">
        <f t="shared" ref="BN22:BN24" si="21">B22</f>
        <v>1.32075471698113</v>
      </c>
      <c r="BO22" s="52">
        <f t="shared" ref="BO22:BO24" si="22">SUM(C22:O22)</f>
        <v>0</v>
      </c>
      <c r="BP22" s="52">
        <f t="shared" ref="BP22:BP24" si="23">SUM(P22:AF22)</f>
        <v>0</v>
      </c>
      <c r="BQ22" s="52">
        <f t="shared" ref="BQ22:BQ24" si="24">SUM(AG22:AO22)</f>
        <v>0</v>
      </c>
      <c r="BR22" s="52">
        <f t="shared" ref="BR22:BR24" si="25">SUM(AP22:AR22)</f>
        <v>0</v>
      </c>
      <c r="BS22" s="52">
        <f t="shared" ref="BS22:BS24" si="26">SUM(AS22:BB22)</f>
        <v>0</v>
      </c>
      <c r="BT22" s="52">
        <f t="shared" ref="BT22:BT24" si="27">SUM(BC22:BJ22)</f>
        <v>0</v>
      </c>
      <c r="BU22" s="52">
        <f t="shared" ref="BU22:BU24" si="28">SUM(BK22:BL22)</f>
        <v>0</v>
      </c>
      <c r="BV22" s="52" t="str">
        <f t="shared" ref="BV22:BV24" si="29">BM22</f>
        <v/>
      </c>
      <c r="BW22" s="94">
        <f t="shared" ref="BW22:BW24" si="30">SUM(BN22:BV22)</f>
        <v>1.32075471698113</v>
      </c>
      <c r="BX22" s="95">
        <f t="shared" ref="BX22:BX24" si="31">BW22/$BW$9</f>
        <v>4.0390052507068301E-4</v>
      </c>
    </row>
    <row r="23" spans="1:76" s="2" customFormat="1" ht="28.5">
      <c r="A23" s="96" t="s">
        <v>93</v>
      </c>
      <c r="B23" s="13">
        <f>IFERROR(VLOOKUP($A23,'[1]3. Mitigation Impact on Coverag'!$A$7:$MY$53,B$2,FALSE)*B$9,"")</f>
        <v>0.660377358490566</v>
      </c>
      <c r="C23" s="14" t="str">
        <f>IFERROR(VLOOKUP($A23,'[1]3. Mitigation Impact on Coverag'!$A$7:$MY$53,C$2,FALSE)*C$9,"")</f>
        <v/>
      </c>
      <c r="D23" s="15" t="str">
        <f>IFERROR(VLOOKUP($A23,'[1]3. Mitigation Impact on Coverag'!$A$7:$MY$53,D$2,FALSE)*D$9,"")</f>
        <v/>
      </c>
      <c r="E23" s="15" t="str">
        <f>IFERROR(VLOOKUP($A23,'[1]3. Mitigation Impact on Coverag'!$A$7:$MY$53,E$2,FALSE)*E$9,"")</f>
        <v/>
      </c>
      <c r="F23" s="15" t="str">
        <f>IFERROR(VLOOKUP($A23,'[1]3. Mitigation Impact on Coverag'!$A$7:$MY$53,F$2,FALSE)*F$9,"")</f>
        <v/>
      </c>
      <c r="G23" s="15" t="str">
        <f>IFERROR(VLOOKUP($A23,'[1]3. Mitigation Impact on Coverag'!$A$7:$MY$53,G$2,FALSE)*G$9,"")</f>
        <v/>
      </c>
      <c r="H23" s="15" t="str">
        <f>IFERROR(VLOOKUP($A23,'[1]3. Mitigation Impact on Coverag'!$A$7:$MY$53,H$2,FALSE)*H$9,"")</f>
        <v/>
      </c>
      <c r="I23" s="15" t="str">
        <f>IFERROR(VLOOKUP($A23,'[1]3. Mitigation Impact on Coverag'!$A$7:$MY$53,I$2,FALSE)*I$9,"")</f>
        <v/>
      </c>
      <c r="J23" s="15" t="str">
        <f>IFERROR(VLOOKUP($A23,'[1]3. Mitigation Impact on Coverag'!$A$7:$MY$53,J$2,FALSE)*J$9,"")</f>
        <v/>
      </c>
      <c r="K23" s="15" t="str">
        <f>IFERROR(VLOOKUP($A23,'[1]3. Mitigation Impact on Coverag'!$A$7:$MY$53,K$2,FALSE)*K$9,"")</f>
        <v/>
      </c>
      <c r="L23" s="15" t="str">
        <f>IFERROR(VLOOKUP($A23,'[1]3. Mitigation Impact on Coverag'!$A$7:$MY$53,L$2,FALSE)*L$9,"")</f>
        <v/>
      </c>
      <c r="M23" s="15" t="str">
        <f>IFERROR(VLOOKUP($A23,'[1]3. Mitigation Impact on Coverag'!$A$7:$MY$53,M$2,FALSE)*M$9,"")</f>
        <v/>
      </c>
      <c r="N23" s="15" t="str">
        <f>IFERROR(VLOOKUP($A23,'[1]3. Mitigation Impact on Coverag'!$A$7:$MY$53,N$2,FALSE)*N$9,"")</f>
        <v/>
      </c>
      <c r="O23" s="19" t="str">
        <f>IFERROR(VLOOKUP($A23,'[1]3. Mitigation Impact on Coverag'!$A$7:$MY$53,O$2,FALSE)*O$9,"")</f>
        <v/>
      </c>
      <c r="P23" s="14" t="str">
        <f>IFERROR(VLOOKUP($A23,'[1]3. Mitigation Impact on Coverag'!$A$7:$MY$53,P$2,FALSE)*P$9,"")</f>
        <v/>
      </c>
      <c r="Q23" s="15" t="str">
        <f>IFERROR(VLOOKUP($A23,'[1]3. Mitigation Impact on Coverag'!$A$7:$MY$53,Q$2,FALSE)*Q$9,"")</f>
        <v/>
      </c>
      <c r="R23" s="15" t="str">
        <f>IFERROR(VLOOKUP($A23,'[1]3. Mitigation Impact on Coverag'!$A$7:$MY$53,R$2,FALSE)*R$9,"")</f>
        <v/>
      </c>
      <c r="S23" s="15" t="str">
        <f>IFERROR(VLOOKUP($A23,'[1]3. Mitigation Impact on Coverag'!$A$7:$MY$53,S$2,FALSE)*S$9,"")</f>
        <v/>
      </c>
      <c r="T23" s="15" t="str">
        <f>IFERROR(VLOOKUP($A23,'[1]3. Mitigation Impact on Coverag'!$A$7:$MY$53,T$2,FALSE)*T$9,"")</f>
        <v/>
      </c>
      <c r="U23" s="15" t="str">
        <f>IFERROR(VLOOKUP($A23,'[1]3. Mitigation Impact on Coverag'!$A$7:$MY$53,U$2,FALSE)*U$9,"")</f>
        <v/>
      </c>
      <c r="V23" s="15" t="str">
        <f>IFERROR(VLOOKUP($A23,'[1]3. Mitigation Impact on Coverag'!$A$7:$MY$53,V$2,FALSE)*V$9,"")</f>
        <v/>
      </c>
      <c r="W23" s="15" t="str">
        <f>IFERROR(VLOOKUP($A23,'[1]3. Mitigation Impact on Coverag'!$A$7:$MY$53,W$2,FALSE)*W$9,"")</f>
        <v/>
      </c>
      <c r="X23" s="15" t="str">
        <f>IFERROR(VLOOKUP($A23,'[1]3. Mitigation Impact on Coverag'!$A$7:$MY$53,X$2,FALSE)*X$9,"")</f>
        <v/>
      </c>
      <c r="Y23" s="15" t="str">
        <f>IFERROR(VLOOKUP($A23,'[1]3. Mitigation Impact on Coverag'!$A$7:$MY$53,Y$2,FALSE)*Y$9,"")</f>
        <v/>
      </c>
      <c r="Z23" s="15" t="str">
        <f>IFERROR(VLOOKUP($A23,'[1]3. Mitigation Impact on Coverag'!$A$7:$MY$53,Z$2,FALSE)*Z$9,"")</f>
        <v/>
      </c>
      <c r="AA23" s="15" t="str">
        <f>IFERROR(VLOOKUP($A23,'[1]3. Mitigation Impact on Coverag'!$A$7:$MY$53,AA$2,FALSE)*AA$9,"")</f>
        <v/>
      </c>
      <c r="AB23" s="15" t="str">
        <f>IFERROR(VLOOKUP($A23,'[1]3. Mitigation Impact on Coverag'!$A$7:$MY$53,AB$2,FALSE)*AB$9,"")</f>
        <v/>
      </c>
      <c r="AC23" s="15" t="str">
        <f>IFERROR(VLOOKUP($A23,'[1]3. Mitigation Impact on Coverag'!$A$7:$MY$53,AC$2,FALSE)*AC$9,"")</f>
        <v/>
      </c>
      <c r="AD23" s="15" t="str">
        <f>IFERROR(VLOOKUP($A23,'[1]3. Mitigation Impact on Coverag'!$A$7:$MY$53,AD$2,FALSE)*AD$9,"")</f>
        <v/>
      </c>
      <c r="AE23" s="15" t="str">
        <f>IFERROR(VLOOKUP($A23,'[1]3. Mitigation Impact on Coverag'!$A$7:$MY$53,AE$2,FALSE)*AE$9,"")</f>
        <v/>
      </c>
      <c r="AF23" s="23" t="str">
        <f>IFERROR(VLOOKUP($A23,'[1]3. Mitigation Impact on Coverag'!$A$7:$MY$53,AF$2,FALSE)*AF$9,"")</f>
        <v/>
      </c>
      <c r="AG23" s="14" t="str">
        <f>IFERROR(VLOOKUP($A23,'[1]3. Mitigation Impact on Coverag'!$A$7:$MY$53,AG$2,FALSE)*AG$9,"")</f>
        <v/>
      </c>
      <c r="AH23" s="28" t="str">
        <f>IFERROR(VLOOKUP($A23,'[1]3. Mitigation Impact on Coverag'!$A$7:$MY$53,AH$2,FALSE)*AH$9,"")</f>
        <v/>
      </c>
      <c r="AI23" s="28" t="str">
        <f>IFERROR(VLOOKUP($A23,'[1]3. Mitigation Impact on Coverag'!$A$7:$MY$53,AI$2,FALSE)*AI$9,"")</f>
        <v/>
      </c>
      <c r="AJ23" s="15" t="str">
        <f>IFERROR(VLOOKUP($A23,'[1]3. Mitigation Impact on Coverag'!$A$7:$MY$53,AJ$2,FALSE)*AJ$9,"")</f>
        <v/>
      </c>
      <c r="AK23" s="15" t="str">
        <f>IFERROR(VLOOKUP($A23,'[1]3. Mitigation Impact on Coverag'!$A$7:$MY$53,AK$2,FALSE)*AK$9,"")</f>
        <v/>
      </c>
      <c r="AL23" s="15" t="str">
        <f>IFERROR(VLOOKUP($A23,'[1]3. Mitigation Impact on Coverag'!$A$7:$MY$53,AL$2,FALSE)*AL$9,"")</f>
        <v/>
      </c>
      <c r="AM23" s="15" t="str">
        <f>IFERROR(VLOOKUP($A23,'[1]3. Mitigation Impact on Coverag'!$A$7:$MY$53,AM$2,FALSE)*AM$9,"")</f>
        <v/>
      </c>
      <c r="AN23" s="15" t="str">
        <f>IFERROR(VLOOKUP($A23,'[1]3. Mitigation Impact on Coverag'!$A$7:$MY$53,AN$2,FALSE)*AN$9,"")</f>
        <v/>
      </c>
      <c r="AO23" s="15" t="str">
        <f>IFERROR(VLOOKUP($A23,'[1]3. Mitigation Impact on Coverag'!$A$7:$MY$53,AO$2,FALSE)*AO$9,"")</f>
        <v/>
      </c>
      <c r="AP23" s="14" t="str">
        <f>IFERROR(VLOOKUP($A23,'[1]3. Mitigation Impact on Coverag'!$A$7:$MY$53,AP$2,FALSE)*AP$9,"")</f>
        <v/>
      </c>
      <c r="AQ23" s="15" t="str">
        <f>IFERROR(VLOOKUP($A23,'[1]3. Mitigation Impact on Coverag'!$A$7:$MY$53,AQ$2,FALSE)*AQ$9,"")</f>
        <v/>
      </c>
      <c r="AR23" s="19" t="str">
        <f>IFERROR(VLOOKUP($A23,'[1]3. Mitigation Impact on Coverag'!$A$7:$MY$53,AR$2,FALSE)*AR$9,"")</f>
        <v/>
      </c>
      <c r="AS23" s="28" t="str">
        <f>IFERROR(VLOOKUP($A23,'[1]3. Mitigation Impact on Coverag'!$A$7:$MY$53,AS$2,FALSE)*AS$9,"")</f>
        <v/>
      </c>
      <c r="AT23" s="15" t="str">
        <f>IFERROR(VLOOKUP($A23,'[1]3. Mitigation Impact on Coverag'!$A$7:$MY$53,AT$2,FALSE)*AT$9,"")</f>
        <v/>
      </c>
      <c r="AU23" s="15" t="str">
        <f>IFERROR(VLOOKUP($A23,'[1]3. Mitigation Impact on Coverag'!$A$7:$MY$53,AU$2,FALSE)*AU$9,"")</f>
        <v/>
      </c>
      <c r="AV23" s="15" t="str">
        <f>IFERROR(VLOOKUP($A23,'[1]3. Mitigation Impact on Coverag'!$A$7:$MY$53,AV$2,FALSE)*AV$9,"")</f>
        <v/>
      </c>
      <c r="AW23" s="15" t="str">
        <f>IFERROR(VLOOKUP($A23,'[1]3. Mitigation Impact on Coverag'!$A$7:$MY$53,AW$2,FALSE)*AW$9,"")</f>
        <v/>
      </c>
      <c r="AX23" s="15" t="str">
        <f>IFERROR(VLOOKUP($A23,'[1]3. Mitigation Impact on Coverag'!$A$7:$MY$53,AX$2,FALSE)*AX$9,"")</f>
        <v/>
      </c>
      <c r="AY23" s="15" t="str">
        <f>IFERROR(VLOOKUP($A23,'[1]3. Mitigation Impact on Coverag'!$A$7:$MY$53,AY$2,FALSE)*AY$9,"")</f>
        <v/>
      </c>
      <c r="AZ23" s="15" t="str">
        <f>IFERROR(VLOOKUP($A23,'[1]3. Mitigation Impact on Coverag'!$A$7:$MY$53,AZ$2,FALSE)*AZ$9,"")</f>
        <v/>
      </c>
      <c r="BA23" s="15" t="str">
        <f>IFERROR(VLOOKUP($A23,'[1]3. Mitigation Impact on Coverag'!$A$7:$MY$53,BA$2,FALSE)*BA$9,"")</f>
        <v/>
      </c>
      <c r="BB23" s="23" t="str">
        <f>IFERROR(VLOOKUP($A23,'[1]3. Mitigation Impact on Coverag'!$A$7:$MY$53,BB$2,FALSE)*BB$9,"")</f>
        <v/>
      </c>
      <c r="BC23" s="14" t="str">
        <f>IFERROR(VLOOKUP($A23,'[1]3. Mitigation Impact on Coverag'!$A$7:$MY$53,BC$2,FALSE)*BC$9,"")</f>
        <v/>
      </c>
      <c r="BD23" s="15" t="str">
        <f>IFERROR(VLOOKUP($A23,'[1]3. Mitigation Impact on Coverag'!$A$7:$MY$53,BD$2,FALSE)*BD$9,"")</f>
        <v/>
      </c>
      <c r="BE23" s="15" t="str">
        <f>IFERROR(VLOOKUP($A23,'[1]3. Mitigation Impact on Coverag'!$A$7:$MY$53,BE$2,FALSE)*BE$9,"")</f>
        <v/>
      </c>
      <c r="BF23" s="15" t="str">
        <f>IFERROR(VLOOKUP($A23,'[1]3. Mitigation Impact on Coverag'!$A$7:$MY$53,BF$2,FALSE)*BF$9,"")</f>
        <v/>
      </c>
      <c r="BG23" s="15" t="str">
        <f>IFERROR(VLOOKUP($A23,'[1]3. Mitigation Impact on Coverag'!$A$7:$MY$53,BG$2,FALSE)*BG$9,"")</f>
        <v/>
      </c>
      <c r="BH23" s="15" t="str">
        <f>IFERROR(VLOOKUP($A23,'[1]3. Mitigation Impact on Coverag'!$A$7:$MY$53,BH$2,FALSE)*BH$9,"")</f>
        <v/>
      </c>
      <c r="BI23" s="15" t="str">
        <f>IFERROR(VLOOKUP($A23,'[1]3. Mitigation Impact on Coverag'!$A$7:$MY$53,BI$2,FALSE)*BI$9,"")</f>
        <v/>
      </c>
      <c r="BJ23" s="19" t="str">
        <f>IFERROR(VLOOKUP($A23,'[1]3. Mitigation Impact on Coverag'!$A$7:$MY$53,BJ$2,FALSE)*BJ$9,"")</f>
        <v/>
      </c>
      <c r="BK23" s="40" t="str">
        <f>IFERROR(VLOOKUP($A23,'[1]3. Mitigation Impact on Coverag'!$A$7:$MY$53,BK$2,FALSE)*BK$9,"")</f>
        <v/>
      </c>
      <c r="BL23" s="41" t="str">
        <f>IFERROR(VLOOKUP($A23,'[1]3. Mitigation Impact on Coverag'!$A$7:$MY$53,BL$2,FALSE)*BL$9,"")</f>
        <v/>
      </c>
      <c r="BM23" s="51" t="str">
        <f>IFERROR(VLOOKUP($A23,'[1]3. Mitigation Impact on Coverag'!$A$7:$MY$53,BM$2,FALSE)*BM$9,"")</f>
        <v/>
      </c>
      <c r="BN23" s="52">
        <f t="shared" si="21"/>
        <v>0.660377358490566</v>
      </c>
      <c r="BO23" s="52">
        <f t="shared" si="22"/>
        <v>0</v>
      </c>
      <c r="BP23" s="52">
        <f t="shared" si="23"/>
        <v>0</v>
      </c>
      <c r="BQ23" s="52">
        <f t="shared" si="24"/>
        <v>0</v>
      </c>
      <c r="BR23" s="52">
        <f t="shared" si="25"/>
        <v>0</v>
      </c>
      <c r="BS23" s="52">
        <f t="shared" si="26"/>
        <v>0</v>
      </c>
      <c r="BT23" s="52">
        <f t="shared" si="27"/>
        <v>0</v>
      </c>
      <c r="BU23" s="52">
        <f t="shared" si="28"/>
        <v>0</v>
      </c>
      <c r="BV23" s="52" t="str">
        <f t="shared" si="29"/>
        <v/>
      </c>
      <c r="BW23" s="94">
        <f t="shared" si="30"/>
        <v>0.660377358490566</v>
      </c>
      <c r="BX23" s="95">
        <f t="shared" si="31"/>
        <v>2.0195026253534099E-4</v>
      </c>
    </row>
    <row r="24" spans="1:76" s="2" customFormat="1">
      <c r="A24" s="12"/>
      <c r="B24" s="13" t="str">
        <f>IFERROR(VLOOKUP($A24,'[1]3. Mitigation Impact on Coverag'!$A$7:$MY$53,B$2,FALSE)*B$9,"")</f>
        <v/>
      </c>
      <c r="C24" s="14" t="str">
        <f>IFERROR(VLOOKUP($A24,'[1]3. Mitigation Impact on Coverag'!$A$7:$MY$53,C$2,FALSE)*C$9,"")</f>
        <v/>
      </c>
      <c r="D24" s="15" t="str">
        <f>IFERROR(VLOOKUP($A24,'[1]3. Mitigation Impact on Coverag'!$A$7:$MY$53,D$2,FALSE)*D$9,"")</f>
        <v/>
      </c>
      <c r="E24" s="15" t="str">
        <f>IFERROR(VLOOKUP($A24,'[1]3. Mitigation Impact on Coverag'!$A$7:$MY$53,E$2,FALSE)*E$9,"")</f>
        <v/>
      </c>
      <c r="F24" s="15" t="str">
        <f>IFERROR(VLOOKUP($A24,'[1]3. Mitigation Impact on Coverag'!$A$7:$MY$53,F$2,FALSE)*F$9,"")</f>
        <v/>
      </c>
      <c r="G24" s="15" t="str">
        <f>IFERROR(VLOOKUP($A24,'[1]3. Mitigation Impact on Coverag'!$A$7:$MY$53,G$2,FALSE)*G$9,"")</f>
        <v/>
      </c>
      <c r="H24" s="15" t="str">
        <f>IFERROR(VLOOKUP($A24,'[1]3. Mitigation Impact on Coverag'!$A$7:$MY$53,H$2,FALSE)*H$9,"")</f>
        <v/>
      </c>
      <c r="I24" s="15" t="str">
        <f>IFERROR(VLOOKUP($A24,'[1]3. Mitigation Impact on Coverag'!$A$7:$MY$53,I$2,FALSE)*I$9,"")</f>
        <v/>
      </c>
      <c r="J24" s="15" t="str">
        <f>IFERROR(VLOOKUP($A24,'[1]3. Mitigation Impact on Coverag'!$A$7:$MY$53,J$2,FALSE)*J$9,"")</f>
        <v/>
      </c>
      <c r="K24" s="15" t="str">
        <f>IFERROR(VLOOKUP($A24,'[1]3. Mitigation Impact on Coverag'!$A$7:$MY$53,K$2,FALSE)*K$9,"")</f>
        <v/>
      </c>
      <c r="L24" s="15" t="str">
        <f>IFERROR(VLOOKUP($A24,'[1]3. Mitigation Impact on Coverag'!$A$7:$MY$53,L$2,FALSE)*L$9,"")</f>
        <v/>
      </c>
      <c r="M24" s="15" t="str">
        <f>IFERROR(VLOOKUP($A24,'[1]3. Mitigation Impact on Coverag'!$A$7:$MY$53,M$2,FALSE)*M$9,"")</f>
        <v/>
      </c>
      <c r="N24" s="15" t="str">
        <f>IFERROR(VLOOKUP($A24,'[1]3. Mitigation Impact on Coverag'!$A$7:$MY$53,N$2,FALSE)*N$9,"")</f>
        <v/>
      </c>
      <c r="O24" s="19" t="str">
        <f>IFERROR(VLOOKUP($A24,'[1]3. Mitigation Impact on Coverag'!$A$7:$MY$53,O$2,FALSE)*O$9,"")</f>
        <v/>
      </c>
      <c r="P24" s="14" t="str">
        <f>IFERROR(VLOOKUP($A24,'[1]3. Mitigation Impact on Coverag'!$A$7:$MY$53,P$2,FALSE)*P$9,"")</f>
        <v/>
      </c>
      <c r="Q24" s="15" t="str">
        <f>IFERROR(VLOOKUP($A24,'[1]3. Mitigation Impact on Coverag'!$A$7:$MY$53,Q$2,FALSE)*Q$9,"")</f>
        <v/>
      </c>
      <c r="R24" s="15" t="str">
        <f>IFERROR(VLOOKUP($A24,'[1]3. Mitigation Impact on Coverag'!$A$7:$MY$53,R$2,FALSE)*R$9,"")</f>
        <v/>
      </c>
      <c r="S24" s="15" t="str">
        <f>IFERROR(VLOOKUP($A24,'[1]3. Mitigation Impact on Coverag'!$A$7:$MY$53,S$2,FALSE)*S$9,"")</f>
        <v/>
      </c>
      <c r="T24" s="15" t="str">
        <f>IFERROR(VLOOKUP($A24,'[1]3. Mitigation Impact on Coverag'!$A$7:$MY$53,T$2,FALSE)*T$9,"")</f>
        <v/>
      </c>
      <c r="U24" s="15" t="str">
        <f>IFERROR(VLOOKUP($A24,'[1]3. Mitigation Impact on Coverag'!$A$7:$MY$53,U$2,FALSE)*U$9,"")</f>
        <v/>
      </c>
      <c r="V24" s="15" t="str">
        <f>IFERROR(VLOOKUP($A24,'[1]3. Mitigation Impact on Coverag'!$A$7:$MY$53,V$2,FALSE)*V$9,"")</f>
        <v/>
      </c>
      <c r="W24" s="15" t="str">
        <f>IFERROR(VLOOKUP($A24,'[1]3. Mitigation Impact on Coverag'!$A$7:$MY$53,W$2,FALSE)*W$9,"")</f>
        <v/>
      </c>
      <c r="X24" s="15" t="str">
        <f>IFERROR(VLOOKUP($A24,'[1]3. Mitigation Impact on Coverag'!$A$7:$MY$53,X$2,FALSE)*X$9,"")</f>
        <v/>
      </c>
      <c r="Y24" s="15" t="str">
        <f>IFERROR(VLOOKUP($A24,'[1]3. Mitigation Impact on Coverag'!$A$7:$MY$53,Y$2,FALSE)*Y$9,"")</f>
        <v/>
      </c>
      <c r="Z24" s="15" t="str">
        <f>IFERROR(VLOOKUP($A24,'[1]3. Mitigation Impact on Coverag'!$A$7:$MY$53,Z$2,FALSE)*Z$9,"")</f>
        <v/>
      </c>
      <c r="AA24" s="15" t="str">
        <f>IFERROR(VLOOKUP($A24,'[1]3. Mitigation Impact on Coverag'!$A$7:$MY$53,AA$2,FALSE)*AA$9,"")</f>
        <v/>
      </c>
      <c r="AB24" s="15" t="str">
        <f>IFERROR(VLOOKUP($A24,'[1]3. Mitigation Impact on Coverag'!$A$7:$MY$53,AB$2,FALSE)*AB$9,"")</f>
        <v/>
      </c>
      <c r="AC24" s="15" t="str">
        <f>IFERROR(VLOOKUP($A24,'[1]3. Mitigation Impact on Coverag'!$A$7:$MY$53,AC$2,FALSE)*AC$9,"")</f>
        <v/>
      </c>
      <c r="AD24" s="15" t="str">
        <f>IFERROR(VLOOKUP($A24,'[1]3. Mitigation Impact on Coverag'!$A$7:$MY$53,AD$2,FALSE)*AD$9,"")</f>
        <v/>
      </c>
      <c r="AE24" s="15" t="str">
        <f>IFERROR(VLOOKUP($A24,'[1]3. Mitigation Impact on Coverag'!$A$7:$MY$53,AE$2,FALSE)*AE$9,"")</f>
        <v/>
      </c>
      <c r="AF24" s="23" t="str">
        <f>IFERROR(VLOOKUP($A24,'[1]3. Mitigation Impact on Coverag'!$A$7:$MY$53,AF$2,FALSE)*AF$9,"")</f>
        <v/>
      </c>
      <c r="AG24" s="14" t="str">
        <f>IFERROR(VLOOKUP($A24,'[1]3. Mitigation Impact on Coverag'!$A$7:$MY$53,AG$2,FALSE)*AG$9,"")</f>
        <v/>
      </c>
      <c r="AH24" s="28" t="str">
        <f>IFERROR(VLOOKUP($A24,'[1]3. Mitigation Impact on Coverag'!$A$7:$MY$53,AH$2,FALSE)*AH$9,"")</f>
        <v/>
      </c>
      <c r="AI24" s="28" t="str">
        <f>IFERROR(VLOOKUP($A24,'[1]3. Mitigation Impact on Coverag'!$A$7:$MY$53,AI$2,FALSE)*AI$9,"")</f>
        <v/>
      </c>
      <c r="AJ24" s="15" t="str">
        <f>IFERROR(VLOOKUP($A24,'[1]3. Mitigation Impact on Coverag'!$A$7:$MY$53,AJ$2,FALSE)*AJ$9,"")</f>
        <v/>
      </c>
      <c r="AK24" s="15" t="str">
        <f>IFERROR(VLOOKUP($A24,'[1]3. Mitigation Impact on Coverag'!$A$7:$MY$53,AK$2,FALSE)*AK$9,"")</f>
        <v/>
      </c>
      <c r="AL24" s="15" t="str">
        <f>IFERROR(VLOOKUP($A24,'[1]3. Mitigation Impact on Coverag'!$A$7:$MY$53,AL$2,FALSE)*AL$9,"")</f>
        <v/>
      </c>
      <c r="AM24" s="15" t="str">
        <f>IFERROR(VLOOKUP($A24,'[1]3. Mitigation Impact on Coverag'!$A$7:$MY$53,AM$2,FALSE)*AM$9,"")</f>
        <v/>
      </c>
      <c r="AN24" s="15" t="str">
        <f>IFERROR(VLOOKUP($A24,'[1]3. Mitigation Impact on Coverag'!$A$7:$MY$53,AN$2,FALSE)*AN$9,"")</f>
        <v/>
      </c>
      <c r="AO24" s="15" t="str">
        <f>IFERROR(VLOOKUP($A24,'[1]3. Mitigation Impact on Coverag'!$A$7:$MY$53,AO$2,FALSE)*AO$9,"")</f>
        <v/>
      </c>
      <c r="AP24" s="14" t="str">
        <f>IFERROR(VLOOKUP($A24,'[1]3. Mitigation Impact on Coverag'!$A$7:$MY$53,AP$2,FALSE)*AP$9,"")</f>
        <v/>
      </c>
      <c r="AQ24" s="15" t="str">
        <f>IFERROR(VLOOKUP($A24,'[1]3. Mitigation Impact on Coverag'!$A$7:$MY$53,AQ$2,FALSE)*AQ$9,"")</f>
        <v/>
      </c>
      <c r="AR24" s="19" t="str">
        <f>IFERROR(VLOOKUP($A24,'[1]3. Mitigation Impact on Coverag'!$A$7:$MY$53,AR$2,FALSE)*AR$9,"")</f>
        <v/>
      </c>
      <c r="AS24" s="28" t="str">
        <f>IFERROR(VLOOKUP($A24,'[1]3. Mitigation Impact on Coverag'!$A$7:$MY$53,AS$2,FALSE)*AS$9,"")</f>
        <v/>
      </c>
      <c r="AT24" s="15" t="str">
        <f>IFERROR(VLOOKUP($A24,'[1]3. Mitigation Impact on Coverag'!$A$7:$MY$53,AT$2,FALSE)*AT$9,"")</f>
        <v/>
      </c>
      <c r="AU24" s="15" t="str">
        <f>IFERROR(VLOOKUP($A24,'[1]3. Mitigation Impact on Coverag'!$A$7:$MY$53,AU$2,FALSE)*AU$9,"")</f>
        <v/>
      </c>
      <c r="AV24" s="15" t="str">
        <f>IFERROR(VLOOKUP($A24,'[1]3. Mitigation Impact on Coverag'!$A$7:$MY$53,AV$2,FALSE)*AV$9,"")</f>
        <v/>
      </c>
      <c r="AW24" s="15" t="str">
        <f>IFERROR(VLOOKUP($A24,'[1]3. Mitigation Impact on Coverag'!$A$7:$MY$53,AW$2,FALSE)*AW$9,"")</f>
        <v/>
      </c>
      <c r="AX24" s="15" t="str">
        <f>IFERROR(VLOOKUP($A24,'[1]3. Mitigation Impact on Coverag'!$A$7:$MY$53,AX$2,FALSE)*AX$9,"")</f>
        <v/>
      </c>
      <c r="AY24" s="15" t="str">
        <f>IFERROR(VLOOKUP($A24,'[1]3. Mitigation Impact on Coverag'!$A$7:$MY$53,AY$2,FALSE)*AY$9,"")</f>
        <v/>
      </c>
      <c r="AZ24" s="15" t="str">
        <f>IFERROR(VLOOKUP($A24,'[1]3. Mitigation Impact on Coverag'!$A$7:$MY$53,AZ$2,FALSE)*AZ$9,"")</f>
        <v/>
      </c>
      <c r="BA24" s="15" t="str">
        <f>IFERROR(VLOOKUP($A24,'[1]3. Mitigation Impact on Coverag'!$A$7:$MY$53,BA$2,FALSE)*BA$9,"")</f>
        <v/>
      </c>
      <c r="BB24" s="23" t="str">
        <f>IFERROR(VLOOKUP($A24,'[1]3. Mitigation Impact on Coverag'!$A$7:$MY$53,BB$2,FALSE)*BB$9,"")</f>
        <v/>
      </c>
      <c r="BC24" s="14" t="str">
        <f>IFERROR(VLOOKUP($A24,'[1]3. Mitigation Impact on Coverag'!$A$7:$MY$53,BC$2,FALSE)*BC$9,"")</f>
        <v/>
      </c>
      <c r="BD24" s="15" t="str">
        <f>IFERROR(VLOOKUP($A24,'[1]3. Mitigation Impact on Coverag'!$A$7:$MY$53,BD$2,FALSE)*BD$9,"")</f>
        <v/>
      </c>
      <c r="BE24" s="15" t="str">
        <f>IFERROR(VLOOKUP($A24,'[1]3. Mitigation Impact on Coverag'!$A$7:$MY$53,BE$2,FALSE)*BE$9,"")</f>
        <v/>
      </c>
      <c r="BF24" s="15" t="str">
        <f>IFERROR(VLOOKUP($A24,'[1]3. Mitigation Impact on Coverag'!$A$7:$MY$53,BF$2,FALSE)*BF$9,"")</f>
        <v/>
      </c>
      <c r="BG24" s="15" t="str">
        <f>IFERROR(VLOOKUP($A24,'[1]3. Mitigation Impact on Coverag'!$A$7:$MY$53,BG$2,FALSE)*BG$9,"")</f>
        <v/>
      </c>
      <c r="BH24" s="15" t="str">
        <f>IFERROR(VLOOKUP($A24,'[1]3. Mitigation Impact on Coverag'!$A$7:$MY$53,BH$2,FALSE)*BH$9,"")</f>
        <v/>
      </c>
      <c r="BI24" s="15" t="str">
        <f>IFERROR(VLOOKUP($A24,'[1]3. Mitigation Impact on Coverag'!$A$7:$MY$53,BI$2,FALSE)*BI$9,"")</f>
        <v/>
      </c>
      <c r="BJ24" s="19" t="str">
        <f>IFERROR(VLOOKUP($A24,'[1]3. Mitigation Impact on Coverag'!$A$7:$MY$53,BJ$2,FALSE)*BJ$9,"")</f>
        <v/>
      </c>
      <c r="BK24" s="40" t="str">
        <f>IFERROR(VLOOKUP($A24,'[1]3. Mitigation Impact on Coverag'!$A$7:$MY$53,BK$2,FALSE)*BK$9,"")</f>
        <v/>
      </c>
      <c r="BL24" s="41" t="str">
        <f>IFERROR(VLOOKUP($A24,'[1]3. Mitigation Impact on Coverag'!$A$7:$MY$53,BL$2,FALSE)*BL$9,"")</f>
        <v/>
      </c>
      <c r="BM24" s="51" t="str">
        <f>IFERROR(VLOOKUP($A24,'[1]3. Mitigation Impact on Coverag'!$A$7:$MY$53,BM$2,FALSE)*BM$9,"")</f>
        <v/>
      </c>
      <c r="BN24" s="52" t="str">
        <f t="shared" si="21"/>
        <v/>
      </c>
      <c r="BO24" s="52">
        <f t="shared" si="22"/>
        <v>0</v>
      </c>
      <c r="BP24" s="52">
        <f t="shared" si="23"/>
        <v>0</v>
      </c>
      <c r="BQ24" s="52">
        <f t="shared" si="24"/>
        <v>0</v>
      </c>
      <c r="BR24" s="52">
        <f t="shared" si="25"/>
        <v>0</v>
      </c>
      <c r="BS24" s="52">
        <f t="shared" si="26"/>
        <v>0</v>
      </c>
      <c r="BT24" s="52">
        <f t="shared" si="27"/>
        <v>0</v>
      </c>
      <c r="BU24" s="52">
        <f t="shared" si="28"/>
        <v>0</v>
      </c>
      <c r="BV24" s="52" t="str">
        <f t="shared" si="29"/>
        <v/>
      </c>
      <c r="BW24" s="94">
        <f t="shared" si="30"/>
        <v>0</v>
      </c>
      <c r="BX24" s="95">
        <f t="shared" si="31"/>
        <v>0</v>
      </c>
    </row>
    <row r="25" spans="1:76" s="2" customFormat="1">
      <c r="A25" s="106" t="s">
        <v>94</v>
      </c>
      <c r="B25" s="9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8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22"/>
      <c r="AF25" s="22"/>
      <c r="AG25" s="10"/>
      <c r="AH25" s="27"/>
      <c r="AI25" s="27"/>
      <c r="AJ25" s="11"/>
      <c r="AK25" s="11"/>
      <c r="AL25" s="11"/>
      <c r="AM25" s="11"/>
      <c r="AN25" s="11"/>
      <c r="AO25" s="11"/>
      <c r="AP25" s="10"/>
      <c r="AQ25" s="11"/>
      <c r="AR25" s="18"/>
      <c r="AS25" s="27"/>
      <c r="AT25" s="11"/>
      <c r="AU25" s="11"/>
      <c r="AV25" s="11"/>
      <c r="AW25" s="11"/>
      <c r="AX25" s="11"/>
      <c r="AY25" s="11"/>
      <c r="AZ25" s="11"/>
      <c r="BA25" s="11"/>
      <c r="BB25" s="22"/>
      <c r="BC25" s="10"/>
      <c r="BD25" s="11"/>
      <c r="BE25" s="11"/>
      <c r="BF25" s="11"/>
      <c r="BG25" s="11"/>
      <c r="BH25" s="11"/>
      <c r="BI25" s="11"/>
      <c r="BJ25" s="18"/>
      <c r="BK25" s="10"/>
      <c r="BL25" s="18"/>
      <c r="BM25" s="22"/>
      <c r="BN25" s="49"/>
      <c r="BO25" s="49"/>
      <c r="BP25" s="49"/>
      <c r="BQ25" s="49"/>
      <c r="BR25" s="50"/>
      <c r="BS25" s="50"/>
      <c r="BT25" s="50"/>
      <c r="BU25" s="55"/>
      <c r="BV25" s="55"/>
      <c r="BW25" s="93"/>
      <c r="BX25" s="93"/>
    </row>
    <row r="26" spans="1:76" s="2" customFormat="1" ht="28.5">
      <c r="A26" s="96" t="s">
        <v>95</v>
      </c>
      <c r="B26" s="13" t="str">
        <f>IFERROR(VLOOKUP($A26,'[1]3. Mitigation Impact on Coverag'!$A$7:$MY$53,B$2,FALSE)*B$9,"")</f>
        <v/>
      </c>
      <c r="C26" s="14">
        <f>IFERROR(VLOOKUP($A26,'[1]3. Mitigation Impact on Coverag'!$A$7:$MY$53,C$2,FALSE)*C$9,"")</f>
        <v>0</v>
      </c>
      <c r="D26" s="15">
        <f>IFERROR(VLOOKUP($A26,'[1]3. Mitigation Impact on Coverag'!$A$7:$MY$53,D$2,FALSE)*D$9,"")</f>
        <v>0</v>
      </c>
      <c r="E26" s="15">
        <f>IFERROR(VLOOKUP($A26,'[1]3. Mitigation Impact on Coverag'!$A$7:$MY$53,E$2,FALSE)*E$9,"")</f>
        <v>9.4186046511627897</v>
      </c>
      <c r="F26" s="15">
        <f>IFERROR(VLOOKUP($A26,'[1]3. Mitigation Impact on Coverag'!$A$7:$MY$53,F$2,FALSE)*F$9,"")</f>
        <v>0</v>
      </c>
      <c r="G26" s="15">
        <f>IFERROR(VLOOKUP($A26,'[1]3. Mitigation Impact on Coverag'!$A$7:$MY$53,G$2,FALSE)*G$9,"")</f>
        <v>0</v>
      </c>
      <c r="H26" s="15">
        <f>IFERROR(VLOOKUP($A26,'[1]3. Mitigation Impact on Coverag'!$A$7:$MY$53,H$2,FALSE)*H$9,"")</f>
        <v>0</v>
      </c>
      <c r="I26" s="15">
        <f>IFERROR(VLOOKUP($A26,'[1]3. Mitigation Impact on Coverag'!$A$7:$MY$53,I$2,FALSE)*I$9,"")</f>
        <v>0</v>
      </c>
      <c r="J26" s="15" t="str">
        <f>IFERROR(VLOOKUP($A26,'[1]3. Mitigation Impact on Coverag'!$A$7:$MY$53,J$2,FALSE)*J$9,"")</f>
        <v/>
      </c>
      <c r="K26" s="15">
        <f>IFERROR(VLOOKUP($A26,'[1]3. Mitigation Impact on Coverag'!$A$7:$MY$53,K$2,FALSE)*K$9,"")</f>
        <v>0</v>
      </c>
      <c r="L26" s="15">
        <f>IFERROR(VLOOKUP($A26,'[1]3. Mitigation Impact on Coverag'!$A$7:$MY$53,L$2,FALSE)*L$9,"")</f>
        <v>0.34883720930232598</v>
      </c>
      <c r="M26" s="15" t="str">
        <f>IFERROR(VLOOKUP($A26,'[1]3. Mitigation Impact on Coverag'!$A$7:$MY$53,M$2,FALSE)*M$9,"")</f>
        <v/>
      </c>
      <c r="N26" s="15" t="str">
        <f>IFERROR(VLOOKUP($A26,'[1]3. Mitigation Impact on Coverag'!$A$7:$MY$53,N$2,FALSE)*N$9,"")</f>
        <v/>
      </c>
      <c r="O26" s="19">
        <f>IFERROR(VLOOKUP($A26,'[1]3. Mitigation Impact on Coverag'!$A$7:$MY$53,O$2,FALSE)*O$9,"")</f>
        <v>0.81395348837209303</v>
      </c>
      <c r="P26" s="14" t="str">
        <f>IFERROR(VLOOKUP($A26,'[1]3. Mitigation Impact on Coverag'!$A$7:$MY$53,P$2,FALSE)*P$9,"")</f>
        <v/>
      </c>
      <c r="Q26" s="15" t="str">
        <f>IFERROR(VLOOKUP($A26,'[1]3. Mitigation Impact on Coverag'!$A$7:$MY$53,Q$2,FALSE)*Q$9,"")</f>
        <v/>
      </c>
      <c r="R26" s="15" t="str">
        <f>IFERROR(VLOOKUP($A26,'[1]3. Mitigation Impact on Coverag'!$A$7:$MY$53,R$2,FALSE)*R$9,"")</f>
        <v/>
      </c>
      <c r="S26" s="15" t="str">
        <f>IFERROR(VLOOKUP($A26,'[1]3. Mitigation Impact on Coverag'!$A$7:$MY$53,S$2,FALSE)*S$9,"")</f>
        <v/>
      </c>
      <c r="T26" s="15" t="str">
        <f>IFERROR(VLOOKUP($A26,'[1]3. Mitigation Impact on Coverag'!$A$7:$MY$53,T$2,FALSE)*T$9,"")</f>
        <v/>
      </c>
      <c r="U26" s="15" t="str">
        <f>IFERROR(VLOOKUP($A26,'[1]3. Mitigation Impact on Coverag'!$A$7:$MY$53,U$2,FALSE)*U$9,"")</f>
        <v/>
      </c>
      <c r="V26" s="15" t="str">
        <f>IFERROR(VLOOKUP($A26,'[1]3. Mitigation Impact on Coverag'!$A$7:$MY$53,V$2,FALSE)*V$9,"")</f>
        <v/>
      </c>
      <c r="W26" s="15" t="str">
        <f>IFERROR(VLOOKUP($A26,'[1]3. Mitigation Impact on Coverag'!$A$7:$MY$53,W$2,FALSE)*W$9,"")</f>
        <v/>
      </c>
      <c r="X26" s="15" t="str">
        <f>IFERROR(VLOOKUP($A26,'[1]3. Mitigation Impact on Coverag'!$A$7:$MY$53,X$2,FALSE)*X$9,"")</f>
        <v/>
      </c>
      <c r="Y26" s="15" t="str">
        <f>IFERROR(VLOOKUP($A26,'[1]3. Mitigation Impact on Coverag'!$A$7:$MY$53,Y$2,FALSE)*Y$9,"")</f>
        <v/>
      </c>
      <c r="Z26" s="15" t="str">
        <f>IFERROR(VLOOKUP($A26,'[1]3. Mitigation Impact on Coverag'!$A$7:$MY$53,Z$2,FALSE)*Z$9,"")</f>
        <v/>
      </c>
      <c r="AA26" s="15" t="str">
        <f>IFERROR(VLOOKUP($A26,'[1]3. Mitigation Impact on Coverag'!$A$7:$MY$53,AA$2,FALSE)*AA$9,"")</f>
        <v/>
      </c>
      <c r="AB26" s="15" t="str">
        <f>IFERROR(VLOOKUP($A26,'[1]3. Mitigation Impact on Coverag'!$A$7:$MY$53,AB$2,FALSE)*AB$9,"")</f>
        <v/>
      </c>
      <c r="AC26" s="15" t="str">
        <f>IFERROR(VLOOKUP($A26,'[1]3. Mitigation Impact on Coverag'!$A$7:$MY$53,AC$2,FALSE)*AC$9,"")</f>
        <v/>
      </c>
      <c r="AD26" s="15" t="str">
        <f>IFERROR(VLOOKUP($A26,'[1]3. Mitigation Impact on Coverag'!$A$7:$MY$53,AD$2,FALSE)*AD$9,"")</f>
        <v/>
      </c>
      <c r="AE26" s="15" t="str">
        <f>IFERROR(VLOOKUP($A26,'[1]3. Mitigation Impact on Coverag'!$A$7:$MY$53,AE$2,FALSE)*AE$9,"")</f>
        <v/>
      </c>
      <c r="AF26" s="23" t="str">
        <f>IFERROR(VLOOKUP($A26,'[1]3. Mitigation Impact on Coverag'!$A$7:$MY$53,AF$2,FALSE)*AF$9,"")</f>
        <v/>
      </c>
      <c r="AG26" s="14" t="str">
        <f>IFERROR(VLOOKUP($A26,'[1]3. Mitigation Impact on Coverag'!$A$7:$MY$53,AG$2,FALSE)*AG$9,"")</f>
        <v/>
      </c>
      <c r="AH26" s="28" t="str">
        <f>IFERROR(VLOOKUP($A26,'[1]3. Mitigation Impact on Coverag'!$A$7:$MY$53,AH$2,FALSE)*AH$9,"")</f>
        <v/>
      </c>
      <c r="AI26" s="28" t="str">
        <f>IFERROR(VLOOKUP($A26,'[1]3. Mitigation Impact on Coverag'!$A$7:$MY$53,AI$2,FALSE)*AI$9,"")</f>
        <v/>
      </c>
      <c r="AJ26" s="15" t="str">
        <f>IFERROR(VLOOKUP($A26,'[1]3. Mitigation Impact on Coverag'!$A$7:$MY$53,AJ$2,FALSE)*AJ$9,"")</f>
        <v/>
      </c>
      <c r="AK26" s="15" t="str">
        <f>IFERROR(VLOOKUP($A26,'[1]3. Mitigation Impact on Coverag'!$A$7:$MY$53,AK$2,FALSE)*AK$9,"")</f>
        <v/>
      </c>
      <c r="AL26" s="15" t="str">
        <f>IFERROR(VLOOKUP($A26,'[1]3. Mitigation Impact on Coverag'!$A$7:$MY$53,AL$2,FALSE)*AL$9,"")</f>
        <v/>
      </c>
      <c r="AM26" s="15" t="str">
        <f>IFERROR(VLOOKUP($A26,'[1]3. Mitigation Impact on Coverag'!$A$7:$MY$53,AM$2,FALSE)*AM$9,"")</f>
        <v/>
      </c>
      <c r="AN26" s="15" t="str">
        <f>IFERROR(VLOOKUP($A26,'[1]3. Mitigation Impact on Coverag'!$A$7:$MY$53,AN$2,FALSE)*AN$9,"")</f>
        <v/>
      </c>
      <c r="AO26" s="15" t="str">
        <f>IFERROR(VLOOKUP($A26,'[1]3. Mitigation Impact on Coverag'!$A$7:$MY$53,AO$2,FALSE)*AO$9,"")</f>
        <v/>
      </c>
      <c r="AP26" s="14" t="str">
        <f>IFERROR(VLOOKUP($A26,'[1]3. Mitigation Impact on Coverag'!$A$7:$MY$53,AP$2,FALSE)*AP$9,"")</f>
        <v/>
      </c>
      <c r="AQ26" s="15" t="str">
        <f>IFERROR(VLOOKUP($A26,'[1]3. Mitigation Impact on Coverag'!$A$7:$MY$53,AQ$2,FALSE)*AQ$9,"")</f>
        <v/>
      </c>
      <c r="AR26" s="19" t="str">
        <f>IFERROR(VLOOKUP($A26,'[1]3. Mitigation Impact on Coverag'!$A$7:$MY$53,AR$2,FALSE)*AR$9,"")</f>
        <v/>
      </c>
      <c r="AS26" s="28" t="str">
        <f>IFERROR(VLOOKUP($A26,'[1]3. Mitigation Impact on Coverag'!$A$7:$MY$53,AS$2,FALSE)*AS$9,"")</f>
        <v/>
      </c>
      <c r="AT26" s="15" t="str">
        <f>IFERROR(VLOOKUP($A26,'[1]3. Mitigation Impact on Coverag'!$A$7:$MY$53,AT$2,FALSE)*AT$9,"")</f>
        <v/>
      </c>
      <c r="AU26" s="15" t="str">
        <f>IFERROR(VLOOKUP($A26,'[1]3. Mitigation Impact on Coverag'!$A$7:$MY$53,AU$2,FALSE)*AU$9,"")</f>
        <v/>
      </c>
      <c r="AV26" s="15" t="str">
        <f>IFERROR(VLOOKUP($A26,'[1]3. Mitigation Impact on Coverag'!$A$7:$MY$53,AV$2,FALSE)*AV$9,"")</f>
        <v/>
      </c>
      <c r="AW26" s="15" t="str">
        <f>IFERROR(VLOOKUP($A26,'[1]3. Mitigation Impact on Coverag'!$A$7:$MY$53,AW$2,FALSE)*AW$9,"")</f>
        <v/>
      </c>
      <c r="AX26" s="15" t="str">
        <f>IFERROR(VLOOKUP($A26,'[1]3. Mitigation Impact on Coverag'!$A$7:$MY$53,AX$2,FALSE)*AX$9,"")</f>
        <v/>
      </c>
      <c r="AY26" s="15" t="str">
        <f>IFERROR(VLOOKUP($A26,'[1]3. Mitigation Impact on Coverag'!$A$7:$MY$53,AY$2,FALSE)*AY$9,"")</f>
        <v/>
      </c>
      <c r="AZ26" s="15" t="str">
        <f>IFERROR(VLOOKUP($A26,'[1]3. Mitigation Impact on Coverag'!$A$7:$MY$53,AZ$2,FALSE)*AZ$9,"")</f>
        <v/>
      </c>
      <c r="BA26" s="15" t="str">
        <f>IFERROR(VLOOKUP($A26,'[1]3. Mitigation Impact on Coverag'!$A$7:$MY$53,BA$2,FALSE)*BA$9,"")</f>
        <v/>
      </c>
      <c r="BB26" s="23" t="str">
        <f>IFERROR(VLOOKUP($A26,'[1]3. Mitigation Impact on Coverag'!$A$7:$MY$53,BB$2,FALSE)*BB$9,"")</f>
        <v/>
      </c>
      <c r="BC26" s="14" t="str">
        <f>IFERROR(VLOOKUP($A26,'[1]3. Mitigation Impact on Coverag'!$A$7:$MY$53,BC$2,FALSE)*BC$9,"")</f>
        <v/>
      </c>
      <c r="BD26" s="15" t="str">
        <f>IFERROR(VLOOKUP($A26,'[1]3. Mitigation Impact on Coverag'!$A$7:$MY$53,BD$2,FALSE)*BD$9,"")</f>
        <v/>
      </c>
      <c r="BE26" s="15" t="str">
        <f>IFERROR(VLOOKUP($A26,'[1]3. Mitigation Impact on Coverag'!$A$7:$MY$53,BE$2,FALSE)*BE$9,"")</f>
        <v/>
      </c>
      <c r="BF26" s="15" t="str">
        <f>IFERROR(VLOOKUP($A26,'[1]3. Mitigation Impact on Coverag'!$A$7:$MY$53,BF$2,FALSE)*BF$9,"")</f>
        <v/>
      </c>
      <c r="BG26" s="15" t="str">
        <f>IFERROR(VLOOKUP($A26,'[1]3. Mitigation Impact on Coverag'!$A$7:$MY$53,BG$2,FALSE)*BG$9,"")</f>
        <v/>
      </c>
      <c r="BH26" s="15" t="str">
        <f>IFERROR(VLOOKUP($A26,'[1]3. Mitigation Impact on Coverag'!$A$7:$MY$53,BH$2,FALSE)*BH$9,"")</f>
        <v/>
      </c>
      <c r="BI26" s="15" t="str">
        <f>IFERROR(VLOOKUP($A26,'[1]3. Mitigation Impact on Coverag'!$A$7:$MY$53,BI$2,FALSE)*BI$9,"")</f>
        <v/>
      </c>
      <c r="BJ26" s="19" t="str">
        <f>IFERROR(VLOOKUP($A26,'[1]3. Mitigation Impact on Coverag'!$A$7:$MY$53,BJ$2,FALSE)*BJ$9,"")</f>
        <v/>
      </c>
      <c r="BK26" s="40" t="str">
        <f>IFERROR(VLOOKUP($A26,'[1]3. Mitigation Impact on Coverag'!$A$7:$MY$53,BK$2,FALSE)*BK$9,"")</f>
        <v/>
      </c>
      <c r="BL26" s="41" t="str">
        <f>IFERROR(VLOOKUP($A26,'[1]3. Mitigation Impact on Coverag'!$A$7:$MY$53,BL$2,FALSE)*BL$9,"")</f>
        <v/>
      </c>
      <c r="BM26" s="51" t="str">
        <f>IFERROR(VLOOKUP($A26,'[1]3. Mitigation Impact on Coverag'!$A$7:$MY$53,BM$2,FALSE)*BM$9,"")</f>
        <v/>
      </c>
      <c r="BN26" s="52" t="str">
        <f t="shared" ref="BN26:BN28" si="32">B26</f>
        <v/>
      </c>
      <c r="BO26" s="52">
        <f t="shared" ref="BO26:BO28" si="33">SUM(C26:O26)</f>
        <v>10.5813953488372</v>
      </c>
      <c r="BP26" s="52">
        <f t="shared" ref="BP26:BP28" si="34">SUM(P26:AF26)</f>
        <v>0</v>
      </c>
      <c r="BQ26" s="52">
        <f t="shared" ref="BQ26:BQ28" si="35">SUM(AG26:AO26)</f>
        <v>0</v>
      </c>
      <c r="BR26" s="52">
        <f t="shared" ref="BR26:BR28" si="36">SUM(AP26:AR26)</f>
        <v>0</v>
      </c>
      <c r="BS26" s="52">
        <f t="shared" ref="BS26:BS28" si="37">SUM(AS26:BB26)</f>
        <v>0</v>
      </c>
      <c r="BT26" s="52">
        <f t="shared" ref="BT26:BT28" si="38">SUM(BC26:BJ26)</f>
        <v>0</v>
      </c>
      <c r="BU26" s="52">
        <f t="shared" ref="BU26:BU28" si="39">SUM(BK26:BL26)</f>
        <v>0</v>
      </c>
      <c r="BV26" s="52" t="str">
        <f t="shared" ref="BV26:BV28" si="40">BM26</f>
        <v/>
      </c>
      <c r="BW26" s="94">
        <f t="shared" ref="BW26:BW28" si="41">SUM(BN26:BV26)</f>
        <v>10.5813953488372</v>
      </c>
      <c r="BX26" s="95">
        <f t="shared" ref="BX26:BX28" si="42">BW26/$BW$9</f>
        <v>3.23590071829884E-3</v>
      </c>
    </row>
    <row r="27" spans="1:76" s="2" customFormat="1">
      <c r="A27" s="12"/>
      <c r="B27" s="13" t="str">
        <f>IFERROR(VLOOKUP($A27,'[1]3. Mitigation Impact on Coverag'!$A$7:$MY$53,B$2,FALSE)*B$9,"")</f>
        <v/>
      </c>
      <c r="C27" s="14" t="str">
        <f>IFERROR(VLOOKUP($A27,'[1]3. Mitigation Impact on Coverag'!$A$7:$MY$53,C$2,FALSE)*C$9,"")</f>
        <v/>
      </c>
      <c r="D27" s="15" t="str">
        <f>IFERROR(VLOOKUP($A27,'[1]3. Mitigation Impact on Coverag'!$A$7:$MY$53,D$2,FALSE)*D$9,"")</f>
        <v/>
      </c>
      <c r="E27" s="15" t="str">
        <f>IFERROR(VLOOKUP($A27,'[1]3. Mitigation Impact on Coverag'!$A$7:$MY$53,E$2,FALSE)*E$9,"")</f>
        <v/>
      </c>
      <c r="F27" s="15" t="str">
        <f>IFERROR(VLOOKUP($A27,'[1]3. Mitigation Impact on Coverag'!$A$7:$MY$53,F$2,FALSE)*F$9,"")</f>
        <v/>
      </c>
      <c r="G27" s="15" t="str">
        <f>IFERROR(VLOOKUP($A27,'[1]3. Mitigation Impact on Coverag'!$A$7:$MY$53,G$2,FALSE)*G$9,"")</f>
        <v/>
      </c>
      <c r="H27" s="15" t="str">
        <f>IFERROR(VLOOKUP($A27,'[1]3. Mitigation Impact on Coverag'!$A$7:$MY$53,H$2,FALSE)*H$9,"")</f>
        <v/>
      </c>
      <c r="I27" s="15" t="str">
        <f>IFERROR(VLOOKUP($A27,'[1]3. Mitigation Impact on Coverag'!$A$7:$MY$53,I$2,FALSE)*I$9,"")</f>
        <v/>
      </c>
      <c r="J27" s="15" t="str">
        <f>IFERROR(VLOOKUP($A27,'[1]3. Mitigation Impact on Coverag'!$A$7:$MY$53,J$2,FALSE)*J$9,"")</f>
        <v/>
      </c>
      <c r="K27" s="15" t="str">
        <f>IFERROR(VLOOKUP($A27,'[1]3. Mitigation Impact on Coverag'!$A$7:$MY$53,K$2,FALSE)*K$9,"")</f>
        <v/>
      </c>
      <c r="L27" s="15" t="str">
        <f>IFERROR(VLOOKUP($A27,'[1]3. Mitigation Impact on Coverag'!$A$7:$MY$53,L$2,FALSE)*L$9,"")</f>
        <v/>
      </c>
      <c r="M27" s="15" t="str">
        <f>IFERROR(VLOOKUP($A27,'[1]3. Mitigation Impact on Coverag'!$A$7:$MY$53,M$2,FALSE)*M$9,"")</f>
        <v/>
      </c>
      <c r="N27" s="15" t="str">
        <f>IFERROR(VLOOKUP($A27,'[1]3. Mitigation Impact on Coverag'!$A$7:$MY$53,N$2,FALSE)*N$9,"")</f>
        <v/>
      </c>
      <c r="O27" s="19" t="str">
        <f>IFERROR(VLOOKUP($A27,'[1]3. Mitigation Impact on Coverag'!$A$7:$MY$53,O$2,FALSE)*O$9,"")</f>
        <v/>
      </c>
      <c r="P27" s="14" t="str">
        <f>IFERROR(VLOOKUP($A27,'[1]3. Mitigation Impact on Coverag'!$A$7:$MY$53,P$2,FALSE)*P$9,"")</f>
        <v/>
      </c>
      <c r="Q27" s="15" t="str">
        <f>IFERROR(VLOOKUP($A27,'[1]3. Mitigation Impact on Coverag'!$A$7:$MY$53,Q$2,FALSE)*Q$9,"")</f>
        <v/>
      </c>
      <c r="R27" s="15" t="str">
        <f>IFERROR(VLOOKUP($A27,'[1]3. Mitigation Impact on Coverag'!$A$7:$MY$53,R$2,FALSE)*R$9,"")</f>
        <v/>
      </c>
      <c r="S27" s="15" t="str">
        <f>IFERROR(VLOOKUP($A27,'[1]3. Mitigation Impact on Coverag'!$A$7:$MY$53,S$2,FALSE)*S$9,"")</f>
        <v/>
      </c>
      <c r="T27" s="15" t="str">
        <f>IFERROR(VLOOKUP($A27,'[1]3. Mitigation Impact on Coverag'!$A$7:$MY$53,T$2,FALSE)*T$9,"")</f>
        <v/>
      </c>
      <c r="U27" s="15" t="str">
        <f>IFERROR(VLOOKUP($A27,'[1]3. Mitigation Impact on Coverag'!$A$7:$MY$53,U$2,FALSE)*U$9,"")</f>
        <v/>
      </c>
      <c r="V27" s="15" t="str">
        <f>IFERROR(VLOOKUP($A27,'[1]3. Mitigation Impact on Coverag'!$A$7:$MY$53,V$2,FALSE)*V$9,"")</f>
        <v/>
      </c>
      <c r="W27" s="15" t="str">
        <f>IFERROR(VLOOKUP($A27,'[1]3. Mitigation Impact on Coverag'!$A$7:$MY$53,W$2,FALSE)*W$9,"")</f>
        <v/>
      </c>
      <c r="X27" s="15" t="str">
        <f>IFERROR(VLOOKUP($A27,'[1]3. Mitigation Impact on Coverag'!$A$7:$MY$53,X$2,FALSE)*X$9,"")</f>
        <v/>
      </c>
      <c r="Y27" s="15" t="str">
        <f>IFERROR(VLOOKUP($A27,'[1]3. Mitigation Impact on Coverag'!$A$7:$MY$53,Y$2,FALSE)*Y$9,"")</f>
        <v/>
      </c>
      <c r="Z27" s="15" t="str">
        <f>IFERROR(VLOOKUP($A27,'[1]3. Mitigation Impact on Coverag'!$A$7:$MY$53,Z$2,FALSE)*Z$9,"")</f>
        <v/>
      </c>
      <c r="AA27" s="15" t="str">
        <f>IFERROR(VLOOKUP($A27,'[1]3. Mitigation Impact on Coverag'!$A$7:$MY$53,AA$2,FALSE)*AA$9,"")</f>
        <v/>
      </c>
      <c r="AB27" s="15" t="str">
        <f>IFERROR(VLOOKUP($A27,'[1]3. Mitigation Impact on Coverag'!$A$7:$MY$53,AB$2,FALSE)*AB$9,"")</f>
        <v/>
      </c>
      <c r="AC27" s="15" t="str">
        <f>IFERROR(VLOOKUP($A27,'[1]3. Mitigation Impact on Coverag'!$A$7:$MY$53,AC$2,FALSE)*AC$9,"")</f>
        <v/>
      </c>
      <c r="AD27" s="15" t="str">
        <f>IFERROR(VLOOKUP($A27,'[1]3. Mitigation Impact on Coverag'!$A$7:$MY$53,AD$2,FALSE)*AD$9,"")</f>
        <v/>
      </c>
      <c r="AE27" s="15" t="str">
        <f>IFERROR(VLOOKUP($A27,'[1]3. Mitigation Impact on Coverag'!$A$7:$MY$53,AE$2,FALSE)*AE$9,"")</f>
        <v/>
      </c>
      <c r="AF27" s="23" t="str">
        <f>IFERROR(VLOOKUP($A27,'[1]3. Mitigation Impact on Coverag'!$A$7:$MY$53,AF$2,FALSE)*AF$9,"")</f>
        <v/>
      </c>
      <c r="AG27" s="14" t="str">
        <f>IFERROR(VLOOKUP($A27,'[1]3. Mitigation Impact on Coverag'!$A$7:$MY$53,AG$2,FALSE)*AG$9,"")</f>
        <v/>
      </c>
      <c r="AH27" s="28" t="str">
        <f>IFERROR(VLOOKUP($A27,'[1]3. Mitigation Impact on Coverag'!$A$7:$MY$53,AH$2,FALSE)*AH$9,"")</f>
        <v/>
      </c>
      <c r="AI27" s="28" t="str">
        <f>IFERROR(VLOOKUP($A27,'[1]3. Mitigation Impact on Coverag'!$A$7:$MY$53,AI$2,FALSE)*AI$9,"")</f>
        <v/>
      </c>
      <c r="AJ27" s="15" t="str">
        <f>IFERROR(VLOOKUP($A27,'[1]3. Mitigation Impact on Coverag'!$A$7:$MY$53,AJ$2,FALSE)*AJ$9,"")</f>
        <v/>
      </c>
      <c r="AK27" s="15" t="str">
        <f>IFERROR(VLOOKUP($A27,'[1]3. Mitigation Impact on Coverag'!$A$7:$MY$53,AK$2,FALSE)*AK$9,"")</f>
        <v/>
      </c>
      <c r="AL27" s="15" t="str">
        <f>IFERROR(VLOOKUP($A27,'[1]3. Mitigation Impact on Coverag'!$A$7:$MY$53,AL$2,FALSE)*AL$9,"")</f>
        <v/>
      </c>
      <c r="AM27" s="15" t="str">
        <f>IFERROR(VLOOKUP($A27,'[1]3. Mitigation Impact on Coverag'!$A$7:$MY$53,AM$2,FALSE)*AM$9,"")</f>
        <v/>
      </c>
      <c r="AN27" s="15" t="str">
        <f>IFERROR(VLOOKUP($A27,'[1]3. Mitigation Impact on Coverag'!$A$7:$MY$53,AN$2,FALSE)*AN$9,"")</f>
        <v/>
      </c>
      <c r="AO27" s="15" t="str">
        <f>IFERROR(VLOOKUP($A27,'[1]3. Mitigation Impact on Coverag'!$A$7:$MY$53,AO$2,FALSE)*AO$9,"")</f>
        <v/>
      </c>
      <c r="AP27" s="14" t="str">
        <f>IFERROR(VLOOKUP($A27,'[1]3. Mitigation Impact on Coverag'!$A$7:$MY$53,AP$2,FALSE)*AP$9,"")</f>
        <v/>
      </c>
      <c r="AQ27" s="15" t="str">
        <f>IFERROR(VLOOKUP($A27,'[1]3. Mitigation Impact on Coverag'!$A$7:$MY$53,AQ$2,FALSE)*AQ$9,"")</f>
        <v/>
      </c>
      <c r="AR27" s="19" t="str">
        <f>IFERROR(VLOOKUP($A27,'[1]3. Mitigation Impact on Coverag'!$A$7:$MY$53,AR$2,FALSE)*AR$9,"")</f>
        <v/>
      </c>
      <c r="AS27" s="28" t="str">
        <f>IFERROR(VLOOKUP($A27,'[1]3. Mitigation Impact on Coverag'!$A$7:$MY$53,AS$2,FALSE)*AS$9,"")</f>
        <v/>
      </c>
      <c r="AT27" s="15" t="str">
        <f>IFERROR(VLOOKUP($A27,'[1]3. Mitigation Impact on Coverag'!$A$7:$MY$53,AT$2,FALSE)*AT$9,"")</f>
        <v/>
      </c>
      <c r="AU27" s="15" t="str">
        <f>IFERROR(VLOOKUP($A27,'[1]3. Mitigation Impact on Coverag'!$A$7:$MY$53,AU$2,FALSE)*AU$9,"")</f>
        <v/>
      </c>
      <c r="AV27" s="15" t="str">
        <f>IFERROR(VLOOKUP($A27,'[1]3. Mitigation Impact on Coverag'!$A$7:$MY$53,AV$2,FALSE)*AV$9,"")</f>
        <v/>
      </c>
      <c r="AW27" s="15" t="str">
        <f>IFERROR(VLOOKUP($A27,'[1]3. Mitigation Impact on Coverag'!$A$7:$MY$53,AW$2,FALSE)*AW$9,"")</f>
        <v/>
      </c>
      <c r="AX27" s="15" t="str">
        <f>IFERROR(VLOOKUP($A27,'[1]3. Mitigation Impact on Coverag'!$A$7:$MY$53,AX$2,FALSE)*AX$9,"")</f>
        <v/>
      </c>
      <c r="AY27" s="15" t="str">
        <f>IFERROR(VLOOKUP($A27,'[1]3. Mitigation Impact on Coverag'!$A$7:$MY$53,AY$2,FALSE)*AY$9,"")</f>
        <v/>
      </c>
      <c r="AZ27" s="15" t="str">
        <f>IFERROR(VLOOKUP($A27,'[1]3. Mitigation Impact on Coverag'!$A$7:$MY$53,AZ$2,FALSE)*AZ$9,"")</f>
        <v/>
      </c>
      <c r="BA27" s="15" t="str">
        <f>IFERROR(VLOOKUP($A27,'[1]3. Mitigation Impact on Coverag'!$A$7:$MY$53,BA$2,FALSE)*BA$9,"")</f>
        <v/>
      </c>
      <c r="BB27" s="23" t="str">
        <f>IFERROR(VLOOKUP($A27,'[1]3. Mitigation Impact on Coverag'!$A$7:$MY$53,BB$2,FALSE)*BB$9,"")</f>
        <v/>
      </c>
      <c r="BC27" s="14" t="str">
        <f>IFERROR(VLOOKUP($A27,'[1]3. Mitigation Impact on Coverag'!$A$7:$MY$53,BC$2,FALSE)*BC$9,"")</f>
        <v/>
      </c>
      <c r="BD27" s="15" t="str">
        <f>IFERROR(VLOOKUP($A27,'[1]3. Mitigation Impact on Coverag'!$A$7:$MY$53,BD$2,FALSE)*BD$9,"")</f>
        <v/>
      </c>
      <c r="BE27" s="15" t="str">
        <f>IFERROR(VLOOKUP($A27,'[1]3. Mitigation Impact on Coverag'!$A$7:$MY$53,BE$2,FALSE)*BE$9,"")</f>
        <v/>
      </c>
      <c r="BF27" s="15" t="str">
        <f>IFERROR(VLOOKUP($A27,'[1]3. Mitigation Impact on Coverag'!$A$7:$MY$53,BF$2,FALSE)*BF$9,"")</f>
        <v/>
      </c>
      <c r="BG27" s="15" t="str">
        <f>IFERROR(VLOOKUP($A27,'[1]3. Mitigation Impact on Coverag'!$A$7:$MY$53,BG$2,FALSE)*BG$9,"")</f>
        <v/>
      </c>
      <c r="BH27" s="15" t="str">
        <f>IFERROR(VLOOKUP($A27,'[1]3. Mitigation Impact on Coverag'!$A$7:$MY$53,BH$2,FALSE)*BH$9,"")</f>
        <v/>
      </c>
      <c r="BI27" s="15" t="str">
        <f>IFERROR(VLOOKUP($A27,'[1]3. Mitigation Impact on Coverag'!$A$7:$MY$53,BI$2,FALSE)*BI$9,"")</f>
        <v/>
      </c>
      <c r="BJ27" s="19" t="str">
        <f>IFERROR(VLOOKUP($A27,'[1]3. Mitigation Impact on Coverag'!$A$7:$MY$53,BJ$2,FALSE)*BJ$9,"")</f>
        <v/>
      </c>
      <c r="BK27" s="40" t="str">
        <f>IFERROR(VLOOKUP($A27,'[1]3. Mitigation Impact on Coverag'!$A$7:$MY$53,BK$2,FALSE)*BK$9,"")</f>
        <v/>
      </c>
      <c r="BL27" s="41" t="str">
        <f>IFERROR(VLOOKUP($A27,'[1]3. Mitigation Impact on Coverag'!$A$7:$MY$53,BL$2,FALSE)*BL$9,"")</f>
        <v/>
      </c>
      <c r="BM27" s="51" t="str">
        <f>IFERROR(VLOOKUP($A27,'[1]3. Mitigation Impact on Coverag'!$A$7:$MY$53,BM$2,FALSE)*BM$9,"")</f>
        <v/>
      </c>
      <c r="BN27" s="52" t="str">
        <f t="shared" si="32"/>
        <v/>
      </c>
      <c r="BO27" s="52">
        <f t="shared" si="33"/>
        <v>0</v>
      </c>
      <c r="BP27" s="52">
        <f t="shared" si="34"/>
        <v>0</v>
      </c>
      <c r="BQ27" s="52">
        <f t="shared" si="35"/>
        <v>0</v>
      </c>
      <c r="BR27" s="52">
        <f t="shared" si="36"/>
        <v>0</v>
      </c>
      <c r="BS27" s="52">
        <f t="shared" si="37"/>
        <v>0</v>
      </c>
      <c r="BT27" s="52">
        <f t="shared" si="38"/>
        <v>0</v>
      </c>
      <c r="BU27" s="52">
        <f t="shared" si="39"/>
        <v>0</v>
      </c>
      <c r="BV27" s="52" t="str">
        <f t="shared" si="40"/>
        <v/>
      </c>
      <c r="BW27" s="94">
        <f t="shared" si="41"/>
        <v>0</v>
      </c>
      <c r="BX27" s="95">
        <f t="shared" si="42"/>
        <v>0</v>
      </c>
    </row>
    <row r="28" spans="1:76" s="2" customFormat="1">
      <c r="A28" s="12"/>
      <c r="B28" s="13" t="str">
        <f>IFERROR(VLOOKUP($A28,'[1]3. Mitigation Impact on Coverag'!$A$7:$MY$53,B$2,FALSE)*B$9,"")</f>
        <v/>
      </c>
      <c r="C28" s="14" t="str">
        <f>IFERROR(VLOOKUP($A28,'[1]3. Mitigation Impact on Coverag'!$A$7:$MY$53,C$2,FALSE)*C$9,"")</f>
        <v/>
      </c>
      <c r="D28" s="15" t="str">
        <f>IFERROR(VLOOKUP($A28,'[1]3. Mitigation Impact on Coverag'!$A$7:$MY$53,D$2,FALSE)*D$9,"")</f>
        <v/>
      </c>
      <c r="E28" s="15" t="str">
        <f>IFERROR(VLOOKUP($A28,'[1]3. Mitigation Impact on Coverag'!$A$7:$MY$53,E$2,FALSE)*E$9,"")</f>
        <v/>
      </c>
      <c r="F28" s="15" t="str">
        <f>IFERROR(VLOOKUP($A28,'[1]3. Mitigation Impact on Coverag'!$A$7:$MY$53,F$2,FALSE)*F$9,"")</f>
        <v/>
      </c>
      <c r="G28" s="15" t="str">
        <f>IFERROR(VLOOKUP($A28,'[1]3. Mitigation Impact on Coverag'!$A$7:$MY$53,G$2,FALSE)*G$9,"")</f>
        <v/>
      </c>
      <c r="H28" s="15" t="str">
        <f>IFERROR(VLOOKUP($A28,'[1]3. Mitigation Impact on Coverag'!$A$7:$MY$53,H$2,FALSE)*H$9,"")</f>
        <v/>
      </c>
      <c r="I28" s="15" t="str">
        <f>IFERROR(VLOOKUP($A28,'[1]3. Mitigation Impact on Coverag'!$A$7:$MY$53,I$2,FALSE)*I$9,"")</f>
        <v/>
      </c>
      <c r="J28" s="15" t="str">
        <f>IFERROR(VLOOKUP($A28,'[1]3. Mitigation Impact on Coverag'!$A$7:$MY$53,J$2,FALSE)*J$9,"")</f>
        <v/>
      </c>
      <c r="K28" s="15" t="str">
        <f>IFERROR(VLOOKUP($A28,'[1]3. Mitigation Impact on Coverag'!$A$7:$MY$53,K$2,FALSE)*K$9,"")</f>
        <v/>
      </c>
      <c r="L28" s="15" t="str">
        <f>IFERROR(VLOOKUP($A28,'[1]3. Mitigation Impact on Coverag'!$A$7:$MY$53,L$2,FALSE)*L$9,"")</f>
        <v/>
      </c>
      <c r="M28" s="15" t="str">
        <f>IFERROR(VLOOKUP($A28,'[1]3. Mitigation Impact on Coverag'!$A$7:$MY$53,M$2,FALSE)*M$9,"")</f>
        <v/>
      </c>
      <c r="N28" s="15" t="str">
        <f>IFERROR(VLOOKUP($A28,'[1]3. Mitigation Impact on Coverag'!$A$7:$MY$53,N$2,FALSE)*N$9,"")</f>
        <v/>
      </c>
      <c r="O28" s="19" t="str">
        <f>IFERROR(VLOOKUP($A28,'[1]3. Mitigation Impact on Coverag'!$A$7:$MY$53,O$2,FALSE)*O$9,"")</f>
        <v/>
      </c>
      <c r="P28" s="14" t="str">
        <f>IFERROR(VLOOKUP($A28,'[1]3. Mitigation Impact on Coverag'!$A$7:$MY$53,P$2,FALSE)*P$9,"")</f>
        <v/>
      </c>
      <c r="Q28" s="15" t="str">
        <f>IFERROR(VLOOKUP($A28,'[1]3. Mitigation Impact on Coverag'!$A$7:$MY$53,Q$2,FALSE)*Q$9,"")</f>
        <v/>
      </c>
      <c r="R28" s="15" t="str">
        <f>IFERROR(VLOOKUP($A28,'[1]3. Mitigation Impact on Coverag'!$A$7:$MY$53,R$2,FALSE)*R$9,"")</f>
        <v/>
      </c>
      <c r="S28" s="15" t="str">
        <f>IFERROR(VLOOKUP($A28,'[1]3. Mitigation Impact on Coverag'!$A$7:$MY$53,S$2,FALSE)*S$9,"")</f>
        <v/>
      </c>
      <c r="T28" s="15" t="str">
        <f>IFERROR(VLOOKUP($A28,'[1]3. Mitigation Impact on Coverag'!$A$7:$MY$53,T$2,FALSE)*T$9,"")</f>
        <v/>
      </c>
      <c r="U28" s="15" t="str">
        <f>IFERROR(VLOOKUP($A28,'[1]3. Mitigation Impact on Coverag'!$A$7:$MY$53,U$2,FALSE)*U$9,"")</f>
        <v/>
      </c>
      <c r="V28" s="15" t="str">
        <f>IFERROR(VLOOKUP($A28,'[1]3. Mitigation Impact on Coverag'!$A$7:$MY$53,V$2,FALSE)*V$9,"")</f>
        <v/>
      </c>
      <c r="W28" s="15" t="str">
        <f>IFERROR(VLOOKUP($A28,'[1]3. Mitigation Impact on Coverag'!$A$7:$MY$53,W$2,FALSE)*W$9,"")</f>
        <v/>
      </c>
      <c r="X28" s="15" t="str">
        <f>IFERROR(VLOOKUP($A28,'[1]3. Mitigation Impact on Coverag'!$A$7:$MY$53,X$2,FALSE)*X$9,"")</f>
        <v/>
      </c>
      <c r="Y28" s="15" t="str">
        <f>IFERROR(VLOOKUP($A28,'[1]3. Mitigation Impact on Coverag'!$A$7:$MY$53,Y$2,FALSE)*Y$9,"")</f>
        <v/>
      </c>
      <c r="Z28" s="15" t="str">
        <f>IFERROR(VLOOKUP($A28,'[1]3. Mitigation Impact on Coverag'!$A$7:$MY$53,Z$2,FALSE)*Z$9,"")</f>
        <v/>
      </c>
      <c r="AA28" s="15" t="str">
        <f>IFERROR(VLOOKUP($A28,'[1]3. Mitigation Impact on Coverag'!$A$7:$MY$53,AA$2,FALSE)*AA$9,"")</f>
        <v/>
      </c>
      <c r="AB28" s="15" t="str">
        <f>IFERROR(VLOOKUP($A28,'[1]3. Mitigation Impact on Coverag'!$A$7:$MY$53,AB$2,FALSE)*AB$9,"")</f>
        <v/>
      </c>
      <c r="AC28" s="15" t="str">
        <f>IFERROR(VLOOKUP($A28,'[1]3. Mitigation Impact on Coverag'!$A$7:$MY$53,AC$2,FALSE)*AC$9,"")</f>
        <v/>
      </c>
      <c r="AD28" s="15" t="str">
        <f>IFERROR(VLOOKUP($A28,'[1]3. Mitigation Impact on Coverag'!$A$7:$MY$53,AD$2,FALSE)*AD$9,"")</f>
        <v/>
      </c>
      <c r="AE28" s="15" t="str">
        <f>IFERROR(VLOOKUP($A28,'[1]3. Mitigation Impact on Coverag'!$A$7:$MY$53,AE$2,FALSE)*AE$9,"")</f>
        <v/>
      </c>
      <c r="AF28" s="23" t="str">
        <f>IFERROR(VLOOKUP($A28,'[1]3. Mitigation Impact on Coverag'!$A$7:$MY$53,AF$2,FALSE)*AF$9,"")</f>
        <v/>
      </c>
      <c r="AG28" s="14" t="str">
        <f>IFERROR(VLOOKUP($A28,'[1]3. Mitigation Impact on Coverag'!$A$7:$MY$53,AG$2,FALSE)*AG$9,"")</f>
        <v/>
      </c>
      <c r="AH28" s="28" t="str">
        <f>IFERROR(VLOOKUP($A28,'[1]3. Mitigation Impact on Coverag'!$A$7:$MY$53,AH$2,FALSE)*AH$9,"")</f>
        <v/>
      </c>
      <c r="AI28" s="28" t="str">
        <f>IFERROR(VLOOKUP($A28,'[1]3. Mitigation Impact on Coverag'!$A$7:$MY$53,AI$2,FALSE)*AI$9,"")</f>
        <v/>
      </c>
      <c r="AJ28" s="15" t="str">
        <f>IFERROR(VLOOKUP($A28,'[1]3. Mitigation Impact on Coverag'!$A$7:$MY$53,AJ$2,FALSE)*AJ$9,"")</f>
        <v/>
      </c>
      <c r="AK28" s="15" t="str">
        <f>IFERROR(VLOOKUP($A28,'[1]3. Mitigation Impact on Coverag'!$A$7:$MY$53,AK$2,FALSE)*AK$9,"")</f>
        <v/>
      </c>
      <c r="AL28" s="15" t="str">
        <f>IFERROR(VLOOKUP($A28,'[1]3. Mitigation Impact on Coverag'!$A$7:$MY$53,AL$2,FALSE)*AL$9,"")</f>
        <v/>
      </c>
      <c r="AM28" s="15" t="str">
        <f>IFERROR(VLOOKUP($A28,'[1]3. Mitigation Impact on Coverag'!$A$7:$MY$53,AM$2,FALSE)*AM$9,"")</f>
        <v/>
      </c>
      <c r="AN28" s="15" t="str">
        <f>IFERROR(VLOOKUP($A28,'[1]3. Mitigation Impact on Coverag'!$A$7:$MY$53,AN$2,FALSE)*AN$9,"")</f>
        <v/>
      </c>
      <c r="AO28" s="15" t="str">
        <f>IFERROR(VLOOKUP($A28,'[1]3. Mitigation Impact on Coverag'!$A$7:$MY$53,AO$2,FALSE)*AO$9,"")</f>
        <v/>
      </c>
      <c r="AP28" s="14" t="str">
        <f>IFERROR(VLOOKUP($A28,'[1]3. Mitigation Impact on Coverag'!$A$7:$MY$53,AP$2,FALSE)*AP$9,"")</f>
        <v/>
      </c>
      <c r="AQ28" s="15" t="str">
        <f>IFERROR(VLOOKUP($A28,'[1]3. Mitigation Impact on Coverag'!$A$7:$MY$53,AQ$2,FALSE)*AQ$9,"")</f>
        <v/>
      </c>
      <c r="AR28" s="19" t="str">
        <f>IFERROR(VLOOKUP($A28,'[1]3. Mitigation Impact on Coverag'!$A$7:$MY$53,AR$2,FALSE)*AR$9,"")</f>
        <v/>
      </c>
      <c r="AS28" s="28" t="str">
        <f>IFERROR(VLOOKUP($A28,'[1]3. Mitigation Impact on Coverag'!$A$7:$MY$53,AS$2,FALSE)*AS$9,"")</f>
        <v/>
      </c>
      <c r="AT28" s="15" t="str">
        <f>IFERROR(VLOOKUP($A28,'[1]3. Mitigation Impact on Coverag'!$A$7:$MY$53,AT$2,FALSE)*AT$9,"")</f>
        <v/>
      </c>
      <c r="AU28" s="15" t="str">
        <f>IFERROR(VLOOKUP($A28,'[1]3. Mitigation Impact on Coverag'!$A$7:$MY$53,AU$2,FALSE)*AU$9,"")</f>
        <v/>
      </c>
      <c r="AV28" s="15" t="str">
        <f>IFERROR(VLOOKUP($A28,'[1]3. Mitigation Impact on Coverag'!$A$7:$MY$53,AV$2,FALSE)*AV$9,"")</f>
        <v/>
      </c>
      <c r="AW28" s="15" t="str">
        <f>IFERROR(VLOOKUP($A28,'[1]3. Mitigation Impact on Coverag'!$A$7:$MY$53,AW$2,FALSE)*AW$9,"")</f>
        <v/>
      </c>
      <c r="AX28" s="15" t="str">
        <f>IFERROR(VLOOKUP($A28,'[1]3. Mitigation Impact on Coverag'!$A$7:$MY$53,AX$2,FALSE)*AX$9,"")</f>
        <v/>
      </c>
      <c r="AY28" s="15" t="str">
        <f>IFERROR(VLOOKUP($A28,'[1]3. Mitigation Impact on Coverag'!$A$7:$MY$53,AY$2,FALSE)*AY$9,"")</f>
        <v/>
      </c>
      <c r="AZ28" s="15" t="str">
        <f>IFERROR(VLOOKUP($A28,'[1]3. Mitigation Impact on Coverag'!$A$7:$MY$53,AZ$2,FALSE)*AZ$9,"")</f>
        <v/>
      </c>
      <c r="BA28" s="15" t="str">
        <f>IFERROR(VLOOKUP($A28,'[1]3. Mitigation Impact on Coverag'!$A$7:$MY$53,BA$2,FALSE)*BA$9,"")</f>
        <v/>
      </c>
      <c r="BB28" s="23" t="str">
        <f>IFERROR(VLOOKUP($A28,'[1]3. Mitigation Impact on Coverag'!$A$7:$MY$53,BB$2,FALSE)*BB$9,"")</f>
        <v/>
      </c>
      <c r="BC28" s="14" t="str">
        <f>IFERROR(VLOOKUP($A28,'[1]3. Mitigation Impact on Coverag'!$A$7:$MY$53,BC$2,FALSE)*BC$9,"")</f>
        <v/>
      </c>
      <c r="BD28" s="15" t="str">
        <f>IFERROR(VLOOKUP($A28,'[1]3. Mitigation Impact on Coverag'!$A$7:$MY$53,BD$2,FALSE)*BD$9,"")</f>
        <v/>
      </c>
      <c r="BE28" s="15" t="str">
        <f>IFERROR(VLOOKUP($A28,'[1]3. Mitigation Impact on Coverag'!$A$7:$MY$53,BE$2,FALSE)*BE$9,"")</f>
        <v/>
      </c>
      <c r="BF28" s="15" t="str">
        <f>IFERROR(VLOOKUP($A28,'[1]3. Mitigation Impact on Coverag'!$A$7:$MY$53,BF$2,FALSE)*BF$9,"")</f>
        <v/>
      </c>
      <c r="BG28" s="15" t="str">
        <f>IFERROR(VLOOKUP($A28,'[1]3. Mitigation Impact on Coverag'!$A$7:$MY$53,BG$2,FALSE)*BG$9,"")</f>
        <v/>
      </c>
      <c r="BH28" s="15" t="str">
        <f>IFERROR(VLOOKUP($A28,'[1]3. Mitigation Impact on Coverag'!$A$7:$MY$53,BH$2,FALSE)*BH$9,"")</f>
        <v/>
      </c>
      <c r="BI28" s="15" t="str">
        <f>IFERROR(VLOOKUP($A28,'[1]3. Mitigation Impact on Coverag'!$A$7:$MY$53,BI$2,FALSE)*BI$9,"")</f>
        <v/>
      </c>
      <c r="BJ28" s="19" t="str">
        <f>IFERROR(VLOOKUP($A28,'[1]3. Mitigation Impact on Coverag'!$A$7:$MY$53,BJ$2,FALSE)*BJ$9,"")</f>
        <v/>
      </c>
      <c r="BK28" s="40" t="str">
        <f>IFERROR(VLOOKUP($A28,'[1]3. Mitigation Impact on Coverag'!$A$7:$MY$53,BK$2,FALSE)*BK$9,"")</f>
        <v/>
      </c>
      <c r="BL28" s="41" t="str">
        <f>IFERROR(VLOOKUP($A28,'[1]3. Mitigation Impact on Coverag'!$A$7:$MY$53,BL$2,FALSE)*BL$9,"")</f>
        <v/>
      </c>
      <c r="BM28" s="51" t="str">
        <f>IFERROR(VLOOKUP($A28,'[1]3. Mitigation Impact on Coverag'!$A$7:$MY$53,BM$2,FALSE)*BM$9,"")</f>
        <v/>
      </c>
      <c r="BN28" s="52" t="str">
        <f t="shared" si="32"/>
        <v/>
      </c>
      <c r="BO28" s="52">
        <f t="shared" si="33"/>
        <v>0</v>
      </c>
      <c r="BP28" s="52">
        <f t="shared" si="34"/>
        <v>0</v>
      </c>
      <c r="BQ28" s="52">
        <f t="shared" si="35"/>
        <v>0</v>
      </c>
      <c r="BR28" s="52">
        <f t="shared" si="36"/>
        <v>0</v>
      </c>
      <c r="BS28" s="52">
        <f t="shared" si="37"/>
        <v>0</v>
      </c>
      <c r="BT28" s="52">
        <f t="shared" si="38"/>
        <v>0</v>
      </c>
      <c r="BU28" s="52">
        <f t="shared" si="39"/>
        <v>0</v>
      </c>
      <c r="BV28" s="52" t="str">
        <f t="shared" si="40"/>
        <v/>
      </c>
      <c r="BW28" s="94">
        <f t="shared" si="41"/>
        <v>0</v>
      </c>
      <c r="BX28" s="95">
        <f t="shared" si="42"/>
        <v>0</v>
      </c>
    </row>
    <row r="29" spans="1:76" s="2" customFormat="1">
      <c r="A29" s="106" t="s">
        <v>3</v>
      </c>
      <c r="B29" s="9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8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22"/>
      <c r="AF29" s="22"/>
      <c r="AG29" s="10"/>
      <c r="AH29" s="27"/>
      <c r="AI29" s="27"/>
      <c r="AJ29" s="11"/>
      <c r="AK29" s="11"/>
      <c r="AL29" s="11"/>
      <c r="AM29" s="11"/>
      <c r="AN29" s="11"/>
      <c r="AO29" s="11"/>
      <c r="AP29" s="10"/>
      <c r="AQ29" s="11"/>
      <c r="AR29" s="18"/>
      <c r="AS29" s="27"/>
      <c r="AT29" s="11"/>
      <c r="AU29" s="11"/>
      <c r="AV29" s="11"/>
      <c r="AW29" s="11"/>
      <c r="AX29" s="11"/>
      <c r="AY29" s="11"/>
      <c r="AZ29" s="11"/>
      <c r="BA29" s="11"/>
      <c r="BB29" s="22"/>
      <c r="BC29" s="10"/>
      <c r="BD29" s="11"/>
      <c r="BE29" s="11"/>
      <c r="BF29" s="11"/>
      <c r="BG29" s="11"/>
      <c r="BH29" s="11"/>
      <c r="BI29" s="11"/>
      <c r="BJ29" s="18"/>
      <c r="BK29" s="10"/>
      <c r="BL29" s="18"/>
      <c r="BM29" s="22"/>
      <c r="BN29" s="49"/>
      <c r="BO29" s="49"/>
      <c r="BP29" s="49"/>
      <c r="BQ29" s="49"/>
      <c r="BR29" s="50"/>
      <c r="BS29" s="50"/>
      <c r="BT29" s="50"/>
      <c r="BU29" s="55"/>
      <c r="BV29" s="55"/>
      <c r="BW29" s="93"/>
      <c r="BX29" s="93"/>
    </row>
    <row r="30" spans="1:76" s="2" customFormat="1" ht="28.5">
      <c r="A30" s="96" t="s">
        <v>96</v>
      </c>
      <c r="B30" s="13" t="str">
        <f>IFERROR(VLOOKUP($A30,'[1]3. Mitigation Impact on Coverag'!$A$7:$MY$53,B$2,FALSE)*B$9,"")</f>
        <v/>
      </c>
      <c r="C30" s="14" t="str">
        <f>IFERROR(VLOOKUP($A30,'[1]3. Mitigation Impact on Coverag'!$A$7:$MY$53,C$2,FALSE)*C$9,"")</f>
        <v/>
      </c>
      <c r="D30" s="15" t="str">
        <f>IFERROR(VLOOKUP($A30,'[1]3. Mitigation Impact on Coverag'!$A$7:$MY$53,D$2,FALSE)*D$9,"")</f>
        <v/>
      </c>
      <c r="E30" s="15" t="str">
        <f>IFERROR(VLOOKUP($A30,'[1]3. Mitigation Impact on Coverag'!$A$7:$MY$53,E$2,FALSE)*E$9,"")</f>
        <v/>
      </c>
      <c r="F30" s="15" t="str">
        <f>IFERROR(VLOOKUP($A30,'[1]3. Mitigation Impact on Coverag'!$A$7:$MY$53,F$2,FALSE)*F$9,"")</f>
        <v/>
      </c>
      <c r="G30" s="15" t="str">
        <f>IFERROR(VLOOKUP($A30,'[1]3. Mitigation Impact on Coverag'!$A$7:$MY$53,G$2,FALSE)*G$9,"")</f>
        <v/>
      </c>
      <c r="H30" s="15" t="str">
        <f>IFERROR(VLOOKUP($A30,'[1]3. Mitigation Impact on Coverag'!$A$7:$MY$53,H$2,FALSE)*H$9,"")</f>
        <v/>
      </c>
      <c r="I30" s="15" t="str">
        <f>IFERROR(VLOOKUP($A30,'[1]3. Mitigation Impact on Coverag'!$A$7:$MY$53,I$2,FALSE)*I$9,"")</f>
        <v/>
      </c>
      <c r="J30" s="15" t="str">
        <f>IFERROR(VLOOKUP($A30,'[1]3. Mitigation Impact on Coverag'!$A$7:$MY$53,J$2,FALSE)*J$9,"")</f>
        <v/>
      </c>
      <c r="K30" s="15" t="str">
        <f>IFERROR(VLOOKUP($A30,'[1]3. Mitigation Impact on Coverag'!$A$7:$MY$53,K$2,FALSE)*K$9,"")</f>
        <v/>
      </c>
      <c r="L30" s="15" t="str">
        <f>IFERROR(VLOOKUP($A30,'[1]3. Mitigation Impact on Coverag'!$A$7:$MY$53,L$2,FALSE)*L$9,"")</f>
        <v/>
      </c>
      <c r="M30" s="15" t="str">
        <f>IFERROR(VLOOKUP($A30,'[1]3. Mitigation Impact on Coverag'!$A$7:$MY$53,M$2,FALSE)*M$9,"")</f>
        <v/>
      </c>
      <c r="N30" s="15" t="str">
        <f>IFERROR(VLOOKUP($A30,'[1]3. Mitigation Impact on Coverag'!$A$7:$MY$53,N$2,FALSE)*N$9,"")</f>
        <v/>
      </c>
      <c r="O30" s="19" t="str">
        <f>IFERROR(VLOOKUP($A30,'[1]3. Mitigation Impact on Coverag'!$A$7:$MY$53,O$2,FALSE)*O$9,"")</f>
        <v/>
      </c>
      <c r="P30" s="14" t="str">
        <f>IFERROR(VLOOKUP($A30,'[1]3. Mitigation Impact on Coverag'!$A$7:$MY$53,P$2,FALSE)*P$9,"")</f>
        <v/>
      </c>
      <c r="Q30" s="15" t="str">
        <f>IFERROR(VLOOKUP($A30,'[1]3. Mitigation Impact on Coverag'!$A$7:$MY$53,Q$2,FALSE)*Q$9,"")</f>
        <v/>
      </c>
      <c r="R30" s="15" t="str">
        <f>IFERROR(VLOOKUP($A30,'[1]3. Mitigation Impact on Coverag'!$A$7:$MY$53,R$2,FALSE)*R$9,"")</f>
        <v/>
      </c>
      <c r="S30" s="15" t="str">
        <f>IFERROR(VLOOKUP($A30,'[1]3. Mitigation Impact on Coverag'!$A$7:$MY$53,S$2,FALSE)*S$9,"")</f>
        <v/>
      </c>
      <c r="T30" s="15">
        <f>IFERROR(VLOOKUP($A30,'[1]3. Mitigation Impact on Coverag'!$A$7:$MY$53,T$2,FALSE)*T$9,"")</f>
        <v>2.8947368421052602</v>
      </c>
      <c r="U30" s="15">
        <f>IFERROR(VLOOKUP($A30,'[1]3. Mitigation Impact on Coverag'!$A$7:$MY$53,U$2,FALSE)*U$9,"")</f>
        <v>3.1578947368421102</v>
      </c>
      <c r="V30" s="15">
        <f>IFERROR(VLOOKUP($A30,'[1]3. Mitigation Impact on Coverag'!$A$7:$MY$53,V$2,FALSE)*V$9,"")</f>
        <v>3.42105263157895</v>
      </c>
      <c r="W30" s="15" t="str">
        <f>IFERROR(VLOOKUP($A30,'[1]3. Mitigation Impact on Coverag'!$A$7:$MY$53,W$2,FALSE)*W$9,"")</f>
        <v/>
      </c>
      <c r="X30" s="15">
        <f>IFERROR(VLOOKUP($A30,'[1]3. Mitigation Impact on Coverag'!$A$7:$MY$53,X$2,FALSE)*X$9,"")</f>
        <v>0.26315789473684198</v>
      </c>
      <c r="Y30" s="15">
        <f>IFERROR(VLOOKUP($A30,'[1]3. Mitigation Impact on Coverag'!$A$7:$MY$53,Y$2,FALSE)*Y$9,"")</f>
        <v>0</v>
      </c>
      <c r="Z30" s="15">
        <f>IFERROR(VLOOKUP($A30,'[1]3. Mitigation Impact on Coverag'!$A$7:$MY$53,Z$2,FALSE)*Z$9,"")</f>
        <v>0</v>
      </c>
      <c r="AA30" s="15">
        <f>IFERROR(VLOOKUP($A30,'[1]3. Mitigation Impact on Coverag'!$A$7:$MY$53,AA$2,FALSE)*AA$9,"")</f>
        <v>0</v>
      </c>
      <c r="AB30" s="15" t="str">
        <f>IFERROR(VLOOKUP($A30,'[1]3. Mitigation Impact on Coverag'!$A$7:$MY$53,AB$2,FALSE)*AB$9,"")</f>
        <v/>
      </c>
      <c r="AC30" s="15" t="str">
        <f>IFERROR(VLOOKUP($A30,'[1]3. Mitigation Impact on Coverag'!$A$7:$MY$53,AC$2,FALSE)*AC$9,"")</f>
        <v/>
      </c>
      <c r="AD30" s="15">
        <f>IFERROR(VLOOKUP($A30,'[1]3. Mitigation Impact on Coverag'!$A$7:$MY$53,AD$2,FALSE)*AD$9,"")</f>
        <v>6.4473684210526301</v>
      </c>
      <c r="AE30" s="15" t="str">
        <f>IFERROR(VLOOKUP($A30,'[1]3. Mitigation Impact on Coverag'!$A$7:$MY$53,AE$2,FALSE)*AE$9,"")</f>
        <v/>
      </c>
      <c r="AF30" s="23">
        <f>IFERROR(VLOOKUP($A30,'[1]3. Mitigation Impact on Coverag'!$A$7:$MY$53,AF$2,FALSE)*AF$9,"")</f>
        <v>0</v>
      </c>
      <c r="AG30" s="14" t="str">
        <f>IFERROR(VLOOKUP($A30,'[1]3. Mitigation Impact on Coverag'!$A$7:$MY$53,AG$2,FALSE)*AG$9,"")</f>
        <v/>
      </c>
      <c r="AH30" s="28" t="str">
        <f>IFERROR(VLOOKUP($A30,'[1]3. Mitigation Impact on Coverag'!$A$7:$MY$53,AH$2,FALSE)*AH$9,"")</f>
        <v/>
      </c>
      <c r="AI30" s="28" t="str">
        <f>IFERROR(VLOOKUP($A30,'[1]3. Mitigation Impact on Coverag'!$A$7:$MY$53,AI$2,FALSE)*AI$9,"")</f>
        <v/>
      </c>
      <c r="AJ30" s="15" t="str">
        <f>IFERROR(VLOOKUP($A30,'[1]3. Mitigation Impact on Coverag'!$A$7:$MY$53,AJ$2,FALSE)*AJ$9,"")</f>
        <v/>
      </c>
      <c r="AK30" s="15" t="str">
        <f>IFERROR(VLOOKUP($A30,'[1]3. Mitigation Impact on Coverag'!$A$7:$MY$53,AK$2,FALSE)*AK$9,"")</f>
        <v/>
      </c>
      <c r="AL30" s="15" t="str">
        <f>IFERROR(VLOOKUP($A30,'[1]3. Mitigation Impact on Coverag'!$A$7:$MY$53,AL$2,FALSE)*AL$9,"")</f>
        <v/>
      </c>
      <c r="AM30" s="15" t="str">
        <f>IFERROR(VLOOKUP($A30,'[1]3. Mitigation Impact on Coverag'!$A$7:$MY$53,AM$2,FALSE)*AM$9,"")</f>
        <v/>
      </c>
      <c r="AN30" s="15" t="str">
        <f>IFERROR(VLOOKUP($A30,'[1]3. Mitigation Impact on Coverag'!$A$7:$MY$53,AN$2,FALSE)*AN$9,"")</f>
        <v/>
      </c>
      <c r="AO30" s="15" t="str">
        <f>IFERROR(VLOOKUP($A30,'[1]3. Mitigation Impact on Coverag'!$A$7:$MY$53,AO$2,FALSE)*AO$9,"")</f>
        <v/>
      </c>
      <c r="AP30" s="14" t="str">
        <f>IFERROR(VLOOKUP($A30,'[1]3. Mitigation Impact on Coverag'!$A$7:$MY$53,AP$2,FALSE)*AP$9,"")</f>
        <v/>
      </c>
      <c r="AQ30" s="15" t="str">
        <f>IFERROR(VLOOKUP($A30,'[1]3. Mitigation Impact on Coverag'!$A$7:$MY$53,AQ$2,FALSE)*AQ$9,"")</f>
        <v/>
      </c>
      <c r="AR30" s="19" t="str">
        <f>IFERROR(VLOOKUP($A30,'[1]3. Mitigation Impact on Coverag'!$A$7:$MY$53,AR$2,FALSE)*AR$9,"")</f>
        <v/>
      </c>
      <c r="AS30" s="28" t="str">
        <f>IFERROR(VLOOKUP($A30,'[1]3. Mitigation Impact on Coverag'!$A$7:$MY$53,AS$2,FALSE)*AS$9,"")</f>
        <v/>
      </c>
      <c r="AT30" s="15" t="str">
        <f>IFERROR(VLOOKUP($A30,'[1]3. Mitigation Impact on Coverag'!$A$7:$MY$53,AT$2,FALSE)*AT$9,"")</f>
        <v/>
      </c>
      <c r="AU30" s="15" t="str">
        <f>IFERROR(VLOOKUP($A30,'[1]3. Mitigation Impact on Coverag'!$A$7:$MY$53,AU$2,FALSE)*AU$9,"")</f>
        <v/>
      </c>
      <c r="AV30" s="15" t="str">
        <f>IFERROR(VLOOKUP($A30,'[1]3. Mitigation Impact on Coverag'!$A$7:$MY$53,AV$2,FALSE)*AV$9,"")</f>
        <v/>
      </c>
      <c r="AW30" s="15" t="str">
        <f>IFERROR(VLOOKUP($A30,'[1]3. Mitigation Impact on Coverag'!$A$7:$MY$53,AW$2,FALSE)*AW$9,"")</f>
        <v/>
      </c>
      <c r="AX30" s="15" t="str">
        <f>IFERROR(VLOOKUP($A30,'[1]3. Mitigation Impact on Coverag'!$A$7:$MY$53,AX$2,FALSE)*AX$9,"")</f>
        <v/>
      </c>
      <c r="AY30" s="15" t="str">
        <f>IFERROR(VLOOKUP($A30,'[1]3. Mitigation Impact on Coverag'!$A$7:$MY$53,AY$2,FALSE)*AY$9,"")</f>
        <v/>
      </c>
      <c r="AZ30" s="15" t="str">
        <f>IFERROR(VLOOKUP($A30,'[1]3. Mitigation Impact on Coverag'!$A$7:$MY$53,AZ$2,FALSE)*AZ$9,"")</f>
        <v/>
      </c>
      <c r="BA30" s="15" t="str">
        <f>IFERROR(VLOOKUP($A30,'[1]3. Mitigation Impact on Coverag'!$A$7:$MY$53,BA$2,FALSE)*BA$9,"")</f>
        <v/>
      </c>
      <c r="BB30" s="23" t="str">
        <f>IFERROR(VLOOKUP($A30,'[1]3. Mitigation Impact on Coverag'!$A$7:$MY$53,BB$2,FALSE)*BB$9,"")</f>
        <v/>
      </c>
      <c r="BC30" s="14" t="str">
        <f>IFERROR(VLOOKUP($A30,'[1]3. Mitigation Impact on Coverag'!$A$7:$MY$53,BC$2,FALSE)*BC$9,"")</f>
        <v/>
      </c>
      <c r="BD30" s="15" t="str">
        <f>IFERROR(VLOOKUP($A30,'[1]3. Mitigation Impact on Coverag'!$A$7:$MY$53,BD$2,FALSE)*BD$9,"")</f>
        <v/>
      </c>
      <c r="BE30" s="15" t="str">
        <f>IFERROR(VLOOKUP($A30,'[1]3. Mitigation Impact on Coverag'!$A$7:$MY$53,BE$2,FALSE)*BE$9,"")</f>
        <v/>
      </c>
      <c r="BF30" s="15" t="str">
        <f>IFERROR(VLOOKUP($A30,'[1]3. Mitigation Impact on Coverag'!$A$7:$MY$53,BF$2,FALSE)*BF$9,"")</f>
        <v/>
      </c>
      <c r="BG30" s="15" t="str">
        <f>IFERROR(VLOOKUP($A30,'[1]3. Mitigation Impact on Coverag'!$A$7:$MY$53,BG$2,FALSE)*BG$9,"")</f>
        <v/>
      </c>
      <c r="BH30" s="15" t="str">
        <f>IFERROR(VLOOKUP($A30,'[1]3. Mitigation Impact on Coverag'!$A$7:$MY$53,BH$2,FALSE)*BH$9,"")</f>
        <v/>
      </c>
      <c r="BI30" s="15" t="str">
        <f>IFERROR(VLOOKUP($A30,'[1]3. Mitigation Impact on Coverag'!$A$7:$MY$53,BI$2,FALSE)*BI$9,"")</f>
        <v/>
      </c>
      <c r="BJ30" s="19" t="str">
        <f>IFERROR(VLOOKUP($A30,'[1]3. Mitigation Impact on Coverag'!$A$7:$MY$53,BJ$2,FALSE)*BJ$9,"")</f>
        <v/>
      </c>
      <c r="BK30" s="40" t="str">
        <f>IFERROR(VLOOKUP($A30,'[1]3. Mitigation Impact on Coverag'!$A$7:$MY$53,BK$2,FALSE)*BK$9,"")</f>
        <v/>
      </c>
      <c r="BL30" s="41" t="str">
        <f>IFERROR(VLOOKUP($A30,'[1]3. Mitigation Impact on Coverag'!$A$7:$MY$53,BL$2,FALSE)*BL$9,"")</f>
        <v/>
      </c>
      <c r="BM30" s="51" t="str">
        <f>IFERROR(VLOOKUP($A30,'[1]3. Mitigation Impact on Coverag'!$A$7:$MY$53,BM$2,FALSE)*BM$9,"")</f>
        <v/>
      </c>
      <c r="BN30" s="52" t="str">
        <f t="shared" ref="BN30:BN32" si="43">B30</f>
        <v/>
      </c>
      <c r="BO30" s="52">
        <f t="shared" ref="BO30:BO32" si="44">SUM(C30:O30)</f>
        <v>0</v>
      </c>
      <c r="BP30" s="52">
        <f t="shared" ref="BP30:BP32" si="45">SUM(P30:AF30)</f>
        <v>16.184210526315798</v>
      </c>
      <c r="BQ30" s="52">
        <f t="shared" ref="BQ30:BQ32" si="46">SUM(AG30:AO30)</f>
        <v>0</v>
      </c>
      <c r="BR30" s="52">
        <f t="shared" ref="BR30:BR32" si="47">SUM(AP30:AR30)</f>
        <v>0</v>
      </c>
      <c r="BS30" s="52">
        <f t="shared" ref="BS30:BS32" si="48">SUM(AS30:BB30)</f>
        <v>0</v>
      </c>
      <c r="BT30" s="52">
        <f t="shared" ref="BT30:BT32" si="49">SUM(BC30:BJ30)</f>
        <v>0</v>
      </c>
      <c r="BU30" s="52">
        <f t="shared" ref="BU30:BU32" si="50">SUM(BK30:BL30)</f>
        <v>0</v>
      </c>
      <c r="BV30" s="52" t="str">
        <f t="shared" ref="BV30:BV32" si="51">BM30</f>
        <v/>
      </c>
      <c r="BW30" s="94">
        <f t="shared" ref="BW30:BW32" si="52">SUM(BN30:BV30)</f>
        <v>16.184210526315798</v>
      </c>
      <c r="BX30" s="95">
        <f t="shared" ref="BX30:BX32" si="53">BW30/$BW$9</f>
        <v>4.9492998551424403E-3</v>
      </c>
    </row>
    <row r="31" spans="1:76" s="2" customFormat="1">
      <c r="A31" s="12"/>
      <c r="B31" s="13" t="str">
        <f>IFERROR(VLOOKUP($A31,'[1]3. Mitigation Impact on Coverag'!$A$7:$MY$53,B$2,FALSE)*B$9,"")</f>
        <v/>
      </c>
      <c r="C31" s="14" t="str">
        <f>IFERROR(VLOOKUP($A31,'[1]3. Mitigation Impact on Coverag'!$A$7:$MY$53,C$2,FALSE)*C$9,"")</f>
        <v/>
      </c>
      <c r="D31" s="15" t="str">
        <f>IFERROR(VLOOKUP($A31,'[1]3. Mitigation Impact on Coverag'!$A$7:$MY$53,D$2,FALSE)*D$9,"")</f>
        <v/>
      </c>
      <c r="E31" s="15" t="str">
        <f>IFERROR(VLOOKUP($A31,'[1]3. Mitigation Impact on Coverag'!$A$7:$MY$53,E$2,FALSE)*E$9,"")</f>
        <v/>
      </c>
      <c r="F31" s="15" t="str">
        <f>IFERROR(VLOOKUP($A31,'[1]3. Mitigation Impact on Coverag'!$A$7:$MY$53,F$2,FALSE)*F$9,"")</f>
        <v/>
      </c>
      <c r="G31" s="15" t="str">
        <f>IFERROR(VLOOKUP($A31,'[1]3. Mitigation Impact on Coverag'!$A$7:$MY$53,G$2,FALSE)*G$9,"")</f>
        <v/>
      </c>
      <c r="H31" s="15" t="str">
        <f>IFERROR(VLOOKUP($A31,'[1]3. Mitigation Impact on Coverag'!$A$7:$MY$53,H$2,FALSE)*H$9,"")</f>
        <v/>
      </c>
      <c r="I31" s="15" t="str">
        <f>IFERROR(VLOOKUP($A31,'[1]3. Mitigation Impact on Coverag'!$A$7:$MY$53,I$2,FALSE)*I$9,"")</f>
        <v/>
      </c>
      <c r="J31" s="15" t="str">
        <f>IFERROR(VLOOKUP($A31,'[1]3. Mitigation Impact on Coverag'!$A$7:$MY$53,J$2,FALSE)*J$9,"")</f>
        <v/>
      </c>
      <c r="K31" s="15" t="str">
        <f>IFERROR(VLOOKUP($A31,'[1]3. Mitigation Impact on Coverag'!$A$7:$MY$53,K$2,FALSE)*K$9,"")</f>
        <v/>
      </c>
      <c r="L31" s="15" t="str">
        <f>IFERROR(VLOOKUP($A31,'[1]3. Mitigation Impact on Coverag'!$A$7:$MY$53,L$2,FALSE)*L$9,"")</f>
        <v/>
      </c>
      <c r="M31" s="15" t="str">
        <f>IFERROR(VLOOKUP($A31,'[1]3. Mitigation Impact on Coverag'!$A$7:$MY$53,M$2,FALSE)*M$9,"")</f>
        <v/>
      </c>
      <c r="N31" s="15" t="str">
        <f>IFERROR(VLOOKUP($A31,'[1]3. Mitigation Impact on Coverag'!$A$7:$MY$53,N$2,FALSE)*N$9,"")</f>
        <v/>
      </c>
      <c r="O31" s="19" t="str">
        <f>IFERROR(VLOOKUP($A31,'[1]3. Mitigation Impact on Coverag'!$A$7:$MY$53,O$2,FALSE)*O$9,"")</f>
        <v/>
      </c>
      <c r="P31" s="14" t="str">
        <f>IFERROR(VLOOKUP($A31,'[1]3. Mitigation Impact on Coverag'!$A$7:$MY$53,P$2,FALSE)*P$9,"")</f>
        <v/>
      </c>
      <c r="Q31" s="15" t="str">
        <f>IFERROR(VLOOKUP($A31,'[1]3. Mitigation Impact on Coverag'!$A$7:$MY$53,Q$2,FALSE)*Q$9,"")</f>
        <v/>
      </c>
      <c r="R31" s="15" t="str">
        <f>IFERROR(VLOOKUP($A31,'[1]3. Mitigation Impact on Coverag'!$A$7:$MY$53,R$2,FALSE)*R$9,"")</f>
        <v/>
      </c>
      <c r="S31" s="15" t="str">
        <f>IFERROR(VLOOKUP($A31,'[1]3. Mitigation Impact on Coverag'!$A$7:$MY$53,S$2,FALSE)*S$9,"")</f>
        <v/>
      </c>
      <c r="T31" s="15" t="str">
        <f>IFERROR(VLOOKUP($A31,'[1]3. Mitigation Impact on Coverag'!$A$7:$MY$53,T$2,FALSE)*T$9,"")</f>
        <v/>
      </c>
      <c r="U31" s="15" t="str">
        <f>IFERROR(VLOOKUP($A31,'[1]3. Mitigation Impact on Coverag'!$A$7:$MY$53,U$2,FALSE)*U$9,"")</f>
        <v/>
      </c>
      <c r="V31" s="15" t="str">
        <f>IFERROR(VLOOKUP($A31,'[1]3. Mitigation Impact on Coverag'!$A$7:$MY$53,V$2,FALSE)*V$9,"")</f>
        <v/>
      </c>
      <c r="W31" s="15" t="str">
        <f>IFERROR(VLOOKUP($A31,'[1]3. Mitigation Impact on Coverag'!$A$7:$MY$53,W$2,FALSE)*W$9,"")</f>
        <v/>
      </c>
      <c r="X31" s="15" t="str">
        <f>IFERROR(VLOOKUP($A31,'[1]3. Mitigation Impact on Coverag'!$A$7:$MY$53,X$2,FALSE)*X$9,"")</f>
        <v/>
      </c>
      <c r="Y31" s="15" t="str">
        <f>IFERROR(VLOOKUP($A31,'[1]3. Mitigation Impact on Coverag'!$A$7:$MY$53,Y$2,FALSE)*Y$9,"")</f>
        <v/>
      </c>
      <c r="Z31" s="15" t="str">
        <f>IFERROR(VLOOKUP($A31,'[1]3. Mitigation Impact on Coverag'!$A$7:$MY$53,Z$2,FALSE)*Z$9,"")</f>
        <v/>
      </c>
      <c r="AA31" s="15" t="str">
        <f>IFERROR(VLOOKUP($A31,'[1]3. Mitigation Impact on Coverag'!$A$7:$MY$53,AA$2,FALSE)*AA$9,"")</f>
        <v/>
      </c>
      <c r="AB31" s="15" t="str">
        <f>IFERROR(VLOOKUP($A31,'[1]3. Mitigation Impact on Coverag'!$A$7:$MY$53,AB$2,FALSE)*AB$9,"")</f>
        <v/>
      </c>
      <c r="AC31" s="15" t="str">
        <f>IFERROR(VLOOKUP($A31,'[1]3. Mitigation Impact on Coverag'!$A$7:$MY$53,AC$2,FALSE)*AC$9,"")</f>
        <v/>
      </c>
      <c r="AD31" s="15" t="str">
        <f>IFERROR(VLOOKUP($A31,'[1]3. Mitigation Impact on Coverag'!$A$7:$MY$53,AD$2,FALSE)*AD$9,"")</f>
        <v/>
      </c>
      <c r="AE31" s="15" t="str">
        <f>IFERROR(VLOOKUP($A31,'[1]3. Mitigation Impact on Coverag'!$A$7:$MY$53,AE$2,FALSE)*AE$9,"")</f>
        <v/>
      </c>
      <c r="AF31" s="23" t="str">
        <f>IFERROR(VLOOKUP($A31,'[1]3. Mitigation Impact on Coverag'!$A$7:$MY$53,AF$2,FALSE)*AF$9,"")</f>
        <v/>
      </c>
      <c r="AG31" s="14" t="str">
        <f>IFERROR(VLOOKUP($A31,'[1]3. Mitigation Impact on Coverag'!$A$7:$MY$53,AG$2,FALSE)*AG$9,"")</f>
        <v/>
      </c>
      <c r="AH31" s="28" t="str">
        <f>IFERROR(VLOOKUP($A31,'[1]3. Mitigation Impact on Coverag'!$A$7:$MY$53,AH$2,FALSE)*AH$9,"")</f>
        <v/>
      </c>
      <c r="AI31" s="28" t="str">
        <f>IFERROR(VLOOKUP($A31,'[1]3. Mitigation Impact on Coverag'!$A$7:$MY$53,AI$2,FALSE)*AI$9,"")</f>
        <v/>
      </c>
      <c r="AJ31" s="15" t="str">
        <f>IFERROR(VLOOKUP($A31,'[1]3. Mitigation Impact on Coverag'!$A$7:$MY$53,AJ$2,FALSE)*AJ$9,"")</f>
        <v/>
      </c>
      <c r="AK31" s="15" t="str">
        <f>IFERROR(VLOOKUP($A31,'[1]3. Mitigation Impact on Coverag'!$A$7:$MY$53,AK$2,FALSE)*AK$9,"")</f>
        <v/>
      </c>
      <c r="AL31" s="15" t="str">
        <f>IFERROR(VLOOKUP($A31,'[1]3. Mitigation Impact on Coverag'!$A$7:$MY$53,AL$2,FALSE)*AL$9,"")</f>
        <v/>
      </c>
      <c r="AM31" s="15" t="str">
        <f>IFERROR(VLOOKUP($A31,'[1]3. Mitigation Impact on Coverag'!$A$7:$MY$53,AM$2,FALSE)*AM$9,"")</f>
        <v/>
      </c>
      <c r="AN31" s="15" t="str">
        <f>IFERROR(VLOOKUP($A31,'[1]3. Mitigation Impact on Coverag'!$A$7:$MY$53,AN$2,FALSE)*AN$9,"")</f>
        <v/>
      </c>
      <c r="AO31" s="15" t="str">
        <f>IFERROR(VLOOKUP($A31,'[1]3. Mitigation Impact on Coverag'!$A$7:$MY$53,AO$2,FALSE)*AO$9,"")</f>
        <v/>
      </c>
      <c r="AP31" s="14" t="str">
        <f>IFERROR(VLOOKUP($A31,'[1]3. Mitigation Impact on Coverag'!$A$7:$MY$53,AP$2,FALSE)*AP$9,"")</f>
        <v/>
      </c>
      <c r="AQ31" s="15" t="str">
        <f>IFERROR(VLOOKUP($A31,'[1]3. Mitigation Impact on Coverag'!$A$7:$MY$53,AQ$2,FALSE)*AQ$9,"")</f>
        <v/>
      </c>
      <c r="AR31" s="19" t="str">
        <f>IFERROR(VLOOKUP($A31,'[1]3. Mitigation Impact on Coverag'!$A$7:$MY$53,AR$2,FALSE)*AR$9,"")</f>
        <v/>
      </c>
      <c r="AS31" s="28" t="str">
        <f>IFERROR(VLOOKUP($A31,'[1]3. Mitigation Impact on Coverag'!$A$7:$MY$53,AS$2,FALSE)*AS$9,"")</f>
        <v/>
      </c>
      <c r="AT31" s="15" t="str">
        <f>IFERROR(VLOOKUP($A31,'[1]3. Mitigation Impact on Coverag'!$A$7:$MY$53,AT$2,FALSE)*AT$9,"")</f>
        <v/>
      </c>
      <c r="AU31" s="15" t="str">
        <f>IFERROR(VLOOKUP($A31,'[1]3. Mitigation Impact on Coverag'!$A$7:$MY$53,AU$2,FALSE)*AU$9,"")</f>
        <v/>
      </c>
      <c r="AV31" s="15" t="str">
        <f>IFERROR(VLOOKUP($A31,'[1]3. Mitigation Impact on Coverag'!$A$7:$MY$53,AV$2,FALSE)*AV$9,"")</f>
        <v/>
      </c>
      <c r="AW31" s="15" t="str">
        <f>IFERROR(VLOOKUP($A31,'[1]3. Mitigation Impact on Coverag'!$A$7:$MY$53,AW$2,FALSE)*AW$9,"")</f>
        <v/>
      </c>
      <c r="AX31" s="15" t="str">
        <f>IFERROR(VLOOKUP($A31,'[1]3. Mitigation Impact on Coverag'!$A$7:$MY$53,AX$2,FALSE)*AX$9,"")</f>
        <v/>
      </c>
      <c r="AY31" s="15" t="str">
        <f>IFERROR(VLOOKUP($A31,'[1]3. Mitigation Impact on Coverag'!$A$7:$MY$53,AY$2,FALSE)*AY$9,"")</f>
        <v/>
      </c>
      <c r="AZ31" s="15" t="str">
        <f>IFERROR(VLOOKUP($A31,'[1]3. Mitigation Impact on Coverag'!$A$7:$MY$53,AZ$2,FALSE)*AZ$9,"")</f>
        <v/>
      </c>
      <c r="BA31" s="15" t="str">
        <f>IFERROR(VLOOKUP($A31,'[1]3. Mitigation Impact on Coverag'!$A$7:$MY$53,BA$2,FALSE)*BA$9,"")</f>
        <v/>
      </c>
      <c r="BB31" s="23" t="str">
        <f>IFERROR(VLOOKUP($A31,'[1]3. Mitigation Impact on Coverag'!$A$7:$MY$53,BB$2,FALSE)*BB$9,"")</f>
        <v/>
      </c>
      <c r="BC31" s="14" t="str">
        <f>IFERROR(VLOOKUP($A31,'[1]3. Mitigation Impact on Coverag'!$A$7:$MY$53,BC$2,FALSE)*BC$9,"")</f>
        <v/>
      </c>
      <c r="BD31" s="15" t="str">
        <f>IFERROR(VLOOKUP($A31,'[1]3. Mitigation Impact on Coverag'!$A$7:$MY$53,BD$2,FALSE)*BD$9,"")</f>
        <v/>
      </c>
      <c r="BE31" s="15" t="str">
        <f>IFERROR(VLOOKUP($A31,'[1]3. Mitigation Impact on Coverag'!$A$7:$MY$53,BE$2,FALSE)*BE$9,"")</f>
        <v/>
      </c>
      <c r="BF31" s="15" t="str">
        <f>IFERROR(VLOOKUP($A31,'[1]3. Mitigation Impact on Coverag'!$A$7:$MY$53,BF$2,FALSE)*BF$9,"")</f>
        <v/>
      </c>
      <c r="BG31" s="15" t="str">
        <f>IFERROR(VLOOKUP($A31,'[1]3. Mitigation Impact on Coverag'!$A$7:$MY$53,BG$2,FALSE)*BG$9,"")</f>
        <v/>
      </c>
      <c r="BH31" s="15" t="str">
        <f>IFERROR(VLOOKUP($A31,'[1]3. Mitigation Impact on Coverag'!$A$7:$MY$53,BH$2,FALSE)*BH$9,"")</f>
        <v/>
      </c>
      <c r="BI31" s="15" t="str">
        <f>IFERROR(VLOOKUP($A31,'[1]3. Mitigation Impact on Coverag'!$A$7:$MY$53,BI$2,FALSE)*BI$9,"")</f>
        <v/>
      </c>
      <c r="BJ31" s="19" t="str">
        <f>IFERROR(VLOOKUP($A31,'[1]3. Mitigation Impact on Coverag'!$A$7:$MY$53,BJ$2,FALSE)*BJ$9,"")</f>
        <v/>
      </c>
      <c r="BK31" s="40" t="str">
        <f>IFERROR(VLOOKUP($A31,'[1]3. Mitigation Impact on Coverag'!$A$7:$MY$53,BK$2,FALSE)*BK$9,"")</f>
        <v/>
      </c>
      <c r="BL31" s="41" t="str">
        <f>IFERROR(VLOOKUP($A31,'[1]3. Mitigation Impact on Coverag'!$A$7:$MY$53,BL$2,FALSE)*BL$9,"")</f>
        <v/>
      </c>
      <c r="BM31" s="51" t="str">
        <f>IFERROR(VLOOKUP($A31,'[1]3. Mitigation Impact on Coverag'!$A$7:$MY$53,BM$2,FALSE)*BM$9,"")</f>
        <v/>
      </c>
      <c r="BN31" s="52" t="str">
        <f t="shared" si="43"/>
        <v/>
      </c>
      <c r="BO31" s="52">
        <f t="shared" si="44"/>
        <v>0</v>
      </c>
      <c r="BP31" s="52">
        <f t="shared" si="45"/>
        <v>0</v>
      </c>
      <c r="BQ31" s="52">
        <f t="shared" si="46"/>
        <v>0</v>
      </c>
      <c r="BR31" s="52">
        <f t="shared" si="47"/>
        <v>0</v>
      </c>
      <c r="BS31" s="52">
        <f t="shared" si="48"/>
        <v>0</v>
      </c>
      <c r="BT31" s="52">
        <f t="shared" si="49"/>
        <v>0</v>
      </c>
      <c r="BU31" s="52">
        <f t="shared" si="50"/>
        <v>0</v>
      </c>
      <c r="BV31" s="52" t="str">
        <f t="shared" si="51"/>
        <v/>
      </c>
      <c r="BW31" s="94">
        <f t="shared" si="52"/>
        <v>0</v>
      </c>
      <c r="BX31" s="95">
        <f t="shared" si="53"/>
        <v>0</v>
      </c>
    </row>
    <row r="32" spans="1:76" s="2" customFormat="1">
      <c r="A32" s="12"/>
      <c r="B32" s="13" t="str">
        <f>IFERROR(VLOOKUP($A32,'[1]3. Mitigation Impact on Coverag'!$A$7:$MY$53,B$2,FALSE)*B$9,"")</f>
        <v/>
      </c>
      <c r="C32" s="14" t="str">
        <f>IFERROR(VLOOKUP($A32,'[1]3. Mitigation Impact on Coverag'!$A$7:$MY$53,C$2,FALSE)*C$9,"")</f>
        <v/>
      </c>
      <c r="D32" s="15" t="str">
        <f>IFERROR(VLOOKUP($A32,'[1]3. Mitigation Impact on Coverag'!$A$7:$MY$53,D$2,FALSE)*D$9,"")</f>
        <v/>
      </c>
      <c r="E32" s="15" t="str">
        <f>IFERROR(VLOOKUP($A32,'[1]3. Mitigation Impact on Coverag'!$A$7:$MY$53,E$2,FALSE)*E$9,"")</f>
        <v/>
      </c>
      <c r="F32" s="15" t="str">
        <f>IFERROR(VLOOKUP($A32,'[1]3. Mitigation Impact on Coverag'!$A$7:$MY$53,F$2,FALSE)*F$9,"")</f>
        <v/>
      </c>
      <c r="G32" s="15" t="str">
        <f>IFERROR(VLOOKUP($A32,'[1]3. Mitigation Impact on Coverag'!$A$7:$MY$53,G$2,FALSE)*G$9,"")</f>
        <v/>
      </c>
      <c r="H32" s="15" t="str">
        <f>IFERROR(VLOOKUP($A32,'[1]3. Mitigation Impact on Coverag'!$A$7:$MY$53,H$2,FALSE)*H$9,"")</f>
        <v/>
      </c>
      <c r="I32" s="15" t="str">
        <f>IFERROR(VLOOKUP($A32,'[1]3. Mitigation Impact on Coverag'!$A$7:$MY$53,I$2,FALSE)*I$9,"")</f>
        <v/>
      </c>
      <c r="J32" s="15" t="str">
        <f>IFERROR(VLOOKUP($A32,'[1]3. Mitigation Impact on Coverag'!$A$7:$MY$53,J$2,FALSE)*J$9,"")</f>
        <v/>
      </c>
      <c r="K32" s="15" t="str">
        <f>IFERROR(VLOOKUP($A32,'[1]3. Mitigation Impact on Coverag'!$A$7:$MY$53,K$2,FALSE)*K$9,"")</f>
        <v/>
      </c>
      <c r="L32" s="15" t="str">
        <f>IFERROR(VLOOKUP($A32,'[1]3. Mitigation Impact on Coverag'!$A$7:$MY$53,L$2,FALSE)*L$9,"")</f>
        <v/>
      </c>
      <c r="M32" s="15" t="str">
        <f>IFERROR(VLOOKUP($A32,'[1]3. Mitigation Impact on Coverag'!$A$7:$MY$53,M$2,FALSE)*M$9,"")</f>
        <v/>
      </c>
      <c r="N32" s="15" t="str">
        <f>IFERROR(VLOOKUP($A32,'[1]3. Mitigation Impact on Coverag'!$A$7:$MY$53,N$2,FALSE)*N$9,"")</f>
        <v/>
      </c>
      <c r="O32" s="19" t="str">
        <f>IFERROR(VLOOKUP($A32,'[1]3. Mitigation Impact on Coverag'!$A$7:$MY$53,O$2,FALSE)*O$9,"")</f>
        <v/>
      </c>
      <c r="P32" s="14" t="str">
        <f>IFERROR(VLOOKUP($A32,'[1]3. Mitigation Impact on Coverag'!$A$7:$MY$53,P$2,FALSE)*P$9,"")</f>
        <v/>
      </c>
      <c r="Q32" s="15" t="str">
        <f>IFERROR(VLOOKUP($A32,'[1]3. Mitigation Impact on Coverag'!$A$7:$MY$53,Q$2,FALSE)*Q$9,"")</f>
        <v/>
      </c>
      <c r="R32" s="15" t="str">
        <f>IFERROR(VLOOKUP($A32,'[1]3. Mitigation Impact on Coverag'!$A$7:$MY$53,R$2,FALSE)*R$9,"")</f>
        <v/>
      </c>
      <c r="S32" s="15" t="str">
        <f>IFERROR(VLOOKUP($A32,'[1]3. Mitigation Impact on Coverag'!$A$7:$MY$53,S$2,FALSE)*S$9,"")</f>
        <v/>
      </c>
      <c r="T32" s="15" t="str">
        <f>IFERROR(VLOOKUP($A32,'[1]3. Mitigation Impact on Coverag'!$A$7:$MY$53,T$2,FALSE)*T$9,"")</f>
        <v/>
      </c>
      <c r="U32" s="15" t="str">
        <f>IFERROR(VLOOKUP($A32,'[1]3. Mitigation Impact on Coverag'!$A$7:$MY$53,U$2,FALSE)*U$9,"")</f>
        <v/>
      </c>
      <c r="V32" s="15" t="str">
        <f>IFERROR(VLOOKUP($A32,'[1]3. Mitigation Impact on Coverag'!$A$7:$MY$53,V$2,FALSE)*V$9,"")</f>
        <v/>
      </c>
      <c r="W32" s="15" t="str">
        <f>IFERROR(VLOOKUP($A32,'[1]3. Mitigation Impact on Coverag'!$A$7:$MY$53,W$2,FALSE)*W$9,"")</f>
        <v/>
      </c>
      <c r="X32" s="15" t="str">
        <f>IFERROR(VLOOKUP($A32,'[1]3. Mitigation Impact on Coverag'!$A$7:$MY$53,X$2,FALSE)*X$9,"")</f>
        <v/>
      </c>
      <c r="Y32" s="15" t="str">
        <f>IFERROR(VLOOKUP($A32,'[1]3. Mitigation Impact on Coverag'!$A$7:$MY$53,Y$2,FALSE)*Y$9,"")</f>
        <v/>
      </c>
      <c r="Z32" s="15" t="str">
        <f>IFERROR(VLOOKUP($A32,'[1]3. Mitigation Impact on Coverag'!$A$7:$MY$53,Z$2,FALSE)*Z$9,"")</f>
        <v/>
      </c>
      <c r="AA32" s="15" t="str">
        <f>IFERROR(VLOOKUP($A32,'[1]3. Mitigation Impact on Coverag'!$A$7:$MY$53,AA$2,FALSE)*AA$9,"")</f>
        <v/>
      </c>
      <c r="AB32" s="15" t="str">
        <f>IFERROR(VLOOKUP($A32,'[1]3. Mitigation Impact on Coverag'!$A$7:$MY$53,AB$2,FALSE)*AB$9,"")</f>
        <v/>
      </c>
      <c r="AC32" s="15" t="str">
        <f>IFERROR(VLOOKUP($A32,'[1]3. Mitigation Impact on Coverag'!$A$7:$MY$53,AC$2,FALSE)*AC$9,"")</f>
        <v/>
      </c>
      <c r="AD32" s="15" t="str">
        <f>IFERROR(VLOOKUP($A32,'[1]3. Mitigation Impact on Coverag'!$A$7:$MY$53,AD$2,FALSE)*AD$9,"")</f>
        <v/>
      </c>
      <c r="AE32" s="15" t="str">
        <f>IFERROR(VLOOKUP($A32,'[1]3. Mitigation Impact on Coverag'!$A$7:$MY$53,AE$2,FALSE)*AE$9,"")</f>
        <v/>
      </c>
      <c r="AF32" s="23" t="str">
        <f>IFERROR(VLOOKUP($A32,'[1]3. Mitigation Impact on Coverag'!$A$7:$MY$53,AF$2,FALSE)*AF$9,"")</f>
        <v/>
      </c>
      <c r="AG32" s="14" t="str">
        <f>IFERROR(VLOOKUP($A32,'[1]3. Mitigation Impact on Coverag'!$A$7:$MY$53,AG$2,FALSE)*AG$9,"")</f>
        <v/>
      </c>
      <c r="AH32" s="28" t="str">
        <f>IFERROR(VLOOKUP($A32,'[1]3. Mitigation Impact on Coverag'!$A$7:$MY$53,AH$2,FALSE)*AH$9,"")</f>
        <v/>
      </c>
      <c r="AI32" s="28" t="str">
        <f>IFERROR(VLOOKUP($A32,'[1]3. Mitigation Impact on Coverag'!$A$7:$MY$53,AI$2,FALSE)*AI$9,"")</f>
        <v/>
      </c>
      <c r="AJ32" s="15" t="str">
        <f>IFERROR(VLOOKUP($A32,'[1]3. Mitigation Impact on Coverag'!$A$7:$MY$53,AJ$2,FALSE)*AJ$9,"")</f>
        <v/>
      </c>
      <c r="AK32" s="15" t="str">
        <f>IFERROR(VLOOKUP($A32,'[1]3. Mitigation Impact on Coverag'!$A$7:$MY$53,AK$2,FALSE)*AK$9,"")</f>
        <v/>
      </c>
      <c r="AL32" s="15" t="str">
        <f>IFERROR(VLOOKUP($A32,'[1]3. Mitigation Impact on Coverag'!$A$7:$MY$53,AL$2,FALSE)*AL$9,"")</f>
        <v/>
      </c>
      <c r="AM32" s="15" t="str">
        <f>IFERROR(VLOOKUP($A32,'[1]3. Mitigation Impact on Coverag'!$A$7:$MY$53,AM$2,FALSE)*AM$9,"")</f>
        <v/>
      </c>
      <c r="AN32" s="15" t="str">
        <f>IFERROR(VLOOKUP($A32,'[1]3. Mitigation Impact on Coverag'!$A$7:$MY$53,AN$2,FALSE)*AN$9,"")</f>
        <v/>
      </c>
      <c r="AO32" s="15" t="str">
        <f>IFERROR(VLOOKUP($A32,'[1]3. Mitigation Impact on Coverag'!$A$7:$MY$53,AO$2,FALSE)*AO$9,"")</f>
        <v/>
      </c>
      <c r="AP32" s="14" t="str">
        <f>IFERROR(VLOOKUP($A32,'[1]3. Mitigation Impact on Coverag'!$A$7:$MY$53,AP$2,FALSE)*AP$9,"")</f>
        <v/>
      </c>
      <c r="AQ32" s="15" t="str">
        <f>IFERROR(VLOOKUP($A32,'[1]3. Mitigation Impact on Coverag'!$A$7:$MY$53,AQ$2,FALSE)*AQ$9,"")</f>
        <v/>
      </c>
      <c r="AR32" s="19" t="str">
        <f>IFERROR(VLOOKUP($A32,'[1]3. Mitigation Impact on Coverag'!$A$7:$MY$53,AR$2,FALSE)*AR$9,"")</f>
        <v/>
      </c>
      <c r="AS32" s="28" t="str">
        <f>IFERROR(VLOOKUP($A32,'[1]3. Mitigation Impact on Coverag'!$A$7:$MY$53,AS$2,FALSE)*AS$9,"")</f>
        <v/>
      </c>
      <c r="AT32" s="15" t="str">
        <f>IFERROR(VLOOKUP($A32,'[1]3. Mitigation Impact on Coverag'!$A$7:$MY$53,AT$2,FALSE)*AT$9,"")</f>
        <v/>
      </c>
      <c r="AU32" s="15" t="str">
        <f>IFERROR(VLOOKUP($A32,'[1]3. Mitigation Impact on Coverag'!$A$7:$MY$53,AU$2,FALSE)*AU$9,"")</f>
        <v/>
      </c>
      <c r="AV32" s="15" t="str">
        <f>IFERROR(VLOOKUP($A32,'[1]3. Mitigation Impact on Coverag'!$A$7:$MY$53,AV$2,FALSE)*AV$9,"")</f>
        <v/>
      </c>
      <c r="AW32" s="15" t="str">
        <f>IFERROR(VLOOKUP($A32,'[1]3. Mitigation Impact on Coverag'!$A$7:$MY$53,AW$2,FALSE)*AW$9,"")</f>
        <v/>
      </c>
      <c r="AX32" s="15" t="str">
        <f>IFERROR(VLOOKUP($A32,'[1]3. Mitigation Impact on Coverag'!$A$7:$MY$53,AX$2,FALSE)*AX$9,"")</f>
        <v/>
      </c>
      <c r="AY32" s="15" t="str">
        <f>IFERROR(VLOOKUP($A32,'[1]3. Mitigation Impact on Coverag'!$A$7:$MY$53,AY$2,FALSE)*AY$9,"")</f>
        <v/>
      </c>
      <c r="AZ32" s="15" t="str">
        <f>IFERROR(VLOOKUP($A32,'[1]3. Mitigation Impact on Coverag'!$A$7:$MY$53,AZ$2,FALSE)*AZ$9,"")</f>
        <v/>
      </c>
      <c r="BA32" s="15" t="str">
        <f>IFERROR(VLOOKUP($A32,'[1]3. Mitigation Impact on Coverag'!$A$7:$MY$53,BA$2,FALSE)*BA$9,"")</f>
        <v/>
      </c>
      <c r="BB32" s="23" t="str">
        <f>IFERROR(VLOOKUP($A32,'[1]3. Mitigation Impact on Coverag'!$A$7:$MY$53,BB$2,FALSE)*BB$9,"")</f>
        <v/>
      </c>
      <c r="BC32" s="14" t="str">
        <f>IFERROR(VLOOKUP($A32,'[1]3. Mitigation Impact on Coverag'!$A$7:$MY$53,BC$2,FALSE)*BC$9,"")</f>
        <v/>
      </c>
      <c r="BD32" s="15" t="str">
        <f>IFERROR(VLOOKUP($A32,'[1]3. Mitigation Impact on Coverag'!$A$7:$MY$53,BD$2,FALSE)*BD$9,"")</f>
        <v/>
      </c>
      <c r="BE32" s="15" t="str">
        <f>IFERROR(VLOOKUP($A32,'[1]3. Mitigation Impact on Coverag'!$A$7:$MY$53,BE$2,FALSE)*BE$9,"")</f>
        <v/>
      </c>
      <c r="BF32" s="15" t="str">
        <f>IFERROR(VLOOKUP($A32,'[1]3. Mitigation Impact on Coverag'!$A$7:$MY$53,BF$2,FALSE)*BF$9,"")</f>
        <v/>
      </c>
      <c r="BG32" s="15" t="str">
        <f>IFERROR(VLOOKUP($A32,'[1]3. Mitigation Impact on Coverag'!$A$7:$MY$53,BG$2,FALSE)*BG$9,"")</f>
        <v/>
      </c>
      <c r="BH32" s="15" t="str">
        <f>IFERROR(VLOOKUP($A32,'[1]3. Mitigation Impact on Coverag'!$A$7:$MY$53,BH$2,FALSE)*BH$9,"")</f>
        <v/>
      </c>
      <c r="BI32" s="15" t="str">
        <f>IFERROR(VLOOKUP($A32,'[1]3. Mitigation Impact on Coverag'!$A$7:$MY$53,BI$2,FALSE)*BI$9,"")</f>
        <v/>
      </c>
      <c r="BJ32" s="19" t="str">
        <f>IFERROR(VLOOKUP($A32,'[1]3. Mitigation Impact on Coverag'!$A$7:$MY$53,BJ$2,FALSE)*BJ$9,"")</f>
        <v/>
      </c>
      <c r="BK32" s="40" t="str">
        <f>IFERROR(VLOOKUP($A32,'[1]3. Mitigation Impact on Coverag'!$A$7:$MY$53,BK$2,FALSE)*BK$9,"")</f>
        <v/>
      </c>
      <c r="BL32" s="41" t="str">
        <f>IFERROR(VLOOKUP($A32,'[1]3. Mitigation Impact on Coverag'!$A$7:$MY$53,BL$2,FALSE)*BL$9,"")</f>
        <v/>
      </c>
      <c r="BM32" s="51" t="str">
        <f>IFERROR(VLOOKUP($A32,'[1]3. Mitigation Impact on Coverag'!$A$7:$MY$53,BM$2,FALSE)*BM$9,"")</f>
        <v/>
      </c>
      <c r="BN32" s="52" t="str">
        <f t="shared" si="43"/>
        <v/>
      </c>
      <c r="BO32" s="52">
        <f t="shared" si="44"/>
        <v>0</v>
      </c>
      <c r="BP32" s="52">
        <f t="shared" si="45"/>
        <v>0</v>
      </c>
      <c r="BQ32" s="52">
        <f t="shared" si="46"/>
        <v>0</v>
      </c>
      <c r="BR32" s="52">
        <f t="shared" si="47"/>
        <v>0</v>
      </c>
      <c r="BS32" s="52">
        <f t="shared" si="48"/>
        <v>0</v>
      </c>
      <c r="BT32" s="52">
        <f t="shared" si="49"/>
        <v>0</v>
      </c>
      <c r="BU32" s="52">
        <f t="shared" si="50"/>
        <v>0</v>
      </c>
      <c r="BV32" s="52" t="str">
        <f t="shared" si="51"/>
        <v/>
      </c>
      <c r="BW32" s="94">
        <f t="shared" si="52"/>
        <v>0</v>
      </c>
      <c r="BX32" s="95">
        <f t="shared" si="53"/>
        <v>0</v>
      </c>
    </row>
    <row r="33" spans="1:83" s="2" customFormat="1">
      <c r="A33" s="106" t="s">
        <v>4</v>
      </c>
      <c r="B33" s="9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8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22"/>
      <c r="AF33" s="22"/>
      <c r="AG33" s="10"/>
      <c r="AH33" s="27"/>
      <c r="AI33" s="27"/>
      <c r="AJ33" s="11"/>
      <c r="AK33" s="11"/>
      <c r="AL33" s="11"/>
      <c r="AM33" s="11"/>
      <c r="AN33" s="11"/>
      <c r="AO33" s="11"/>
      <c r="AP33" s="10"/>
      <c r="AQ33" s="11"/>
      <c r="AR33" s="18"/>
      <c r="AS33" s="27"/>
      <c r="AT33" s="11"/>
      <c r="AU33" s="11"/>
      <c r="AV33" s="11"/>
      <c r="AW33" s="11"/>
      <c r="AX33" s="11"/>
      <c r="AY33" s="11"/>
      <c r="AZ33" s="11"/>
      <c r="BA33" s="11"/>
      <c r="BB33" s="22"/>
      <c r="BC33" s="10"/>
      <c r="BD33" s="11"/>
      <c r="BE33" s="11"/>
      <c r="BF33" s="11"/>
      <c r="BG33" s="11"/>
      <c r="BH33" s="11"/>
      <c r="BI33" s="11"/>
      <c r="BJ33" s="18"/>
      <c r="BK33" s="10"/>
      <c r="BL33" s="18"/>
      <c r="BM33" s="22"/>
      <c r="BN33" s="49"/>
      <c r="BO33" s="49"/>
      <c r="BP33" s="49"/>
      <c r="BQ33" s="49"/>
      <c r="BR33" s="50"/>
      <c r="BS33" s="50"/>
      <c r="BT33" s="50"/>
      <c r="BU33" s="55"/>
      <c r="BV33" s="55"/>
      <c r="BW33" s="93"/>
      <c r="BX33" s="93"/>
    </row>
    <row r="34" spans="1:83" s="2" customFormat="1" ht="28.5">
      <c r="A34" s="96" t="s">
        <v>97</v>
      </c>
      <c r="B34" s="13" t="str">
        <f>IFERROR(VLOOKUP($A34,'[1]3. Mitigation Impact on Coverag'!$A$7:$MY$53,B$2,FALSE)*B$9,"")</f>
        <v/>
      </c>
      <c r="C34" s="14" t="str">
        <f>IFERROR(VLOOKUP($A34,'[1]3. Mitigation Impact on Coverag'!$A$7:$MY$53,C$2,FALSE)*C$9,"")</f>
        <v/>
      </c>
      <c r="D34" s="15" t="str">
        <f>IFERROR(VLOOKUP($A34,'[1]3. Mitigation Impact on Coverag'!$A$7:$MY$53,D$2,FALSE)*D$9,"")</f>
        <v/>
      </c>
      <c r="E34" s="15" t="str">
        <f>IFERROR(VLOOKUP($A34,'[1]3. Mitigation Impact on Coverag'!$A$7:$MY$53,E$2,FALSE)*E$9,"")</f>
        <v/>
      </c>
      <c r="F34" s="15" t="str">
        <f>IFERROR(VLOOKUP($A34,'[1]3. Mitigation Impact on Coverag'!$A$7:$MY$53,F$2,FALSE)*F$9,"")</f>
        <v/>
      </c>
      <c r="G34" s="15" t="str">
        <f>IFERROR(VLOOKUP($A34,'[1]3. Mitigation Impact on Coverag'!$A$7:$MY$53,G$2,FALSE)*G$9,"")</f>
        <v/>
      </c>
      <c r="H34" s="15" t="str">
        <f>IFERROR(VLOOKUP($A34,'[1]3. Mitigation Impact on Coverag'!$A$7:$MY$53,H$2,FALSE)*H$9,"")</f>
        <v/>
      </c>
      <c r="I34" s="15" t="str">
        <f>IFERROR(VLOOKUP($A34,'[1]3. Mitigation Impact on Coverag'!$A$7:$MY$53,I$2,FALSE)*I$9,"")</f>
        <v/>
      </c>
      <c r="J34" s="15" t="str">
        <f>IFERROR(VLOOKUP($A34,'[1]3. Mitigation Impact on Coverag'!$A$7:$MY$53,J$2,FALSE)*J$9,"")</f>
        <v/>
      </c>
      <c r="K34" s="15" t="str">
        <f>IFERROR(VLOOKUP($A34,'[1]3. Mitigation Impact on Coverag'!$A$7:$MY$53,K$2,FALSE)*K$9,"")</f>
        <v/>
      </c>
      <c r="L34" s="15" t="str">
        <f>IFERROR(VLOOKUP($A34,'[1]3. Mitigation Impact on Coverag'!$A$7:$MY$53,L$2,FALSE)*L$9,"")</f>
        <v/>
      </c>
      <c r="M34" s="15" t="str">
        <f>IFERROR(VLOOKUP($A34,'[1]3. Mitigation Impact on Coverag'!$A$7:$MY$53,M$2,FALSE)*M$9,"")</f>
        <v/>
      </c>
      <c r="N34" s="15" t="str">
        <f>IFERROR(VLOOKUP($A34,'[1]3. Mitigation Impact on Coverag'!$A$7:$MY$53,N$2,FALSE)*N$9,"")</f>
        <v/>
      </c>
      <c r="O34" s="19" t="str">
        <f>IFERROR(VLOOKUP($A34,'[1]3. Mitigation Impact on Coverag'!$A$7:$MY$53,O$2,FALSE)*O$9,"")</f>
        <v/>
      </c>
      <c r="P34" s="14" t="str">
        <f>IFERROR(VLOOKUP($A34,'[1]3. Mitigation Impact on Coverag'!$A$7:$MY$53,P$2,FALSE)*P$9,"")</f>
        <v/>
      </c>
      <c r="Q34" s="15" t="str">
        <f>IFERROR(VLOOKUP($A34,'[1]3. Mitigation Impact on Coverag'!$A$7:$MY$53,Q$2,FALSE)*Q$9,"")</f>
        <v/>
      </c>
      <c r="R34" s="15" t="str">
        <f>IFERROR(VLOOKUP($A34,'[1]3. Mitigation Impact on Coverag'!$A$7:$MY$53,R$2,FALSE)*R$9,"")</f>
        <v/>
      </c>
      <c r="S34" s="15" t="str">
        <f>IFERROR(VLOOKUP($A34,'[1]3. Mitigation Impact on Coverag'!$A$7:$MY$53,S$2,FALSE)*S$9,"")</f>
        <v/>
      </c>
      <c r="T34" s="15" t="str">
        <f>IFERROR(VLOOKUP($A34,'[1]3. Mitigation Impact on Coverag'!$A$7:$MY$53,T$2,FALSE)*T$9,"")</f>
        <v/>
      </c>
      <c r="U34" s="15" t="str">
        <f>IFERROR(VLOOKUP($A34,'[1]3. Mitigation Impact on Coverag'!$A$7:$MY$53,U$2,FALSE)*U$9,"")</f>
        <v/>
      </c>
      <c r="V34" s="15" t="str">
        <f>IFERROR(VLOOKUP($A34,'[1]3. Mitigation Impact on Coverag'!$A$7:$MY$53,V$2,FALSE)*V$9,"")</f>
        <v/>
      </c>
      <c r="W34" s="15" t="str">
        <f>IFERROR(VLOOKUP($A34,'[1]3. Mitigation Impact on Coverag'!$A$7:$MY$53,W$2,FALSE)*W$9,"")</f>
        <v/>
      </c>
      <c r="X34" s="15" t="str">
        <f>IFERROR(VLOOKUP($A34,'[1]3. Mitigation Impact on Coverag'!$A$7:$MY$53,X$2,FALSE)*X$9,"")</f>
        <v/>
      </c>
      <c r="Y34" s="15" t="str">
        <f>IFERROR(VLOOKUP($A34,'[1]3. Mitigation Impact on Coverag'!$A$7:$MY$53,Y$2,FALSE)*Y$9,"")</f>
        <v/>
      </c>
      <c r="Z34" s="15" t="str">
        <f>IFERROR(VLOOKUP($A34,'[1]3. Mitigation Impact on Coverag'!$A$7:$MY$53,Z$2,FALSE)*Z$9,"")</f>
        <v/>
      </c>
      <c r="AA34" s="15" t="str">
        <f>IFERROR(VLOOKUP($A34,'[1]3. Mitigation Impact on Coverag'!$A$7:$MY$53,AA$2,FALSE)*AA$9,"")</f>
        <v/>
      </c>
      <c r="AB34" s="15" t="str">
        <f>IFERROR(VLOOKUP($A34,'[1]3. Mitigation Impact on Coverag'!$A$7:$MY$53,AB$2,FALSE)*AB$9,"")</f>
        <v/>
      </c>
      <c r="AC34" s="15" t="str">
        <f>IFERROR(VLOOKUP($A34,'[1]3. Mitigation Impact on Coverag'!$A$7:$MY$53,AC$2,FALSE)*AC$9,"")</f>
        <v/>
      </c>
      <c r="AD34" s="15" t="str">
        <f>IFERROR(VLOOKUP($A34,'[1]3. Mitigation Impact on Coverag'!$A$7:$MY$53,AD$2,FALSE)*AD$9,"")</f>
        <v/>
      </c>
      <c r="AE34" s="15" t="str">
        <f>IFERROR(VLOOKUP($A34,'[1]3. Mitigation Impact on Coverag'!$A$7:$MY$53,AE$2,FALSE)*AE$9,"")</f>
        <v/>
      </c>
      <c r="AF34" s="23" t="str">
        <f>IFERROR(VLOOKUP($A34,'[1]3. Mitigation Impact on Coverag'!$A$7:$MY$53,AF$2,FALSE)*AF$9,"")</f>
        <v/>
      </c>
      <c r="AG34" s="14">
        <f>IFERROR(VLOOKUP($A34,'[1]3. Mitigation Impact on Coverag'!$A$7:$MY$53,AG$2,FALSE)*AG$9,"")</f>
        <v>27.5</v>
      </c>
      <c r="AH34" s="28">
        <f>IFERROR(VLOOKUP($A34,'[1]3. Mitigation Impact on Coverag'!$A$7:$MY$53,AH$2,FALSE)*AH$9,"")</f>
        <v>46.052631578947398</v>
      </c>
      <c r="AI34" s="28">
        <f>IFERROR(VLOOKUP($A34,'[1]3. Mitigation Impact on Coverag'!$A$7:$MY$53,AI$2,FALSE)*AI$9,"")</f>
        <v>38.157894736842103</v>
      </c>
      <c r="AJ34" s="15">
        <f>IFERROR(VLOOKUP($A34,'[1]3. Mitigation Impact on Coverag'!$A$7:$MY$53,AJ$2,FALSE)*AJ$9,"")</f>
        <v>31.184210526315798</v>
      </c>
      <c r="AK34" s="15">
        <f>IFERROR(VLOOKUP($A34,'[1]3. Mitigation Impact on Coverag'!$A$7:$MY$53,AK$2,FALSE)*AK$9,"")</f>
        <v>0</v>
      </c>
      <c r="AL34" s="15">
        <f>IFERROR(VLOOKUP($A34,'[1]3. Mitigation Impact on Coverag'!$A$7:$MY$53,AL$2,FALSE)*AL$9,"")</f>
        <v>0</v>
      </c>
      <c r="AM34" s="15">
        <f>IFERROR(VLOOKUP($A34,'[1]3. Mitigation Impact on Coverag'!$A$7:$MY$53,AM$2,FALSE)*AM$9,"")</f>
        <v>0</v>
      </c>
      <c r="AN34" s="15">
        <f>IFERROR(VLOOKUP($A34,'[1]3. Mitigation Impact on Coverag'!$A$7:$MY$53,AN$2,FALSE)*AN$9,"")</f>
        <v>160.52631578947401</v>
      </c>
      <c r="AO34" s="15">
        <f>IFERROR(VLOOKUP($A34,'[1]3. Mitigation Impact on Coverag'!$A$7:$MY$53,AO$2,FALSE)*AO$9,"")</f>
        <v>0</v>
      </c>
      <c r="AP34" s="14" t="str">
        <f>IFERROR(VLOOKUP($A34,'[1]3. Mitigation Impact on Coverag'!$A$7:$MY$53,AP$2,FALSE)*AP$9,"")</f>
        <v/>
      </c>
      <c r="AQ34" s="15" t="str">
        <f>IFERROR(VLOOKUP($A34,'[1]3. Mitigation Impact on Coverag'!$A$7:$MY$53,AQ$2,FALSE)*AQ$9,"")</f>
        <v/>
      </c>
      <c r="AR34" s="19" t="str">
        <f>IFERROR(VLOOKUP($A34,'[1]3. Mitigation Impact on Coverag'!$A$7:$MY$53,AR$2,FALSE)*AR$9,"")</f>
        <v/>
      </c>
      <c r="AS34" s="28" t="str">
        <f>IFERROR(VLOOKUP($A34,'[1]3. Mitigation Impact on Coverag'!$A$7:$MY$53,AS$2,FALSE)*AS$9,"")</f>
        <v/>
      </c>
      <c r="AT34" s="15" t="str">
        <f>IFERROR(VLOOKUP($A34,'[1]3. Mitigation Impact on Coverag'!$A$7:$MY$53,AT$2,FALSE)*AT$9,"")</f>
        <v/>
      </c>
      <c r="AU34" s="15" t="str">
        <f>IFERROR(VLOOKUP($A34,'[1]3. Mitigation Impact on Coverag'!$A$7:$MY$53,AU$2,FALSE)*AU$9,"")</f>
        <v/>
      </c>
      <c r="AV34" s="15" t="str">
        <f>IFERROR(VLOOKUP($A34,'[1]3. Mitigation Impact on Coverag'!$A$7:$MY$53,AV$2,FALSE)*AV$9,"")</f>
        <v/>
      </c>
      <c r="AW34" s="15" t="str">
        <f>IFERROR(VLOOKUP($A34,'[1]3. Mitigation Impact on Coverag'!$A$7:$MY$53,AW$2,FALSE)*AW$9,"")</f>
        <v/>
      </c>
      <c r="AX34" s="15" t="str">
        <f>IFERROR(VLOOKUP($A34,'[1]3. Mitigation Impact on Coverag'!$A$7:$MY$53,AX$2,FALSE)*AX$9,"")</f>
        <v/>
      </c>
      <c r="AY34" s="15" t="str">
        <f>IFERROR(VLOOKUP($A34,'[1]3. Mitigation Impact on Coverag'!$A$7:$MY$53,AY$2,FALSE)*AY$9,"")</f>
        <v/>
      </c>
      <c r="AZ34" s="15" t="str">
        <f>IFERROR(VLOOKUP($A34,'[1]3. Mitigation Impact on Coverag'!$A$7:$MY$53,AZ$2,FALSE)*AZ$9,"")</f>
        <v/>
      </c>
      <c r="BA34" s="15" t="str">
        <f>IFERROR(VLOOKUP($A34,'[1]3. Mitigation Impact on Coverag'!$A$7:$MY$53,BA$2,FALSE)*BA$9,"")</f>
        <v/>
      </c>
      <c r="BB34" s="23" t="str">
        <f>IFERROR(VLOOKUP($A34,'[1]3. Mitigation Impact on Coverag'!$A$7:$MY$53,BB$2,FALSE)*BB$9,"")</f>
        <v/>
      </c>
      <c r="BC34" s="14" t="str">
        <f>IFERROR(VLOOKUP($A34,'[1]3. Mitigation Impact on Coverag'!$A$7:$MY$53,BC$2,FALSE)*BC$9,"")</f>
        <v/>
      </c>
      <c r="BD34" s="15" t="str">
        <f>IFERROR(VLOOKUP($A34,'[1]3. Mitigation Impact on Coverag'!$A$7:$MY$53,BD$2,FALSE)*BD$9,"")</f>
        <v/>
      </c>
      <c r="BE34" s="15" t="str">
        <f>IFERROR(VLOOKUP($A34,'[1]3. Mitigation Impact on Coverag'!$A$7:$MY$53,BE$2,FALSE)*BE$9,"")</f>
        <v/>
      </c>
      <c r="BF34" s="15" t="str">
        <f>IFERROR(VLOOKUP($A34,'[1]3. Mitigation Impact on Coverag'!$A$7:$MY$53,BF$2,FALSE)*BF$9,"")</f>
        <v/>
      </c>
      <c r="BG34" s="15" t="str">
        <f>IFERROR(VLOOKUP($A34,'[1]3. Mitigation Impact on Coverag'!$A$7:$MY$53,BG$2,FALSE)*BG$9,"")</f>
        <v/>
      </c>
      <c r="BH34" s="15" t="str">
        <f>IFERROR(VLOOKUP($A34,'[1]3. Mitigation Impact on Coverag'!$A$7:$MY$53,BH$2,FALSE)*BH$9,"")</f>
        <v/>
      </c>
      <c r="BI34" s="15" t="str">
        <f>IFERROR(VLOOKUP($A34,'[1]3. Mitigation Impact on Coverag'!$A$7:$MY$53,BI$2,FALSE)*BI$9,"")</f>
        <v/>
      </c>
      <c r="BJ34" s="19" t="str">
        <f>IFERROR(VLOOKUP($A34,'[1]3. Mitigation Impact on Coverag'!$A$7:$MY$53,BJ$2,FALSE)*BJ$9,"")</f>
        <v/>
      </c>
      <c r="BK34" s="40" t="str">
        <f>IFERROR(VLOOKUP($A34,'[1]3. Mitigation Impact on Coverag'!$A$7:$MY$53,BK$2,FALSE)*BK$9,"")</f>
        <v/>
      </c>
      <c r="BL34" s="41" t="str">
        <f>IFERROR(VLOOKUP($A34,'[1]3. Mitigation Impact on Coverag'!$A$7:$MY$53,BL$2,FALSE)*BL$9,"")</f>
        <v/>
      </c>
      <c r="BM34" s="51" t="str">
        <f>IFERROR(VLOOKUP($A34,'[1]3. Mitigation Impact on Coverag'!$A$7:$MY$53,BM$2,FALSE)*BM$9,"")</f>
        <v/>
      </c>
      <c r="BN34" s="52" t="str">
        <f t="shared" ref="BN34:BN36" si="54">B34</f>
        <v/>
      </c>
      <c r="BO34" s="52">
        <f t="shared" ref="BO34:BO36" si="55">SUM(C34:O34)</f>
        <v>0</v>
      </c>
      <c r="BP34" s="52">
        <f t="shared" ref="BP34:BP36" si="56">SUM(P34:AF34)</f>
        <v>0</v>
      </c>
      <c r="BQ34" s="52">
        <f t="shared" ref="BQ34:BQ36" si="57">SUM(AG34:AO34)</f>
        <v>303.42105263157902</v>
      </c>
      <c r="BR34" s="52">
        <f t="shared" ref="BR34:BR36" si="58">SUM(AP34:AR34)</f>
        <v>0</v>
      </c>
      <c r="BS34" s="52">
        <f t="shared" ref="BS34:BS36" si="59">SUM(AS34:BB34)</f>
        <v>0</v>
      </c>
      <c r="BT34" s="52">
        <f t="shared" ref="BT34:BT36" si="60">SUM(BC34:BJ34)</f>
        <v>0</v>
      </c>
      <c r="BU34" s="52">
        <f t="shared" ref="BU34:BU36" si="61">SUM(BK34:BL34)</f>
        <v>0</v>
      </c>
      <c r="BV34" s="52" t="str">
        <f t="shared" ref="BV34:BV36" si="62">BM34</f>
        <v/>
      </c>
      <c r="BW34" s="94">
        <f t="shared" ref="BW34:BW36" si="63">SUM(BN34:BV34)</f>
        <v>303.42105263157902</v>
      </c>
      <c r="BX34" s="95">
        <f t="shared" ref="BX34:BX36" si="64">BW34/$BW$9</f>
        <v>9.27893127313697E-2</v>
      </c>
    </row>
    <row r="35" spans="1:83" s="2" customFormat="1">
      <c r="A35" s="12"/>
      <c r="B35" s="13" t="str">
        <f>IFERROR(VLOOKUP($A35,'[1]3. Mitigation Impact on Coverag'!$A$7:$MY$53,B$2,FALSE)*B$9,"")</f>
        <v/>
      </c>
      <c r="C35" s="14" t="str">
        <f>IFERROR(VLOOKUP($A35,'[1]3. Mitigation Impact on Coverag'!$A$7:$MY$53,C$2,FALSE)*C$9,"")</f>
        <v/>
      </c>
      <c r="D35" s="15" t="str">
        <f>IFERROR(VLOOKUP($A35,'[1]3. Mitigation Impact on Coverag'!$A$7:$MY$53,D$2,FALSE)*D$9,"")</f>
        <v/>
      </c>
      <c r="E35" s="15" t="str">
        <f>IFERROR(VLOOKUP($A35,'[1]3. Mitigation Impact on Coverag'!$A$7:$MY$53,E$2,FALSE)*E$9,"")</f>
        <v/>
      </c>
      <c r="F35" s="15" t="str">
        <f>IFERROR(VLOOKUP($A35,'[1]3. Mitigation Impact on Coverag'!$A$7:$MY$53,F$2,FALSE)*F$9,"")</f>
        <v/>
      </c>
      <c r="G35" s="15" t="str">
        <f>IFERROR(VLOOKUP($A35,'[1]3. Mitigation Impact on Coverag'!$A$7:$MY$53,G$2,FALSE)*G$9,"")</f>
        <v/>
      </c>
      <c r="H35" s="15" t="str">
        <f>IFERROR(VLOOKUP($A35,'[1]3. Mitigation Impact on Coverag'!$A$7:$MY$53,H$2,FALSE)*H$9,"")</f>
        <v/>
      </c>
      <c r="I35" s="15" t="str">
        <f>IFERROR(VLOOKUP($A35,'[1]3. Mitigation Impact on Coverag'!$A$7:$MY$53,I$2,FALSE)*I$9,"")</f>
        <v/>
      </c>
      <c r="J35" s="15" t="str">
        <f>IFERROR(VLOOKUP($A35,'[1]3. Mitigation Impact on Coverag'!$A$7:$MY$53,J$2,FALSE)*J$9,"")</f>
        <v/>
      </c>
      <c r="K35" s="15" t="str">
        <f>IFERROR(VLOOKUP($A35,'[1]3. Mitigation Impact on Coverag'!$A$7:$MY$53,K$2,FALSE)*K$9,"")</f>
        <v/>
      </c>
      <c r="L35" s="15" t="str">
        <f>IFERROR(VLOOKUP($A35,'[1]3. Mitigation Impact on Coverag'!$A$7:$MY$53,L$2,FALSE)*L$9,"")</f>
        <v/>
      </c>
      <c r="M35" s="15" t="str">
        <f>IFERROR(VLOOKUP($A35,'[1]3. Mitigation Impact on Coverag'!$A$7:$MY$53,M$2,FALSE)*M$9,"")</f>
        <v/>
      </c>
      <c r="N35" s="15" t="str">
        <f>IFERROR(VLOOKUP($A35,'[1]3. Mitigation Impact on Coverag'!$A$7:$MY$53,N$2,FALSE)*N$9,"")</f>
        <v/>
      </c>
      <c r="O35" s="19" t="str">
        <f>IFERROR(VLOOKUP($A35,'[1]3. Mitigation Impact on Coverag'!$A$7:$MY$53,O$2,FALSE)*O$9,"")</f>
        <v/>
      </c>
      <c r="P35" s="14" t="str">
        <f>IFERROR(VLOOKUP($A35,'[1]3. Mitigation Impact on Coverag'!$A$7:$MY$53,P$2,FALSE)*P$9,"")</f>
        <v/>
      </c>
      <c r="Q35" s="15" t="str">
        <f>IFERROR(VLOOKUP($A35,'[1]3. Mitigation Impact on Coverag'!$A$7:$MY$53,Q$2,FALSE)*Q$9,"")</f>
        <v/>
      </c>
      <c r="R35" s="15" t="str">
        <f>IFERROR(VLOOKUP($A35,'[1]3. Mitigation Impact on Coverag'!$A$7:$MY$53,R$2,FALSE)*R$9,"")</f>
        <v/>
      </c>
      <c r="S35" s="15" t="str">
        <f>IFERROR(VLOOKUP($A35,'[1]3. Mitigation Impact on Coverag'!$A$7:$MY$53,S$2,FALSE)*S$9,"")</f>
        <v/>
      </c>
      <c r="T35" s="15" t="str">
        <f>IFERROR(VLOOKUP($A35,'[1]3. Mitigation Impact on Coverag'!$A$7:$MY$53,T$2,FALSE)*T$9,"")</f>
        <v/>
      </c>
      <c r="U35" s="15" t="str">
        <f>IFERROR(VLOOKUP($A35,'[1]3. Mitigation Impact on Coverag'!$A$7:$MY$53,U$2,FALSE)*U$9,"")</f>
        <v/>
      </c>
      <c r="V35" s="15" t="str">
        <f>IFERROR(VLOOKUP($A35,'[1]3. Mitigation Impact on Coverag'!$A$7:$MY$53,V$2,FALSE)*V$9,"")</f>
        <v/>
      </c>
      <c r="W35" s="15" t="str">
        <f>IFERROR(VLOOKUP($A35,'[1]3. Mitigation Impact on Coverag'!$A$7:$MY$53,W$2,FALSE)*W$9,"")</f>
        <v/>
      </c>
      <c r="X35" s="15" t="str">
        <f>IFERROR(VLOOKUP($A35,'[1]3. Mitigation Impact on Coverag'!$A$7:$MY$53,X$2,FALSE)*X$9,"")</f>
        <v/>
      </c>
      <c r="Y35" s="15" t="str">
        <f>IFERROR(VLOOKUP($A35,'[1]3. Mitigation Impact on Coverag'!$A$7:$MY$53,Y$2,FALSE)*Y$9,"")</f>
        <v/>
      </c>
      <c r="Z35" s="15" t="str">
        <f>IFERROR(VLOOKUP($A35,'[1]3. Mitigation Impact on Coverag'!$A$7:$MY$53,Z$2,FALSE)*Z$9,"")</f>
        <v/>
      </c>
      <c r="AA35" s="15" t="str">
        <f>IFERROR(VLOOKUP($A35,'[1]3. Mitigation Impact on Coverag'!$A$7:$MY$53,AA$2,FALSE)*AA$9,"")</f>
        <v/>
      </c>
      <c r="AB35" s="15" t="str">
        <f>IFERROR(VLOOKUP($A35,'[1]3. Mitigation Impact on Coverag'!$A$7:$MY$53,AB$2,FALSE)*AB$9,"")</f>
        <v/>
      </c>
      <c r="AC35" s="15" t="str">
        <f>IFERROR(VLOOKUP($A35,'[1]3. Mitigation Impact on Coverag'!$A$7:$MY$53,AC$2,FALSE)*AC$9,"")</f>
        <v/>
      </c>
      <c r="AD35" s="15" t="str">
        <f>IFERROR(VLOOKUP($A35,'[1]3. Mitigation Impact on Coverag'!$A$7:$MY$53,AD$2,FALSE)*AD$9,"")</f>
        <v/>
      </c>
      <c r="AE35" s="15" t="str">
        <f>IFERROR(VLOOKUP($A35,'[1]3. Mitigation Impact on Coverag'!$A$7:$MY$53,AE$2,FALSE)*AE$9,"")</f>
        <v/>
      </c>
      <c r="AF35" s="23" t="str">
        <f>IFERROR(VLOOKUP($A35,'[1]3. Mitigation Impact on Coverag'!$A$7:$MY$53,AF$2,FALSE)*AF$9,"")</f>
        <v/>
      </c>
      <c r="AG35" s="14" t="str">
        <f>IFERROR(VLOOKUP($A35,'[1]3. Mitigation Impact on Coverag'!$A$7:$MY$53,AG$2,FALSE)*AG$9,"")</f>
        <v/>
      </c>
      <c r="AH35" s="28" t="str">
        <f>IFERROR(VLOOKUP($A35,'[1]3. Mitigation Impact on Coverag'!$A$7:$MY$53,AH$2,FALSE)*AH$9,"")</f>
        <v/>
      </c>
      <c r="AI35" s="28" t="str">
        <f>IFERROR(VLOOKUP($A35,'[1]3. Mitigation Impact on Coverag'!$A$7:$MY$53,AI$2,FALSE)*AI$9,"")</f>
        <v/>
      </c>
      <c r="AJ35" s="15" t="str">
        <f>IFERROR(VLOOKUP($A35,'[1]3. Mitigation Impact on Coverag'!$A$7:$MY$53,AJ$2,FALSE)*AJ$9,"")</f>
        <v/>
      </c>
      <c r="AK35" s="15" t="str">
        <f>IFERROR(VLOOKUP($A35,'[1]3. Mitigation Impact on Coverag'!$A$7:$MY$53,AK$2,FALSE)*AK$9,"")</f>
        <v/>
      </c>
      <c r="AL35" s="15" t="str">
        <f>IFERROR(VLOOKUP($A35,'[1]3. Mitigation Impact on Coverag'!$A$7:$MY$53,AL$2,FALSE)*AL$9,"")</f>
        <v/>
      </c>
      <c r="AM35" s="15" t="str">
        <f>IFERROR(VLOOKUP($A35,'[1]3. Mitigation Impact on Coverag'!$A$7:$MY$53,AM$2,FALSE)*AM$9,"")</f>
        <v/>
      </c>
      <c r="AN35" s="15" t="str">
        <f>IFERROR(VLOOKUP($A35,'[1]3. Mitigation Impact on Coverag'!$A$7:$MY$53,AN$2,FALSE)*AN$9,"")</f>
        <v/>
      </c>
      <c r="AO35" s="15" t="str">
        <f>IFERROR(VLOOKUP($A35,'[1]3. Mitigation Impact on Coverag'!$A$7:$MY$53,AO$2,FALSE)*AO$9,"")</f>
        <v/>
      </c>
      <c r="AP35" s="14" t="str">
        <f>IFERROR(VLOOKUP($A35,'[1]3. Mitigation Impact on Coverag'!$A$7:$MY$53,AP$2,FALSE)*AP$9,"")</f>
        <v/>
      </c>
      <c r="AQ35" s="15" t="str">
        <f>IFERROR(VLOOKUP($A35,'[1]3. Mitigation Impact on Coverag'!$A$7:$MY$53,AQ$2,FALSE)*AQ$9,"")</f>
        <v/>
      </c>
      <c r="AR35" s="19" t="str">
        <f>IFERROR(VLOOKUP($A35,'[1]3. Mitigation Impact on Coverag'!$A$7:$MY$53,AR$2,FALSE)*AR$9,"")</f>
        <v/>
      </c>
      <c r="AS35" s="28" t="str">
        <f>IFERROR(VLOOKUP($A35,'[1]3. Mitigation Impact on Coverag'!$A$7:$MY$53,AS$2,FALSE)*AS$9,"")</f>
        <v/>
      </c>
      <c r="AT35" s="15" t="str">
        <f>IFERROR(VLOOKUP($A35,'[1]3. Mitigation Impact on Coverag'!$A$7:$MY$53,AT$2,FALSE)*AT$9,"")</f>
        <v/>
      </c>
      <c r="AU35" s="15" t="str">
        <f>IFERROR(VLOOKUP($A35,'[1]3. Mitigation Impact on Coverag'!$A$7:$MY$53,AU$2,FALSE)*AU$9,"")</f>
        <v/>
      </c>
      <c r="AV35" s="15" t="str">
        <f>IFERROR(VLOOKUP($A35,'[1]3. Mitigation Impact on Coverag'!$A$7:$MY$53,AV$2,FALSE)*AV$9,"")</f>
        <v/>
      </c>
      <c r="AW35" s="15" t="str">
        <f>IFERROR(VLOOKUP($A35,'[1]3. Mitigation Impact on Coverag'!$A$7:$MY$53,AW$2,FALSE)*AW$9,"")</f>
        <v/>
      </c>
      <c r="AX35" s="15" t="str">
        <f>IFERROR(VLOOKUP($A35,'[1]3. Mitigation Impact on Coverag'!$A$7:$MY$53,AX$2,FALSE)*AX$9,"")</f>
        <v/>
      </c>
      <c r="AY35" s="15" t="str">
        <f>IFERROR(VLOOKUP($A35,'[1]3. Mitigation Impact on Coverag'!$A$7:$MY$53,AY$2,FALSE)*AY$9,"")</f>
        <v/>
      </c>
      <c r="AZ35" s="15" t="str">
        <f>IFERROR(VLOOKUP($A35,'[1]3. Mitigation Impact on Coverag'!$A$7:$MY$53,AZ$2,FALSE)*AZ$9,"")</f>
        <v/>
      </c>
      <c r="BA35" s="15" t="str">
        <f>IFERROR(VLOOKUP($A35,'[1]3. Mitigation Impact on Coverag'!$A$7:$MY$53,BA$2,FALSE)*BA$9,"")</f>
        <v/>
      </c>
      <c r="BB35" s="23" t="str">
        <f>IFERROR(VLOOKUP($A35,'[1]3. Mitigation Impact on Coverag'!$A$7:$MY$53,BB$2,FALSE)*BB$9,"")</f>
        <v/>
      </c>
      <c r="BC35" s="14" t="str">
        <f>IFERROR(VLOOKUP($A35,'[1]3. Mitigation Impact on Coverag'!$A$7:$MY$53,BC$2,FALSE)*BC$9,"")</f>
        <v/>
      </c>
      <c r="BD35" s="15" t="str">
        <f>IFERROR(VLOOKUP($A35,'[1]3. Mitigation Impact on Coverag'!$A$7:$MY$53,BD$2,FALSE)*BD$9,"")</f>
        <v/>
      </c>
      <c r="BE35" s="15" t="str">
        <f>IFERROR(VLOOKUP($A35,'[1]3. Mitigation Impact on Coverag'!$A$7:$MY$53,BE$2,FALSE)*BE$9,"")</f>
        <v/>
      </c>
      <c r="BF35" s="15" t="str">
        <f>IFERROR(VLOOKUP($A35,'[1]3. Mitigation Impact on Coverag'!$A$7:$MY$53,BF$2,FALSE)*BF$9,"")</f>
        <v/>
      </c>
      <c r="BG35" s="15" t="str">
        <f>IFERROR(VLOOKUP($A35,'[1]3. Mitigation Impact on Coverag'!$A$7:$MY$53,BG$2,FALSE)*BG$9,"")</f>
        <v/>
      </c>
      <c r="BH35" s="15" t="str">
        <f>IFERROR(VLOOKUP($A35,'[1]3. Mitigation Impact on Coverag'!$A$7:$MY$53,BH$2,FALSE)*BH$9,"")</f>
        <v/>
      </c>
      <c r="BI35" s="15" t="str">
        <f>IFERROR(VLOOKUP($A35,'[1]3. Mitigation Impact on Coverag'!$A$7:$MY$53,BI$2,FALSE)*BI$9,"")</f>
        <v/>
      </c>
      <c r="BJ35" s="19" t="str">
        <f>IFERROR(VLOOKUP($A35,'[1]3. Mitigation Impact on Coverag'!$A$7:$MY$53,BJ$2,FALSE)*BJ$9,"")</f>
        <v/>
      </c>
      <c r="BK35" s="40" t="str">
        <f>IFERROR(VLOOKUP($A35,'[1]3. Mitigation Impact on Coverag'!$A$7:$MY$53,BK$2,FALSE)*BK$9,"")</f>
        <v/>
      </c>
      <c r="BL35" s="41" t="str">
        <f>IFERROR(VLOOKUP($A35,'[1]3. Mitigation Impact on Coverag'!$A$7:$MY$53,BL$2,FALSE)*BL$9,"")</f>
        <v/>
      </c>
      <c r="BM35" s="51" t="str">
        <f>IFERROR(VLOOKUP($A35,'[1]3. Mitigation Impact on Coverag'!$A$7:$MY$53,BM$2,FALSE)*BM$9,"")</f>
        <v/>
      </c>
      <c r="BN35" s="52" t="str">
        <f t="shared" si="54"/>
        <v/>
      </c>
      <c r="BO35" s="52">
        <f t="shared" si="55"/>
        <v>0</v>
      </c>
      <c r="BP35" s="52">
        <f t="shared" si="56"/>
        <v>0</v>
      </c>
      <c r="BQ35" s="52">
        <f t="shared" si="57"/>
        <v>0</v>
      </c>
      <c r="BR35" s="52">
        <f t="shared" si="58"/>
        <v>0</v>
      </c>
      <c r="BS35" s="52">
        <f t="shared" si="59"/>
        <v>0</v>
      </c>
      <c r="BT35" s="52">
        <f t="shared" si="60"/>
        <v>0</v>
      </c>
      <c r="BU35" s="52">
        <f t="shared" si="61"/>
        <v>0</v>
      </c>
      <c r="BV35" s="52" t="str">
        <f t="shared" si="62"/>
        <v/>
      </c>
      <c r="BW35" s="94">
        <f t="shared" si="63"/>
        <v>0</v>
      </c>
      <c r="BX35" s="95">
        <f t="shared" si="64"/>
        <v>0</v>
      </c>
    </row>
    <row r="36" spans="1:83" s="2" customFormat="1">
      <c r="A36" s="12"/>
      <c r="B36" s="13" t="str">
        <f>IFERROR(VLOOKUP($A36,'[1]3. Mitigation Impact on Coverag'!$A$7:$MY$53,B$2,FALSE)*B$9,"")</f>
        <v/>
      </c>
      <c r="C36" s="14" t="str">
        <f>IFERROR(VLOOKUP($A36,'[1]3. Mitigation Impact on Coverag'!$A$7:$MY$53,C$2,FALSE)*C$9,"")</f>
        <v/>
      </c>
      <c r="D36" s="15" t="str">
        <f>IFERROR(VLOOKUP($A36,'[1]3. Mitigation Impact on Coverag'!$A$7:$MY$53,D$2,FALSE)*D$9,"")</f>
        <v/>
      </c>
      <c r="E36" s="15" t="str">
        <f>IFERROR(VLOOKUP($A36,'[1]3. Mitigation Impact on Coverag'!$A$7:$MY$53,E$2,FALSE)*E$9,"")</f>
        <v/>
      </c>
      <c r="F36" s="15" t="str">
        <f>IFERROR(VLOOKUP($A36,'[1]3. Mitigation Impact on Coverag'!$A$7:$MY$53,F$2,FALSE)*F$9,"")</f>
        <v/>
      </c>
      <c r="G36" s="15" t="str">
        <f>IFERROR(VLOOKUP($A36,'[1]3. Mitigation Impact on Coverag'!$A$7:$MY$53,G$2,FALSE)*G$9,"")</f>
        <v/>
      </c>
      <c r="H36" s="15" t="str">
        <f>IFERROR(VLOOKUP($A36,'[1]3. Mitigation Impact on Coverag'!$A$7:$MY$53,H$2,FALSE)*H$9,"")</f>
        <v/>
      </c>
      <c r="I36" s="15" t="str">
        <f>IFERROR(VLOOKUP($A36,'[1]3. Mitigation Impact on Coverag'!$A$7:$MY$53,I$2,FALSE)*I$9,"")</f>
        <v/>
      </c>
      <c r="J36" s="15" t="str">
        <f>IFERROR(VLOOKUP($A36,'[1]3. Mitigation Impact on Coverag'!$A$7:$MY$53,J$2,FALSE)*J$9,"")</f>
        <v/>
      </c>
      <c r="K36" s="15" t="str">
        <f>IFERROR(VLOOKUP($A36,'[1]3. Mitigation Impact on Coverag'!$A$7:$MY$53,K$2,FALSE)*K$9,"")</f>
        <v/>
      </c>
      <c r="L36" s="15" t="str">
        <f>IFERROR(VLOOKUP($A36,'[1]3. Mitigation Impact on Coverag'!$A$7:$MY$53,L$2,FALSE)*L$9,"")</f>
        <v/>
      </c>
      <c r="M36" s="15" t="str">
        <f>IFERROR(VLOOKUP($A36,'[1]3. Mitigation Impact on Coverag'!$A$7:$MY$53,M$2,FALSE)*M$9,"")</f>
        <v/>
      </c>
      <c r="N36" s="15" t="str">
        <f>IFERROR(VLOOKUP($A36,'[1]3. Mitigation Impact on Coverag'!$A$7:$MY$53,N$2,FALSE)*N$9,"")</f>
        <v/>
      </c>
      <c r="O36" s="19" t="str">
        <f>IFERROR(VLOOKUP($A36,'[1]3. Mitigation Impact on Coverag'!$A$7:$MY$53,O$2,FALSE)*O$9,"")</f>
        <v/>
      </c>
      <c r="P36" s="14" t="str">
        <f>IFERROR(VLOOKUP($A36,'[1]3. Mitigation Impact on Coverag'!$A$7:$MY$53,P$2,FALSE)*P$9,"")</f>
        <v/>
      </c>
      <c r="Q36" s="15" t="str">
        <f>IFERROR(VLOOKUP($A36,'[1]3. Mitigation Impact on Coverag'!$A$7:$MY$53,Q$2,FALSE)*Q$9,"")</f>
        <v/>
      </c>
      <c r="R36" s="15" t="str">
        <f>IFERROR(VLOOKUP($A36,'[1]3. Mitigation Impact on Coverag'!$A$7:$MY$53,R$2,FALSE)*R$9,"")</f>
        <v/>
      </c>
      <c r="S36" s="15" t="str">
        <f>IFERROR(VLOOKUP($A36,'[1]3. Mitigation Impact on Coverag'!$A$7:$MY$53,S$2,FALSE)*S$9,"")</f>
        <v/>
      </c>
      <c r="T36" s="15" t="str">
        <f>IFERROR(VLOOKUP($A36,'[1]3. Mitigation Impact on Coverag'!$A$7:$MY$53,T$2,FALSE)*T$9,"")</f>
        <v/>
      </c>
      <c r="U36" s="15" t="str">
        <f>IFERROR(VLOOKUP($A36,'[1]3. Mitigation Impact on Coverag'!$A$7:$MY$53,U$2,FALSE)*U$9,"")</f>
        <v/>
      </c>
      <c r="V36" s="15" t="str">
        <f>IFERROR(VLOOKUP($A36,'[1]3. Mitigation Impact on Coverag'!$A$7:$MY$53,V$2,FALSE)*V$9,"")</f>
        <v/>
      </c>
      <c r="W36" s="15" t="str">
        <f>IFERROR(VLOOKUP($A36,'[1]3. Mitigation Impact on Coverag'!$A$7:$MY$53,W$2,FALSE)*W$9,"")</f>
        <v/>
      </c>
      <c r="X36" s="15" t="str">
        <f>IFERROR(VLOOKUP($A36,'[1]3. Mitigation Impact on Coverag'!$A$7:$MY$53,X$2,FALSE)*X$9,"")</f>
        <v/>
      </c>
      <c r="Y36" s="15" t="str">
        <f>IFERROR(VLOOKUP($A36,'[1]3. Mitigation Impact on Coverag'!$A$7:$MY$53,Y$2,FALSE)*Y$9,"")</f>
        <v/>
      </c>
      <c r="Z36" s="15" t="str">
        <f>IFERROR(VLOOKUP($A36,'[1]3. Mitigation Impact on Coverag'!$A$7:$MY$53,Z$2,FALSE)*Z$9,"")</f>
        <v/>
      </c>
      <c r="AA36" s="15" t="str">
        <f>IFERROR(VLOOKUP($A36,'[1]3. Mitigation Impact on Coverag'!$A$7:$MY$53,AA$2,FALSE)*AA$9,"")</f>
        <v/>
      </c>
      <c r="AB36" s="15" t="str">
        <f>IFERROR(VLOOKUP($A36,'[1]3. Mitigation Impact on Coverag'!$A$7:$MY$53,AB$2,FALSE)*AB$9,"")</f>
        <v/>
      </c>
      <c r="AC36" s="15" t="str">
        <f>IFERROR(VLOOKUP($A36,'[1]3. Mitigation Impact on Coverag'!$A$7:$MY$53,AC$2,FALSE)*AC$9,"")</f>
        <v/>
      </c>
      <c r="AD36" s="15" t="str">
        <f>IFERROR(VLOOKUP($A36,'[1]3. Mitigation Impact on Coverag'!$A$7:$MY$53,AD$2,FALSE)*AD$9,"")</f>
        <v/>
      </c>
      <c r="AE36" s="15" t="str">
        <f>IFERROR(VLOOKUP($A36,'[1]3. Mitigation Impact on Coverag'!$A$7:$MY$53,AE$2,FALSE)*AE$9,"")</f>
        <v/>
      </c>
      <c r="AF36" s="23" t="str">
        <f>IFERROR(VLOOKUP($A36,'[1]3. Mitigation Impact on Coverag'!$A$7:$MY$53,AF$2,FALSE)*AF$9,"")</f>
        <v/>
      </c>
      <c r="AG36" s="14" t="str">
        <f>IFERROR(VLOOKUP($A36,'[1]3. Mitigation Impact on Coverag'!$A$7:$MY$53,AG$2,FALSE)*AG$9,"")</f>
        <v/>
      </c>
      <c r="AH36" s="28" t="str">
        <f>IFERROR(VLOOKUP($A36,'[1]3. Mitigation Impact on Coverag'!$A$7:$MY$53,AH$2,FALSE)*AH$9,"")</f>
        <v/>
      </c>
      <c r="AI36" s="28" t="str">
        <f>IFERROR(VLOOKUP($A36,'[1]3. Mitigation Impact on Coverag'!$A$7:$MY$53,AI$2,FALSE)*AI$9,"")</f>
        <v/>
      </c>
      <c r="AJ36" s="15" t="str">
        <f>IFERROR(VLOOKUP($A36,'[1]3. Mitigation Impact on Coverag'!$A$7:$MY$53,AJ$2,FALSE)*AJ$9,"")</f>
        <v/>
      </c>
      <c r="AK36" s="15" t="str">
        <f>IFERROR(VLOOKUP($A36,'[1]3. Mitigation Impact on Coverag'!$A$7:$MY$53,AK$2,FALSE)*AK$9,"")</f>
        <v/>
      </c>
      <c r="AL36" s="15" t="str">
        <f>IFERROR(VLOOKUP($A36,'[1]3. Mitigation Impact on Coverag'!$A$7:$MY$53,AL$2,FALSE)*AL$9,"")</f>
        <v/>
      </c>
      <c r="AM36" s="15" t="str">
        <f>IFERROR(VLOOKUP($A36,'[1]3. Mitigation Impact on Coverag'!$A$7:$MY$53,AM$2,FALSE)*AM$9,"")</f>
        <v/>
      </c>
      <c r="AN36" s="15" t="str">
        <f>IFERROR(VLOOKUP($A36,'[1]3. Mitigation Impact on Coverag'!$A$7:$MY$53,AN$2,FALSE)*AN$9,"")</f>
        <v/>
      </c>
      <c r="AO36" s="15" t="str">
        <f>IFERROR(VLOOKUP($A36,'[1]3. Mitigation Impact on Coverag'!$A$7:$MY$53,AO$2,FALSE)*AO$9,"")</f>
        <v/>
      </c>
      <c r="AP36" s="14" t="str">
        <f>IFERROR(VLOOKUP($A36,'[1]3. Mitigation Impact on Coverag'!$A$7:$MY$53,AP$2,FALSE)*AP$9,"")</f>
        <v/>
      </c>
      <c r="AQ36" s="15" t="str">
        <f>IFERROR(VLOOKUP($A36,'[1]3. Mitigation Impact on Coverag'!$A$7:$MY$53,AQ$2,FALSE)*AQ$9,"")</f>
        <v/>
      </c>
      <c r="AR36" s="19" t="str">
        <f>IFERROR(VLOOKUP($A36,'[1]3. Mitigation Impact on Coverag'!$A$7:$MY$53,AR$2,FALSE)*AR$9,"")</f>
        <v/>
      </c>
      <c r="AS36" s="28" t="str">
        <f>IFERROR(VLOOKUP($A36,'[1]3. Mitigation Impact on Coverag'!$A$7:$MY$53,AS$2,FALSE)*AS$9,"")</f>
        <v/>
      </c>
      <c r="AT36" s="15" t="str">
        <f>IFERROR(VLOOKUP($A36,'[1]3. Mitigation Impact on Coverag'!$A$7:$MY$53,AT$2,FALSE)*AT$9,"")</f>
        <v/>
      </c>
      <c r="AU36" s="15" t="str">
        <f>IFERROR(VLOOKUP($A36,'[1]3. Mitigation Impact on Coverag'!$A$7:$MY$53,AU$2,FALSE)*AU$9,"")</f>
        <v/>
      </c>
      <c r="AV36" s="15" t="str">
        <f>IFERROR(VLOOKUP($A36,'[1]3. Mitigation Impact on Coverag'!$A$7:$MY$53,AV$2,FALSE)*AV$9,"")</f>
        <v/>
      </c>
      <c r="AW36" s="15" t="str">
        <f>IFERROR(VLOOKUP($A36,'[1]3. Mitigation Impact on Coverag'!$A$7:$MY$53,AW$2,FALSE)*AW$9,"")</f>
        <v/>
      </c>
      <c r="AX36" s="15" t="str">
        <f>IFERROR(VLOOKUP($A36,'[1]3. Mitigation Impact on Coverag'!$A$7:$MY$53,AX$2,FALSE)*AX$9,"")</f>
        <v/>
      </c>
      <c r="AY36" s="15" t="str">
        <f>IFERROR(VLOOKUP($A36,'[1]3. Mitigation Impact on Coverag'!$A$7:$MY$53,AY$2,FALSE)*AY$9,"")</f>
        <v/>
      </c>
      <c r="AZ36" s="15" t="str">
        <f>IFERROR(VLOOKUP($A36,'[1]3. Mitigation Impact on Coverag'!$A$7:$MY$53,AZ$2,FALSE)*AZ$9,"")</f>
        <v/>
      </c>
      <c r="BA36" s="15" t="str">
        <f>IFERROR(VLOOKUP($A36,'[1]3. Mitigation Impact on Coverag'!$A$7:$MY$53,BA$2,FALSE)*BA$9,"")</f>
        <v/>
      </c>
      <c r="BB36" s="23" t="str">
        <f>IFERROR(VLOOKUP($A36,'[1]3. Mitigation Impact on Coverag'!$A$7:$MY$53,BB$2,FALSE)*BB$9,"")</f>
        <v/>
      </c>
      <c r="BC36" s="14" t="str">
        <f>IFERROR(VLOOKUP($A36,'[1]3. Mitigation Impact on Coverag'!$A$7:$MY$53,BC$2,FALSE)*BC$9,"")</f>
        <v/>
      </c>
      <c r="BD36" s="15" t="str">
        <f>IFERROR(VLOOKUP($A36,'[1]3. Mitigation Impact on Coverag'!$A$7:$MY$53,BD$2,FALSE)*BD$9,"")</f>
        <v/>
      </c>
      <c r="BE36" s="15" t="str">
        <f>IFERROR(VLOOKUP($A36,'[1]3. Mitigation Impact on Coverag'!$A$7:$MY$53,BE$2,FALSE)*BE$9,"")</f>
        <v/>
      </c>
      <c r="BF36" s="15" t="str">
        <f>IFERROR(VLOOKUP($A36,'[1]3. Mitigation Impact on Coverag'!$A$7:$MY$53,BF$2,FALSE)*BF$9,"")</f>
        <v/>
      </c>
      <c r="BG36" s="15" t="str">
        <f>IFERROR(VLOOKUP($A36,'[1]3. Mitigation Impact on Coverag'!$A$7:$MY$53,BG$2,FALSE)*BG$9,"")</f>
        <v/>
      </c>
      <c r="BH36" s="15" t="str">
        <f>IFERROR(VLOOKUP($A36,'[1]3. Mitigation Impact on Coverag'!$A$7:$MY$53,BH$2,FALSE)*BH$9,"")</f>
        <v/>
      </c>
      <c r="BI36" s="15" t="str">
        <f>IFERROR(VLOOKUP($A36,'[1]3. Mitigation Impact on Coverag'!$A$7:$MY$53,BI$2,FALSE)*BI$9,"")</f>
        <v/>
      </c>
      <c r="BJ36" s="19" t="str">
        <f>IFERROR(VLOOKUP($A36,'[1]3. Mitigation Impact on Coverag'!$A$7:$MY$53,BJ$2,FALSE)*BJ$9,"")</f>
        <v/>
      </c>
      <c r="BK36" s="40" t="str">
        <f>IFERROR(VLOOKUP($A36,'[1]3. Mitigation Impact on Coverag'!$A$7:$MY$53,BK$2,FALSE)*BK$9,"")</f>
        <v/>
      </c>
      <c r="BL36" s="41" t="str">
        <f>IFERROR(VLOOKUP($A36,'[1]3. Mitigation Impact on Coverag'!$A$7:$MY$53,BL$2,FALSE)*BL$9,"")</f>
        <v/>
      </c>
      <c r="BM36" s="51" t="str">
        <f>IFERROR(VLOOKUP($A36,'[1]3. Mitigation Impact on Coverag'!$A$7:$MY$53,BM$2,FALSE)*BM$9,"")</f>
        <v/>
      </c>
      <c r="BN36" s="52" t="str">
        <f t="shared" si="54"/>
        <v/>
      </c>
      <c r="BO36" s="52">
        <f t="shared" si="55"/>
        <v>0</v>
      </c>
      <c r="BP36" s="52">
        <f t="shared" si="56"/>
        <v>0</v>
      </c>
      <c r="BQ36" s="52">
        <f t="shared" si="57"/>
        <v>0</v>
      </c>
      <c r="BR36" s="52">
        <f t="shared" si="58"/>
        <v>0</v>
      </c>
      <c r="BS36" s="52">
        <f t="shared" si="59"/>
        <v>0</v>
      </c>
      <c r="BT36" s="52">
        <f t="shared" si="60"/>
        <v>0</v>
      </c>
      <c r="BU36" s="52">
        <f t="shared" si="61"/>
        <v>0</v>
      </c>
      <c r="BV36" s="52" t="str">
        <f t="shared" si="62"/>
        <v/>
      </c>
      <c r="BW36" s="94">
        <f t="shared" si="63"/>
        <v>0</v>
      </c>
      <c r="BX36" s="95">
        <f t="shared" si="64"/>
        <v>0</v>
      </c>
    </row>
    <row r="37" spans="1:83" s="2" customFormat="1">
      <c r="A37" s="106" t="s">
        <v>98</v>
      </c>
      <c r="B37" s="9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8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22"/>
      <c r="AF37" s="22"/>
      <c r="AG37" s="10"/>
      <c r="AH37" s="27"/>
      <c r="AI37" s="27"/>
      <c r="AJ37" s="11"/>
      <c r="AK37" s="11"/>
      <c r="AL37" s="11"/>
      <c r="AM37" s="11"/>
      <c r="AN37" s="11"/>
      <c r="AO37" s="11"/>
      <c r="AP37" s="10"/>
      <c r="AQ37" s="11"/>
      <c r="AR37" s="18"/>
      <c r="AS37" s="27"/>
      <c r="AT37" s="11"/>
      <c r="AU37" s="11"/>
      <c r="AV37" s="11"/>
      <c r="AW37" s="11"/>
      <c r="AX37" s="11"/>
      <c r="AY37" s="11"/>
      <c r="AZ37" s="11"/>
      <c r="BA37" s="11"/>
      <c r="BB37" s="22"/>
      <c r="BC37" s="10"/>
      <c r="BD37" s="11"/>
      <c r="BE37" s="11"/>
      <c r="BF37" s="11"/>
      <c r="BG37" s="11"/>
      <c r="BH37" s="11"/>
      <c r="BI37" s="11"/>
      <c r="BJ37" s="18"/>
      <c r="BK37" s="10"/>
      <c r="BL37" s="18"/>
      <c r="BM37" s="22"/>
      <c r="BN37" s="49"/>
      <c r="BO37" s="49"/>
      <c r="BP37" s="49"/>
      <c r="BQ37" s="49"/>
      <c r="BR37" s="50"/>
      <c r="BS37" s="50"/>
      <c r="BT37" s="50"/>
      <c r="BU37" s="55"/>
      <c r="BV37" s="55"/>
      <c r="BW37" s="93"/>
      <c r="BX37" s="93"/>
    </row>
    <row r="38" spans="1:83" s="2" customFormat="1" ht="30.75">
      <c r="A38" s="96" t="s">
        <v>99</v>
      </c>
      <c r="B38" s="13" t="str">
        <f>IFERROR(VLOOKUP($A38,'[1]3. Mitigation Impact on Coverag'!$A$7:$MY$53,B$2,FALSE)*B$9,"")</f>
        <v/>
      </c>
      <c r="C38" s="14" t="str">
        <f>IFERROR(VLOOKUP($A38,'[1]3. Mitigation Impact on Coverag'!$A$7:$MY$53,C$2,FALSE)*C$9,"")</f>
        <v/>
      </c>
      <c r="D38" s="15" t="str">
        <f>IFERROR(VLOOKUP($A38,'[1]3. Mitigation Impact on Coverag'!$A$7:$MY$53,D$2,FALSE)*D$9,"")</f>
        <v/>
      </c>
      <c r="E38" s="15" t="str">
        <f>IFERROR(VLOOKUP($A38,'[1]3. Mitigation Impact on Coverag'!$A$7:$MY$53,E$2,FALSE)*E$9,"")</f>
        <v/>
      </c>
      <c r="F38" s="15" t="str">
        <f>IFERROR(VLOOKUP($A38,'[1]3. Mitigation Impact on Coverag'!$A$7:$MY$53,F$2,FALSE)*F$9,"")</f>
        <v/>
      </c>
      <c r="G38" s="15" t="str">
        <f>IFERROR(VLOOKUP($A38,'[1]3. Mitigation Impact on Coverag'!$A$7:$MY$53,G$2,FALSE)*G$9,"")</f>
        <v/>
      </c>
      <c r="H38" s="15" t="str">
        <f>IFERROR(VLOOKUP($A38,'[1]3. Mitigation Impact on Coverag'!$A$7:$MY$53,H$2,FALSE)*H$9,"")</f>
        <v/>
      </c>
      <c r="I38" s="15" t="str">
        <f>IFERROR(VLOOKUP($A38,'[1]3. Mitigation Impact on Coverag'!$A$7:$MY$53,I$2,FALSE)*I$9,"")</f>
        <v/>
      </c>
      <c r="J38" s="15" t="str">
        <f>IFERROR(VLOOKUP($A38,'[1]3. Mitigation Impact on Coverag'!$A$7:$MY$53,J$2,FALSE)*J$9,"")</f>
        <v/>
      </c>
      <c r="K38" s="15" t="str">
        <f>IFERROR(VLOOKUP($A38,'[1]3. Mitigation Impact on Coverag'!$A$7:$MY$53,K$2,FALSE)*K$9,"")</f>
        <v/>
      </c>
      <c r="L38" s="15" t="str">
        <f>IFERROR(VLOOKUP($A38,'[1]3. Mitigation Impact on Coverag'!$A$7:$MY$53,L$2,FALSE)*L$9,"")</f>
        <v/>
      </c>
      <c r="M38" s="15" t="str">
        <f>IFERROR(VLOOKUP($A38,'[1]3. Mitigation Impact on Coverag'!$A$7:$MY$53,M$2,FALSE)*M$9,"")</f>
        <v/>
      </c>
      <c r="N38" s="15" t="str">
        <f>IFERROR(VLOOKUP($A38,'[1]3. Mitigation Impact on Coverag'!$A$7:$MY$53,N$2,FALSE)*N$9,"")</f>
        <v/>
      </c>
      <c r="O38" s="19" t="str">
        <f>IFERROR(VLOOKUP($A38,'[1]3. Mitigation Impact on Coverag'!$A$7:$MY$53,O$2,FALSE)*O$9,"")</f>
        <v/>
      </c>
      <c r="P38" s="14" t="str">
        <f>IFERROR(VLOOKUP($A38,'[1]3. Mitigation Impact on Coverag'!$A$7:$MY$53,P$2,FALSE)*P$9,"")</f>
        <v/>
      </c>
      <c r="Q38" s="15" t="str">
        <f>IFERROR(VLOOKUP($A38,'[1]3. Mitigation Impact on Coverag'!$A$7:$MY$53,Q$2,FALSE)*Q$9,"")</f>
        <v/>
      </c>
      <c r="R38" s="15" t="str">
        <f>IFERROR(VLOOKUP($A38,'[1]3. Mitigation Impact on Coverag'!$A$7:$MY$53,R$2,FALSE)*R$9,"")</f>
        <v/>
      </c>
      <c r="S38" s="15" t="str">
        <f>IFERROR(VLOOKUP($A38,'[1]3. Mitigation Impact on Coverag'!$A$7:$MY$53,S$2,FALSE)*S$9,"")</f>
        <v/>
      </c>
      <c r="T38" s="15" t="str">
        <f>IFERROR(VLOOKUP($A38,'[1]3. Mitigation Impact on Coverag'!$A$7:$MY$53,T$2,FALSE)*T$9,"")</f>
        <v/>
      </c>
      <c r="U38" s="15" t="str">
        <f>IFERROR(VLOOKUP($A38,'[1]3. Mitigation Impact on Coverag'!$A$7:$MY$53,U$2,FALSE)*U$9,"")</f>
        <v/>
      </c>
      <c r="V38" s="15" t="str">
        <f>IFERROR(VLOOKUP($A38,'[1]3. Mitigation Impact on Coverag'!$A$7:$MY$53,V$2,FALSE)*V$9,"")</f>
        <v/>
      </c>
      <c r="W38" s="15" t="str">
        <f>IFERROR(VLOOKUP($A38,'[1]3. Mitigation Impact on Coverag'!$A$7:$MY$53,W$2,FALSE)*W$9,"")</f>
        <v/>
      </c>
      <c r="X38" s="15" t="str">
        <f>IFERROR(VLOOKUP($A38,'[1]3. Mitigation Impact on Coverag'!$A$7:$MY$53,X$2,FALSE)*X$9,"")</f>
        <v/>
      </c>
      <c r="Y38" s="15" t="str">
        <f>IFERROR(VLOOKUP($A38,'[1]3. Mitigation Impact on Coverag'!$A$7:$MY$53,Y$2,FALSE)*Y$9,"")</f>
        <v/>
      </c>
      <c r="Z38" s="15" t="str">
        <f>IFERROR(VLOOKUP($A38,'[1]3. Mitigation Impact on Coverag'!$A$7:$MY$53,Z$2,FALSE)*Z$9,"")</f>
        <v/>
      </c>
      <c r="AA38" s="15" t="str">
        <f>IFERROR(VLOOKUP($A38,'[1]3. Mitigation Impact on Coverag'!$A$7:$MY$53,AA$2,FALSE)*AA$9,"")</f>
        <v/>
      </c>
      <c r="AB38" s="15" t="str">
        <f>IFERROR(VLOOKUP($A38,'[1]3. Mitigation Impact on Coverag'!$A$7:$MY$53,AB$2,FALSE)*AB$9,"")</f>
        <v/>
      </c>
      <c r="AC38" s="15" t="str">
        <f>IFERROR(VLOOKUP($A38,'[1]3. Mitigation Impact on Coverag'!$A$7:$MY$53,AC$2,FALSE)*AC$9,"")</f>
        <v/>
      </c>
      <c r="AD38" s="15" t="str">
        <f>IFERROR(VLOOKUP($A38,'[1]3. Mitigation Impact on Coverag'!$A$7:$MY$53,AD$2,FALSE)*AD$9,"")</f>
        <v/>
      </c>
      <c r="AE38" s="15" t="str">
        <f>IFERROR(VLOOKUP($A38,'[1]3. Mitigation Impact on Coverag'!$A$7:$MY$53,AE$2,FALSE)*AE$9,"")</f>
        <v/>
      </c>
      <c r="AF38" s="23" t="str">
        <f>IFERROR(VLOOKUP($A38,'[1]3. Mitigation Impact on Coverag'!$A$7:$MY$53,AF$2,FALSE)*AF$9,"")</f>
        <v/>
      </c>
      <c r="AG38" s="14" t="str">
        <f>IFERROR(VLOOKUP($A38,'[1]3. Mitigation Impact on Coverag'!$A$7:$MY$53,AG$2,FALSE)*AG$9,"")</f>
        <v/>
      </c>
      <c r="AH38" s="28" t="str">
        <f>IFERROR(VLOOKUP($A38,'[1]3. Mitigation Impact on Coverag'!$A$7:$MY$53,AH$2,FALSE)*AH$9,"")</f>
        <v/>
      </c>
      <c r="AI38" s="28" t="str">
        <f>IFERROR(VLOOKUP($A38,'[1]3. Mitigation Impact on Coverag'!$A$7:$MY$53,AI$2,FALSE)*AI$9,"")</f>
        <v/>
      </c>
      <c r="AJ38" s="15" t="str">
        <f>IFERROR(VLOOKUP($A38,'[1]3. Mitigation Impact on Coverag'!$A$7:$MY$53,AJ$2,FALSE)*AJ$9,"")</f>
        <v/>
      </c>
      <c r="AK38" s="15" t="str">
        <f>IFERROR(VLOOKUP($A38,'[1]3. Mitigation Impact on Coverag'!$A$7:$MY$53,AK$2,FALSE)*AK$9,"")</f>
        <v/>
      </c>
      <c r="AL38" s="15" t="str">
        <f>IFERROR(VLOOKUP($A38,'[1]3. Mitigation Impact on Coverag'!$A$7:$MY$53,AL$2,FALSE)*AL$9,"")</f>
        <v/>
      </c>
      <c r="AM38" s="15" t="str">
        <f>IFERROR(VLOOKUP($A38,'[1]3. Mitigation Impact on Coverag'!$A$7:$MY$53,AM$2,FALSE)*AM$9,"")</f>
        <v/>
      </c>
      <c r="AN38" s="15" t="str">
        <f>IFERROR(VLOOKUP($A38,'[1]3. Mitigation Impact on Coverag'!$A$7:$MY$53,AN$2,FALSE)*AN$9,"")</f>
        <v/>
      </c>
      <c r="AO38" s="15" t="str">
        <f>IFERROR(VLOOKUP($A38,'[1]3. Mitigation Impact on Coverag'!$A$7:$MY$53,AO$2,FALSE)*AO$9,"")</f>
        <v/>
      </c>
      <c r="AP38" s="14" t="str">
        <f>IFERROR(VLOOKUP($A38,'[1]3. Mitigation Impact on Coverag'!$A$7:$MY$53,AP$2,FALSE)*AP$9,"")</f>
        <v/>
      </c>
      <c r="AQ38" s="15" t="str">
        <f>IFERROR(VLOOKUP($A38,'[1]3. Mitigation Impact on Coverag'!$A$7:$MY$53,AQ$2,FALSE)*AQ$9,"")</f>
        <v/>
      </c>
      <c r="AR38" s="19" t="str">
        <f>IFERROR(VLOOKUP($A38,'[1]3. Mitigation Impact on Coverag'!$A$7:$MY$53,AR$2,FALSE)*AR$9,"")</f>
        <v/>
      </c>
      <c r="AS38" s="28">
        <f>IFERROR(VLOOKUP($A38,'[1]3. Mitigation Impact on Coverag'!$A$7:$MY$53,AS$2,FALSE)*AS$9,"")</f>
        <v>0</v>
      </c>
      <c r="AT38" s="15">
        <f>IFERROR(VLOOKUP($A38,'[1]3. Mitigation Impact on Coverag'!$A$7:$MY$53,AT$2,FALSE)*AT$9,"")</f>
        <v>0</v>
      </c>
      <c r="AU38" s="15">
        <f>IFERROR(VLOOKUP($A38,'[1]3. Mitigation Impact on Coverag'!$A$7:$MY$53,AU$2,FALSE)*AU$9,"")</f>
        <v>6.6666666666666696</v>
      </c>
      <c r="AV38" s="15">
        <f>IFERROR(VLOOKUP($A38,'[1]3. Mitigation Impact on Coverag'!$A$7:$MY$53,AV$2,FALSE)*AV$9,"")</f>
        <v>7</v>
      </c>
      <c r="AW38" s="15">
        <f>IFERROR(VLOOKUP($A38,'[1]3. Mitigation Impact on Coverag'!$A$7:$MY$53,AW$2,FALSE)*AW$9,"")</f>
        <v>0</v>
      </c>
      <c r="AX38" s="15">
        <f>IFERROR(VLOOKUP($A38,'[1]3. Mitigation Impact on Coverag'!$A$7:$MY$53,AX$2,FALSE)*AX$9,"")</f>
        <v>7.3333333333333304</v>
      </c>
      <c r="AY38" s="15">
        <f>IFERROR(VLOOKUP($A38,'[1]3. Mitigation Impact on Coverag'!$A$7:$MY$53,AY$2,FALSE)*AY$9,"")</f>
        <v>1</v>
      </c>
      <c r="AZ38" s="15">
        <f>IFERROR(VLOOKUP($A38,'[1]3. Mitigation Impact on Coverag'!$A$7:$MY$53,AZ$2,FALSE)*AZ$9,"")</f>
        <v>0</v>
      </c>
      <c r="BA38" s="15">
        <f>IFERROR(VLOOKUP($A38,'[1]3. Mitigation Impact on Coverag'!$A$7:$MY$53,BA$2,FALSE)*BA$9,"")</f>
        <v>0</v>
      </c>
      <c r="BB38" s="23">
        <f>IFERROR(VLOOKUP($A38,'[1]3. Mitigation Impact on Coverag'!$A$7:$MY$53,BB$2,FALSE)*BB$9,"")</f>
        <v>1.7777777777777799</v>
      </c>
      <c r="BC38" s="14" t="str">
        <f>IFERROR(VLOOKUP($A38,'[1]3. Mitigation Impact on Coverag'!$A$7:$MY$53,BC$2,FALSE)*BC$9,"")</f>
        <v/>
      </c>
      <c r="BD38" s="15" t="str">
        <f>IFERROR(VLOOKUP($A38,'[1]3. Mitigation Impact on Coverag'!$A$7:$MY$53,BD$2,FALSE)*BD$9,"")</f>
        <v/>
      </c>
      <c r="BE38" s="15" t="str">
        <f>IFERROR(VLOOKUP($A38,'[1]3. Mitigation Impact on Coverag'!$A$7:$MY$53,BE$2,FALSE)*BE$9,"")</f>
        <v/>
      </c>
      <c r="BF38" s="15" t="str">
        <f>IFERROR(VLOOKUP($A38,'[1]3. Mitigation Impact on Coverag'!$A$7:$MY$53,BF$2,FALSE)*BF$9,"")</f>
        <v/>
      </c>
      <c r="BG38" s="15" t="str">
        <f>IFERROR(VLOOKUP($A38,'[1]3. Mitigation Impact on Coverag'!$A$7:$MY$53,BG$2,FALSE)*BG$9,"")</f>
        <v/>
      </c>
      <c r="BH38" s="15" t="str">
        <f>IFERROR(VLOOKUP($A38,'[1]3. Mitigation Impact on Coverag'!$A$7:$MY$53,BH$2,FALSE)*BH$9,"")</f>
        <v/>
      </c>
      <c r="BI38" s="15" t="str">
        <f>IFERROR(VLOOKUP($A38,'[1]3. Mitigation Impact on Coverag'!$A$7:$MY$53,BI$2,FALSE)*BI$9,"")</f>
        <v/>
      </c>
      <c r="BJ38" s="19" t="str">
        <f>IFERROR(VLOOKUP($A38,'[1]3. Mitigation Impact on Coverag'!$A$7:$MY$53,BJ$2,FALSE)*BJ$9,"")</f>
        <v/>
      </c>
      <c r="BK38" s="40" t="str">
        <f>IFERROR(VLOOKUP($A38,'[1]3. Mitigation Impact on Coverag'!$A$7:$MY$53,BK$2,FALSE)*BK$9,"")</f>
        <v/>
      </c>
      <c r="BL38" s="41" t="str">
        <f>IFERROR(VLOOKUP($A38,'[1]3. Mitigation Impact on Coverag'!$A$7:$MY$53,BL$2,FALSE)*BL$9,"")</f>
        <v/>
      </c>
      <c r="BM38" s="51" t="str">
        <f>IFERROR(VLOOKUP($A38,'[1]3. Mitigation Impact on Coverag'!$A$7:$MY$53,BM$2,FALSE)*BM$9,"")</f>
        <v/>
      </c>
      <c r="BN38" s="52" t="str">
        <f t="shared" ref="BN38:BN40" si="65">B38</f>
        <v/>
      </c>
      <c r="BO38" s="52">
        <f t="shared" ref="BO38:BO40" si="66">SUM(C38:O38)</f>
        <v>0</v>
      </c>
      <c r="BP38" s="52">
        <f t="shared" ref="BP38:BP40" si="67">SUM(P38:AF38)</f>
        <v>0</v>
      </c>
      <c r="BQ38" s="52">
        <f t="shared" ref="BQ38:BQ40" si="68">SUM(AG38:AO38)</f>
        <v>0</v>
      </c>
      <c r="BR38" s="52">
        <f t="shared" ref="BR38:BR40" si="69">SUM(AP38:AR38)</f>
        <v>0</v>
      </c>
      <c r="BS38" s="52">
        <f t="shared" ref="BS38:BS40" si="70">SUM(AS38:BB38)</f>
        <v>23.7777777777778</v>
      </c>
      <c r="BT38" s="52">
        <f t="shared" ref="BT38:BT40" si="71">SUM(BC38:BJ38)</f>
        <v>0</v>
      </c>
      <c r="BU38" s="52">
        <f t="shared" ref="BU38:BU40" si="72">SUM(BK38:BL38)</f>
        <v>0</v>
      </c>
      <c r="BV38" s="52" t="str">
        <f t="shared" ref="BV38:BV40" si="73">BM38</f>
        <v/>
      </c>
      <c r="BW38" s="94">
        <f t="shared" ref="BW38:BW40" si="74">SUM(BN38:BV38)</f>
        <v>23.7777777777778</v>
      </c>
      <c r="BX38" s="95">
        <f t="shared" ref="BX38:BX40" si="75">BW38/$BW$9</f>
        <v>7.2714916751613996E-3</v>
      </c>
    </row>
    <row r="39" spans="1:83" s="2" customFormat="1">
      <c r="A39" s="12"/>
      <c r="B39" s="13" t="str">
        <f>IFERROR(VLOOKUP($A39,'[1]3. Mitigation Impact on Coverag'!$A$7:$MY$53,B$2,FALSE)*B$9,"")</f>
        <v/>
      </c>
      <c r="C39" s="14" t="str">
        <f>IFERROR(VLOOKUP($A39,'[1]3. Mitigation Impact on Coverag'!$A$7:$MY$53,C$2,FALSE)*C$9,"")</f>
        <v/>
      </c>
      <c r="D39" s="15" t="str">
        <f>IFERROR(VLOOKUP($A39,'[1]3. Mitigation Impact on Coverag'!$A$7:$MY$53,D$2,FALSE)*D$9,"")</f>
        <v/>
      </c>
      <c r="E39" s="15" t="str">
        <f>IFERROR(VLOOKUP($A39,'[1]3. Mitigation Impact on Coverag'!$A$7:$MY$53,E$2,FALSE)*E$9,"")</f>
        <v/>
      </c>
      <c r="F39" s="15" t="str">
        <f>IFERROR(VLOOKUP($A39,'[1]3. Mitigation Impact on Coverag'!$A$7:$MY$53,F$2,FALSE)*F$9,"")</f>
        <v/>
      </c>
      <c r="G39" s="15" t="str">
        <f>IFERROR(VLOOKUP($A39,'[1]3. Mitigation Impact on Coverag'!$A$7:$MY$53,G$2,FALSE)*G$9,"")</f>
        <v/>
      </c>
      <c r="H39" s="15" t="str">
        <f>IFERROR(VLOOKUP($A39,'[1]3. Mitigation Impact on Coverag'!$A$7:$MY$53,H$2,FALSE)*H$9,"")</f>
        <v/>
      </c>
      <c r="I39" s="15" t="str">
        <f>IFERROR(VLOOKUP($A39,'[1]3. Mitigation Impact on Coverag'!$A$7:$MY$53,I$2,FALSE)*I$9,"")</f>
        <v/>
      </c>
      <c r="J39" s="15" t="str">
        <f>IFERROR(VLOOKUP($A39,'[1]3. Mitigation Impact on Coverag'!$A$7:$MY$53,J$2,FALSE)*J$9,"")</f>
        <v/>
      </c>
      <c r="K39" s="15" t="str">
        <f>IFERROR(VLOOKUP($A39,'[1]3. Mitigation Impact on Coverag'!$A$7:$MY$53,K$2,FALSE)*K$9,"")</f>
        <v/>
      </c>
      <c r="L39" s="15" t="str">
        <f>IFERROR(VLOOKUP($A39,'[1]3. Mitigation Impact on Coverag'!$A$7:$MY$53,L$2,FALSE)*L$9,"")</f>
        <v/>
      </c>
      <c r="M39" s="15" t="str">
        <f>IFERROR(VLOOKUP($A39,'[1]3. Mitigation Impact on Coverag'!$A$7:$MY$53,M$2,FALSE)*M$9,"")</f>
        <v/>
      </c>
      <c r="N39" s="15" t="str">
        <f>IFERROR(VLOOKUP($A39,'[1]3. Mitigation Impact on Coverag'!$A$7:$MY$53,N$2,FALSE)*N$9,"")</f>
        <v/>
      </c>
      <c r="O39" s="19" t="str">
        <f>IFERROR(VLOOKUP($A39,'[1]3. Mitigation Impact on Coverag'!$A$7:$MY$53,O$2,FALSE)*O$9,"")</f>
        <v/>
      </c>
      <c r="P39" s="14" t="str">
        <f>IFERROR(VLOOKUP($A39,'[1]3. Mitigation Impact on Coverag'!$A$7:$MY$53,P$2,FALSE)*P$9,"")</f>
        <v/>
      </c>
      <c r="Q39" s="15" t="str">
        <f>IFERROR(VLOOKUP($A39,'[1]3. Mitigation Impact on Coverag'!$A$7:$MY$53,Q$2,FALSE)*Q$9,"")</f>
        <v/>
      </c>
      <c r="R39" s="15" t="str">
        <f>IFERROR(VLOOKUP($A39,'[1]3. Mitigation Impact on Coverag'!$A$7:$MY$53,R$2,FALSE)*R$9,"")</f>
        <v/>
      </c>
      <c r="S39" s="15" t="str">
        <f>IFERROR(VLOOKUP($A39,'[1]3. Mitigation Impact on Coverag'!$A$7:$MY$53,S$2,FALSE)*S$9,"")</f>
        <v/>
      </c>
      <c r="T39" s="15" t="str">
        <f>IFERROR(VLOOKUP($A39,'[1]3. Mitigation Impact on Coverag'!$A$7:$MY$53,T$2,FALSE)*T$9,"")</f>
        <v/>
      </c>
      <c r="U39" s="15" t="str">
        <f>IFERROR(VLOOKUP($A39,'[1]3. Mitigation Impact on Coverag'!$A$7:$MY$53,U$2,FALSE)*U$9,"")</f>
        <v/>
      </c>
      <c r="V39" s="15" t="str">
        <f>IFERROR(VLOOKUP($A39,'[1]3. Mitigation Impact on Coverag'!$A$7:$MY$53,V$2,FALSE)*V$9,"")</f>
        <v/>
      </c>
      <c r="W39" s="15" t="str">
        <f>IFERROR(VLOOKUP($A39,'[1]3. Mitigation Impact on Coverag'!$A$7:$MY$53,W$2,FALSE)*W$9,"")</f>
        <v/>
      </c>
      <c r="X39" s="15" t="str">
        <f>IFERROR(VLOOKUP($A39,'[1]3. Mitigation Impact on Coverag'!$A$7:$MY$53,X$2,FALSE)*X$9,"")</f>
        <v/>
      </c>
      <c r="Y39" s="15" t="str">
        <f>IFERROR(VLOOKUP($A39,'[1]3. Mitigation Impact on Coverag'!$A$7:$MY$53,Y$2,FALSE)*Y$9,"")</f>
        <v/>
      </c>
      <c r="Z39" s="15" t="str">
        <f>IFERROR(VLOOKUP($A39,'[1]3. Mitigation Impact on Coverag'!$A$7:$MY$53,Z$2,FALSE)*Z$9,"")</f>
        <v/>
      </c>
      <c r="AA39" s="15" t="str">
        <f>IFERROR(VLOOKUP($A39,'[1]3. Mitigation Impact on Coverag'!$A$7:$MY$53,AA$2,FALSE)*AA$9,"")</f>
        <v/>
      </c>
      <c r="AB39" s="15" t="str">
        <f>IFERROR(VLOOKUP($A39,'[1]3. Mitigation Impact on Coverag'!$A$7:$MY$53,AB$2,FALSE)*AB$9,"")</f>
        <v/>
      </c>
      <c r="AC39" s="15" t="str">
        <f>IFERROR(VLOOKUP($A39,'[1]3. Mitigation Impact on Coverag'!$A$7:$MY$53,AC$2,FALSE)*AC$9,"")</f>
        <v/>
      </c>
      <c r="AD39" s="15" t="str">
        <f>IFERROR(VLOOKUP($A39,'[1]3. Mitigation Impact on Coverag'!$A$7:$MY$53,AD$2,FALSE)*AD$9,"")</f>
        <v/>
      </c>
      <c r="AE39" s="15" t="str">
        <f>IFERROR(VLOOKUP($A39,'[1]3. Mitigation Impact on Coverag'!$A$7:$MY$53,AE$2,FALSE)*AE$9,"")</f>
        <v/>
      </c>
      <c r="AF39" s="23" t="str">
        <f>IFERROR(VLOOKUP($A39,'[1]3. Mitigation Impact on Coverag'!$A$7:$MY$53,AF$2,FALSE)*AF$9,"")</f>
        <v/>
      </c>
      <c r="AG39" s="14" t="str">
        <f>IFERROR(VLOOKUP($A39,'[1]3. Mitigation Impact on Coverag'!$A$7:$MY$53,AG$2,FALSE)*AG$9,"")</f>
        <v/>
      </c>
      <c r="AH39" s="28" t="str">
        <f>IFERROR(VLOOKUP($A39,'[1]3. Mitigation Impact on Coverag'!$A$7:$MY$53,AH$2,FALSE)*AH$9,"")</f>
        <v/>
      </c>
      <c r="AI39" s="28" t="str">
        <f>IFERROR(VLOOKUP($A39,'[1]3. Mitigation Impact on Coverag'!$A$7:$MY$53,AI$2,FALSE)*AI$9,"")</f>
        <v/>
      </c>
      <c r="AJ39" s="15" t="str">
        <f>IFERROR(VLOOKUP($A39,'[1]3. Mitigation Impact on Coverag'!$A$7:$MY$53,AJ$2,FALSE)*AJ$9,"")</f>
        <v/>
      </c>
      <c r="AK39" s="15" t="str">
        <f>IFERROR(VLOOKUP($A39,'[1]3. Mitigation Impact on Coverag'!$A$7:$MY$53,AK$2,FALSE)*AK$9,"")</f>
        <v/>
      </c>
      <c r="AL39" s="15" t="str">
        <f>IFERROR(VLOOKUP($A39,'[1]3. Mitigation Impact on Coverag'!$A$7:$MY$53,AL$2,FALSE)*AL$9,"")</f>
        <v/>
      </c>
      <c r="AM39" s="15" t="str">
        <f>IFERROR(VLOOKUP($A39,'[1]3. Mitigation Impact on Coverag'!$A$7:$MY$53,AM$2,FALSE)*AM$9,"")</f>
        <v/>
      </c>
      <c r="AN39" s="15" t="str">
        <f>IFERROR(VLOOKUP($A39,'[1]3. Mitigation Impact on Coverag'!$A$7:$MY$53,AN$2,FALSE)*AN$9,"")</f>
        <v/>
      </c>
      <c r="AO39" s="15" t="str">
        <f>IFERROR(VLOOKUP($A39,'[1]3. Mitigation Impact on Coverag'!$A$7:$MY$53,AO$2,FALSE)*AO$9,"")</f>
        <v/>
      </c>
      <c r="AP39" s="14" t="str">
        <f>IFERROR(VLOOKUP($A39,'[1]3. Mitigation Impact on Coverag'!$A$7:$MY$53,AP$2,FALSE)*AP$9,"")</f>
        <v/>
      </c>
      <c r="AQ39" s="15" t="str">
        <f>IFERROR(VLOOKUP($A39,'[1]3. Mitigation Impact on Coverag'!$A$7:$MY$53,AQ$2,FALSE)*AQ$9,"")</f>
        <v/>
      </c>
      <c r="AR39" s="19" t="str">
        <f>IFERROR(VLOOKUP($A39,'[1]3. Mitigation Impact on Coverag'!$A$7:$MY$53,AR$2,FALSE)*AR$9,"")</f>
        <v/>
      </c>
      <c r="AS39" s="28" t="str">
        <f>IFERROR(VLOOKUP($A39,'[1]3. Mitigation Impact on Coverag'!$A$7:$MY$53,AS$2,FALSE)*AS$9,"")</f>
        <v/>
      </c>
      <c r="AT39" s="15" t="str">
        <f>IFERROR(VLOOKUP($A39,'[1]3. Mitigation Impact on Coverag'!$A$7:$MY$53,AT$2,FALSE)*AT$9,"")</f>
        <v/>
      </c>
      <c r="AU39" s="15" t="str">
        <f>IFERROR(VLOOKUP($A39,'[1]3. Mitigation Impact on Coverag'!$A$7:$MY$53,AU$2,FALSE)*AU$9,"")</f>
        <v/>
      </c>
      <c r="AV39" s="15" t="str">
        <f>IFERROR(VLOOKUP($A39,'[1]3. Mitigation Impact on Coverag'!$A$7:$MY$53,AV$2,FALSE)*AV$9,"")</f>
        <v/>
      </c>
      <c r="AW39" s="15" t="str">
        <f>IFERROR(VLOOKUP($A39,'[1]3. Mitigation Impact on Coverag'!$A$7:$MY$53,AW$2,FALSE)*AW$9,"")</f>
        <v/>
      </c>
      <c r="AX39" s="15" t="str">
        <f>IFERROR(VLOOKUP($A39,'[1]3. Mitigation Impact on Coverag'!$A$7:$MY$53,AX$2,FALSE)*AX$9,"")</f>
        <v/>
      </c>
      <c r="AY39" s="15" t="str">
        <f>IFERROR(VLOOKUP($A39,'[1]3. Mitigation Impact on Coverag'!$A$7:$MY$53,AY$2,FALSE)*AY$9,"")</f>
        <v/>
      </c>
      <c r="AZ39" s="15" t="str">
        <f>IFERROR(VLOOKUP($A39,'[1]3. Mitigation Impact on Coverag'!$A$7:$MY$53,AZ$2,FALSE)*AZ$9,"")</f>
        <v/>
      </c>
      <c r="BA39" s="15" t="str">
        <f>IFERROR(VLOOKUP($A39,'[1]3. Mitigation Impact on Coverag'!$A$7:$MY$53,BA$2,FALSE)*BA$9,"")</f>
        <v/>
      </c>
      <c r="BB39" s="23" t="str">
        <f>IFERROR(VLOOKUP($A39,'[1]3. Mitigation Impact on Coverag'!$A$7:$MY$53,BB$2,FALSE)*BB$9,"")</f>
        <v/>
      </c>
      <c r="BC39" s="14" t="str">
        <f>IFERROR(VLOOKUP($A39,'[1]3. Mitigation Impact on Coverag'!$A$7:$MY$53,BC$2,FALSE)*BC$9,"")</f>
        <v/>
      </c>
      <c r="BD39" s="15" t="str">
        <f>IFERROR(VLOOKUP($A39,'[1]3. Mitigation Impact on Coverag'!$A$7:$MY$53,BD$2,FALSE)*BD$9,"")</f>
        <v/>
      </c>
      <c r="BE39" s="15" t="str">
        <f>IFERROR(VLOOKUP($A39,'[1]3. Mitigation Impact on Coverag'!$A$7:$MY$53,BE$2,FALSE)*BE$9,"")</f>
        <v/>
      </c>
      <c r="BF39" s="15" t="str">
        <f>IFERROR(VLOOKUP($A39,'[1]3. Mitigation Impact on Coverag'!$A$7:$MY$53,BF$2,FALSE)*BF$9,"")</f>
        <v/>
      </c>
      <c r="BG39" s="15" t="str">
        <f>IFERROR(VLOOKUP($A39,'[1]3. Mitigation Impact on Coverag'!$A$7:$MY$53,BG$2,FALSE)*BG$9,"")</f>
        <v/>
      </c>
      <c r="BH39" s="15" t="str">
        <f>IFERROR(VLOOKUP($A39,'[1]3. Mitigation Impact on Coverag'!$A$7:$MY$53,BH$2,FALSE)*BH$9,"")</f>
        <v/>
      </c>
      <c r="BI39" s="15" t="str">
        <f>IFERROR(VLOOKUP($A39,'[1]3. Mitigation Impact on Coverag'!$A$7:$MY$53,BI$2,FALSE)*BI$9,"")</f>
        <v/>
      </c>
      <c r="BJ39" s="19" t="str">
        <f>IFERROR(VLOOKUP($A39,'[1]3. Mitigation Impact on Coverag'!$A$7:$MY$53,BJ$2,FALSE)*BJ$9,"")</f>
        <v/>
      </c>
      <c r="BK39" s="40" t="str">
        <f>IFERROR(VLOOKUP($A39,'[1]3. Mitigation Impact on Coverag'!$A$7:$MY$53,BK$2,FALSE)*BK$9,"")</f>
        <v/>
      </c>
      <c r="BL39" s="41" t="str">
        <f>IFERROR(VLOOKUP($A39,'[1]3. Mitigation Impact on Coverag'!$A$7:$MY$53,BL$2,FALSE)*BL$9,"")</f>
        <v/>
      </c>
      <c r="BM39" s="51" t="str">
        <f>IFERROR(VLOOKUP($A39,'[1]3. Mitigation Impact on Coverag'!$A$7:$MY$53,BM$2,FALSE)*BM$9,"")</f>
        <v/>
      </c>
      <c r="BN39" s="52" t="str">
        <f t="shared" si="65"/>
        <v/>
      </c>
      <c r="BO39" s="52">
        <f t="shared" si="66"/>
        <v>0</v>
      </c>
      <c r="BP39" s="52">
        <f t="shared" si="67"/>
        <v>0</v>
      </c>
      <c r="BQ39" s="52">
        <f t="shared" si="68"/>
        <v>0</v>
      </c>
      <c r="BR39" s="52">
        <f t="shared" si="69"/>
        <v>0</v>
      </c>
      <c r="BS39" s="52">
        <f t="shared" si="70"/>
        <v>0</v>
      </c>
      <c r="BT39" s="52">
        <f t="shared" si="71"/>
        <v>0</v>
      </c>
      <c r="BU39" s="52">
        <f t="shared" si="72"/>
        <v>0</v>
      </c>
      <c r="BV39" s="52" t="str">
        <f t="shared" si="73"/>
        <v/>
      </c>
      <c r="BW39" s="94">
        <f t="shared" si="74"/>
        <v>0</v>
      </c>
      <c r="BX39" s="95">
        <f t="shared" si="75"/>
        <v>0</v>
      </c>
    </row>
    <row r="40" spans="1:83" s="2" customFormat="1">
      <c r="A40" s="12"/>
      <c r="B40" s="13" t="str">
        <f>IFERROR(VLOOKUP($A40,'[1]3. Mitigation Impact on Coverag'!$A$7:$MY$53,B$2,FALSE)*B$9,"")</f>
        <v/>
      </c>
      <c r="C40" s="14" t="str">
        <f>IFERROR(VLOOKUP($A40,'[1]3. Mitigation Impact on Coverag'!$A$7:$MY$53,C$2,FALSE)*C$9,"")</f>
        <v/>
      </c>
      <c r="D40" s="15" t="str">
        <f>IFERROR(VLOOKUP($A40,'[1]3. Mitigation Impact on Coverag'!$A$7:$MY$53,D$2,FALSE)*D$9,"")</f>
        <v/>
      </c>
      <c r="E40" s="15" t="str">
        <f>IFERROR(VLOOKUP($A40,'[1]3. Mitigation Impact on Coverag'!$A$7:$MY$53,E$2,FALSE)*E$9,"")</f>
        <v/>
      </c>
      <c r="F40" s="15" t="str">
        <f>IFERROR(VLOOKUP($A40,'[1]3. Mitigation Impact on Coverag'!$A$7:$MY$53,F$2,FALSE)*F$9,"")</f>
        <v/>
      </c>
      <c r="G40" s="15" t="str">
        <f>IFERROR(VLOOKUP($A40,'[1]3. Mitigation Impact on Coverag'!$A$7:$MY$53,G$2,FALSE)*G$9,"")</f>
        <v/>
      </c>
      <c r="H40" s="15" t="str">
        <f>IFERROR(VLOOKUP($A40,'[1]3. Mitigation Impact on Coverag'!$A$7:$MY$53,H$2,FALSE)*H$9,"")</f>
        <v/>
      </c>
      <c r="I40" s="15" t="str">
        <f>IFERROR(VLOOKUP($A40,'[1]3. Mitigation Impact on Coverag'!$A$7:$MY$53,I$2,FALSE)*I$9,"")</f>
        <v/>
      </c>
      <c r="J40" s="15" t="str">
        <f>IFERROR(VLOOKUP($A40,'[1]3. Mitigation Impact on Coverag'!$A$7:$MY$53,J$2,FALSE)*J$9,"")</f>
        <v/>
      </c>
      <c r="K40" s="15" t="str">
        <f>IFERROR(VLOOKUP($A40,'[1]3. Mitigation Impact on Coverag'!$A$7:$MY$53,K$2,FALSE)*K$9,"")</f>
        <v/>
      </c>
      <c r="L40" s="15" t="str">
        <f>IFERROR(VLOOKUP($A40,'[1]3. Mitigation Impact on Coverag'!$A$7:$MY$53,L$2,FALSE)*L$9,"")</f>
        <v/>
      </c>
      <c r="M40" s="15" t="str">
        <f>IFERROR(VLOOKUP($A40,'[1]3. Mitigation Impact on Coverag'!$A$7:$MY$53,M$2,FALSE)*M$9,"")</f>
        <v/>
      </c>
      <c r="N40" s="15" t="str">
        <f>IFERROR(VLOOKUP($A40,'[1]3. Mitigation Impact on Coverag'!$A$7:$MY$53,N$2,FALSE)*N$9,"")</f>
        <v/>
      </c>
      <c r="O40" s="19" t="str">
        <f>IFERROR(VLOOKUP($A40,'[1]3. Mitigation Impact on Coverag'!$A$7:$MY$53,O$2,FALSE)*O$9,"")</f>
        <v/>
      </c>
      <c r="P40" s="14" t="str">
        <f>IFERROR(VLOOKUP($A40,'[1]3. Mitigation Impact on Coverag'!$A$7:$MY$53,P$2,FALSE)*P$9,"")</f>
        <v/>
      </c>
      <c r="Q40" s="15" t="str">
        <f>IFERROR(VLOOKUP($A40,'[1]3. Mitigation Impact on Coverag'!$A$7:$MY$53,Q$2,FALSE)*Q$9,"")</f>
        <v/>
      </c>
      <c r="R40" s="15" t="str">
        <f>IFERROR(VLOOKUP($A40,'[1]3. Mitigation Impact on Coverag'!$A$7:$MY$53,R$2,FALSE)*R$9,"")</f>
        <v/>
      </c>
      <c r="S40" s="15" t="str">
        <f>IFERROR(VLOOKUP($A40,'[1]3. Mitigation Impact on Coverag'!$A$7:$MY$53,S$2,FALSE)*S$9,"")</f>
        <v/>
      </c>
      <c r="T40" s="15" t="str">
        <f>IFERROR(VLOOKUP($A40,'[1]3. Mitigation Impact on Coverag'!$A$7:$MY$53,T$2,FALSE)*T$9,"")</f>
        <v/>
      </c>
      <c r="U40" s="15" t="str">
        <f>IFERROR(VLOOKUP($A40,'[1]3. Mitigation Impact on Coverag'!$A$7:$MY$53,U$2,FALSE)*U$9,"")</f>
        <v/>
      </c>
      <c r="V40" s="15" t="str">
        <f>IFERROR(VLOOKUP($A40,'[1]3. Mitigation Impact on Coverag'!$A$7:$MY$53,V$2,FALSE)*V$9,"")</f>
        <v/>
      </c>
      <c r="W40" s="15" t="str">
        <f>IFERROR(VLOOKUP($A40,'[1]3. Mitigation Impact on Coverag'!$A$7:$MY$53,W$2,FALSE)*W$9,"")</f>
        <v/>
      </c>
      <c r="X40" s="15" t="str">
        <f>IFERROR(VLOOKUP($A40,'[1]3. Mitigation Impact on Coverag'!$A$7:$MY$53,X$2,FALSE)*X$9,"")</f>
        <v/>
      </c>
      <c r="Y40" s="15" t="str">
        <f>IFERROR(VLOOKUP($A40,'[1]3. Mitigation Impact on Coverag'!$A$7:$MY$53,Y$2,FALSE)*Y$9,"")</f>
        <v/>
      </c>
      <c r="Z40" s="15" t="str">
        <f>IFERROR(VLOOKUP($A40,'[1]3. Mitigation Impact on Coverag'!$A$7:$MY$53,Z$2,FALSE)*Z$9,"")</f>
        <v/>
      </c>
      <c r="AA40" s="15" t="str">
        <f>IFERROR(VLOOKUP($A40,'[1]3. Mitigation Impact on Coverag'!$A$7:$MY$53,AA$2,FALSE)*AA$9,"")</f>
        <v/>
      </c>
      <c r="AB40" s="15" t="str">
        <f>IFERROR(VLOOKUP($A40,'[1]3. Mitigation Impact on Coverag'!$A$7:$MY$53,AB$2,FALSE)*AB$9,"")</f>
        <v/>
      </c>
      <c r="AC40" s="15" t="str">
        <f>IFERROR(VLOOKUP($A40,'[1]3. Mitigation Impact on Coverag'!$A$7:$MY$53,AC$2,FALSE)*AC$9,"")</f>
        <v/>
      </c>
      <c r="AD40" s="15" t="str">
        <f>IFERROR(VLOOKUP($A40,'[1]3. Mitigation Impact on Coverag'!$A$7:$MY$53,AD$2,FALSE)*AD$9,"")</f>
        <v/>
      </c>
      <c r="AE40" s="15" t="str">
        <f>IFERROR(VLOOKUP($A40,'[1]3. Mitigation Impact on Coverag'!$A$7:$MY$53,AE$2,FALSE)*AE$9,"")</f>
        <v/>
      </c>
      <c r="AF40" s="23" t="str">
        <f>IFERROR(VLOOKUP($A40,'[1]3. Mitigation Impact on Coverag'!$A$7:$MY$53,AF$2,FALSE)*AF$9,"")</f>
        <v/>
      </c>
      <c r="AG40" s="14" t="str">
        <f>IFERROR(VLOOKUP($A40,'[1]3. Mitigation Impact on Coverag'!$A$7:$MY$53,AG$2,FALSE)*AG$9,"")</f>
        <v/>
      </c>
      <c r="AH40" s="28" t="str">
        <f>IFERROR(VLOOKUP($A40,'[1]3. Mitigation Impact on Coverag'!$A$7:$MY$53,AH$2,FALSE)*AH$9,"")</f>
        <v/>
      </c>
      <c r="AI40" s="28" t="str">
        <f>IFERROR(VLOOKUP($A40,'[1]3. Mitigation Impact on Coverag'!$A$7:$MY$53,AI$2,FALSE)*AI$9,"")</f>
        <v/>
      </c>
      <c r="AJ40" s="15" t="str">
        <f>IFERROR(VLOOKUP($A40,'[1]3. Mitigation Impact on Coverag'!$A$7:$MY$53,AJ$2,FALSE)*AJ$9,"")</f>
        <v/>
      </c>
      <c r="AK40" s="15" t="str">
        <f>IFERROR(VLOOKUP($A40,'[1]3. Mitigation Impact on Coverag'!$A$7:$MY$53,AK$2,FALSE)*AK$9,"")</f>
        <v/>
      </c>
      <c r="AL40" s="15" t="str">
        <f>IFERROR(VLOOKUP($A40,'[1]3. Mitigation Impact on Coverag'!$A$7:$MY$53,AL$2,FALSE)*AL$9,"")</f>
        <v/>
      </c>
      <c r="AM40" s="15" t="str">
        <f>IFERROR(VLOOKUP($A40,'[1]3. Mitigation Impact on Coverag'!$A$7:$MY$53,AM$2,FALSE)*AM$9,"")</f>
        <v/>
      </c>
      <c r="AN40" s="15" t="str">
        <f>IFERROR(VLOOKUP($A40,'[1]3. Mitigation Impact on Coverag'!$A$7:$MY$53,AN$2,FALSE)*AN$9,"")</f>
        <v/>
      </c>
      <c r="AO40" s="15" t="str">
        <f>IFERROR(VLOOKUP($A40,'[1]3. Mitigation Impact on Coverag'!$A$7:$MY$53,AO$2,FALSE)*AO$9,"")</f>
        <v/>
      </c>
      <c r="AP40" s="14" t="str">
        <f>IFERROR(VLOOKUP($A40,'[1]3. Mitigation Impact on Coverag'!$A$7:$MY$53,AP$2,FALSE)*AP$9,"")</f>
        <v/>
      </c>
      <c r="AQ40" s="15" t="str">
        <f>IFERROR(VLOOKUP($A40,'[1]3. Mitigation Impact on Coverag'!$A$7:$MY$53,AQ$2,FALSE)*AQ$9,"")</f>
        <v/>
      </c>
      <c r="AR40" s="19" t="str">
        <f>IFERROR(VLOOKUP($A40,'[1]3. Mitigation Impact on Coverag'!$A$7:$MY$53,AR$2,FALSE)*AR$9,"")</f>
        <v/>
      </c>
      <c r="AS40" s="28" t="str">
        <f>IFERROR(VLOOKUP($A40,'[1]3. Mitigation Impact on Coverag'!$A$7:$MY$53,AS$2,FALSE)*AS$9,"")</f>
        <v/>
      </c>
      <c r="AT40" s="15" t="str">
        <f>IFERROR(VLOOKUP($A40,'[1]3. Mitigation Impact on Coverag'!$A$7:$MY$53,AT$2,FALSE)*AT$9,"")</f>
        <v/>
      </c>
      <c r="AU40" s="15" t="str">
        <f>IFERROR(VLOOKUP($A40,'[1]3. Mitigation Impact on Coverag'!$A$7:$MY$53,AU$2,FALSE)*AU$9,"")</f>
        <v/>
      </c>
      <c r="AV40" s="15" t="str">
        <f>IFERROR(VLOOKUP($A40,'[1]3. Mitigation Impact on Coverag'!$A$7:$MY$53,AV$2,FALSE)*AV$9,"")</f>
        <v/>
      </c>
      <c r="AW40" s="15" t="str">
        <f>IFERROR(VLOOKUP($A40,'[1]3. Mitigation Impact on Coverag'!$A$7:$MY$53,AW$2,FALSE)*AW$9,"")</f>
        <v/>
      </c>
      <c r="AX40" s="15" t="str">
        <f>IFERROR(VLOOKUP($A40,'[1]3. Mitigation Impact on Coverag'!$A$7:$MY$53,AX$2,FALSE)*AX$9,"")</f>
        <v/>
      </c>
      <c r="AY40" s="15" t="str">
        <f>IFERROR(VLOOKUP($A40,'[1]3. Mitigation Impact on Coverag'!$A$7:$MY$53,AY$2,FALSE)*AY$9,"")</f>
        <v/>
      </c>
      <c r="AZ40" s="15" t="str">
        <f>IFERROR(VLOOKUP($A40,'[1]3. Mitigation Impact on Coverag'!$A$7:$MY$53,AZ$2,FALSE)*AZ$9,"")</f>
        <v/>
      </c>
      <c r="BA40" s="15" t="str">
        <f>IFERROR(VLOOKUP($A40,'[1]3. Mitigation Impact on Coverag'!$A$7:$MY$53,BA$2,FALSE)*BA$9,"")</f>
        <v/>
      </c>
      <c r="BB40" s="23" t="str">
        <f>IFERROR(VLOOKUP($A40,'[1]3. Mitigation Impact on Coverag'!$A$7:$MY$53,BB$2,FALSE)*BB$9,"")</f>
        <v/>
      </c>
      <c r="BC40" s="14" t="str">
        <f>IFERROR(VLOOKUP($A40,'[1]3. Mitigation Impact on Coverag'!$A$7:$MY$53,BC$2,FALSE)*BC$9,"")</f>
        <v/>
      </c>
      <c r="BD40" s="15" t="str">
        <f>IFERROR(VLOOKUP($A40,'[1]3. Mitigation Impact on Coverag'!$A$7:$MY$53,BD$2,FALSE)*BD$9,"")</f>
        <v/>
      </c>
      <c r="BE40" s="15" t="str">
        <f>IFERROR(VLOOKUP($A40,'[1]3. Mitigation Impact on Coverag'!$A$7:$MY$53,BE$2,FALSE)*BE$9,"")</f>
        <v/>
      </c>
      <c r="BF40" s="15" t="str">
        <f>IFERROR(VLOOKUP($A40,'[1]3. Mitigation Impact on Coverag'!$A$7:$MY$53,BF$2,FALSE)*BF$9,"")</f>
        <v/>
      </c>
      <c r="BG40" s="15" t="str">
        <f>IFERROR(VLOOKUP($A40,'[1]3. Mitigation Impact on Coverag'!$A$7:$MY$53,BG$2,FALSE)*BG$9,"")</f>
        <v/>
      </c>
      <c r="BH40" s="15" t="str">
        <f>IFERROR(VLOOKUP($A40,'[1]3. Mitigation Impact on Coverag'!$A$7:$MY$53,BH$2,FALSE)*BH$9,"")</f>
        <v/>
      </c>
      <c r="BI40" s="15" t="str">
        <f>IFERROR(VLOOKUP($A40,'[1]3. Mitigation Impact on Coverag'!$A$7:$MY$53,BI$2,FALSE)*BI$9,"")</f>
        <v/>
      </c>
      <c r="BJ40" s="19" t="str">
        <f>IFERROR(VLOOKUP($A40,'[1]3. Mitigation Impact on Coverag'!$A$7:$MY$53,BJ$2,FALSE)*BJ$9,"")</f>
        <v/>
      </c>
      <c r="BK40" s="40" t="str">
        <f>IFERROR(VLOOKUP($A40,'[1]3. Mitigation Impact on Coverag'!$A$7:$MY$53,BK$2,FALSE)*BK$9,"")</f>
        <v/>
      </c>
      <c r="BL40" s="41" t="str">
        <f>IFERROR(VLOOKUP($A40,'[1]3. Mitigation Impact on Coverag'!$A$7:$MY$53,BL$2,FALSE)*BL$9,"")</f>
        <v/>
      </c>
      <c r="BM40" s="51" t="str">
        <f>IFERROR(VLOOKUP($A40,'[1]3. Mitigation Impact on Coverag'!$A$7:$MY$53,BM$2,FALSE)*BM$9,"")</f>
        <v/>
      </c>
      <c r="BN40" s="52" t="str">
        <f t="shared" si="65"/>
        <v/>
      </c>
      <c r="BO40" s="52">
        <f t="shared" si="66"/>
        <v>0</v>
      </c>
      <c r="BP40" s="52">
        <f t="shared" si="67"/>
        <v>0</v>
      </c>
      <c r="BQ40" s="52">
        <f t="shared" si="68"/>
        <v>0</v>
      </c>
      <c r="BR40" s="52">
        <f t="shared" si="69"/>
        <v>0</v>
      </c>
      <c r="BS40" s="52">
        <f t="shared" si="70"/>
        <v>0</v>
      </c>
      <c r="BT40" s="52">
        <f t="shared" si="71"/>
        <v>0</v>
      </c>
      <c r="BU40" s="52">
        <f t="shared" si="72"/>
        <v>0</v>
      </c>
      <c r="BV40" s="52" t="str">
        <f t="shared" si="73"/>
        <v/>
      </c>
      <c r="BW40" s="94">
        <f t="shared" si="74"/>
        <v>0</v>
      </c>
      <c r="BX40" s="95">
        <f t="shared" si="75"/>
        <v>0</v>
      </c>
    </row>
    <row r="41" spans="1:83" s="2" customFormat="1">
      <c r="A41" s="106" t="s">
        <v>7</v>
      </c>
      <c r="B41" s="9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8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22"/>
      <c r="AF41" s="22"/>
      <c r="AG41" s="10"/>
      <c r="AH41" s="27"/>
      <c r="AI41" s="27"/>
      <c r="AJ41" s="11"/>
      <c r="AK41" s="11"/>
      <c r="AL41" s="11"/>
      <c r="AM41" s="11"/>
      <c r="AN41" s="11"/>
      <c r="AO41" s="11"/>
      <c r="AP41" s="10"/>
      <c r="AQ41" s="11"/>
      <c r="AR41" s="18"/>
      <c r="AS41" s="27"/>
      <c r="AT41" s="11"/>
      <c r="AU41" s="11"/>
      <c r="AV41" s="11"/>
      <c r="AW41" s="11"/>
      <c r="AX41" s="11"/>
      <c r="AY41" s="11"/>
      <c r="AZ41" s="11"/>
      <c r="BA41" s="11"/>
      <c r="BB41" s="22"/>
      <c r="BC41" s="10"/>
      <c r="BD41" s="11"/>
      <c r="BE41" s="11"/>
      <c r="BF41" s="11"/>
      <c r="BG41" s="11"/>
      <c r="BH41" s="11"/>
      <c r="BI41" s="11"/>
      <c r="BJ41" s="18"/>
      <c r="BK41" s="10"/>
      <c r="BL41" s="18"/>
      <c r="BM41" s="22"/>
      <c r="BN41" s="49"/>
      <c r="BO41" s="49"/>
      <c r="BP41" s="49"/>
      <c r="BQ41" s="49"/>
      <c r="BR41" s="50"/>
      <c r="BS41" s="50"/>
      <c r="BT41" s="50"/>
      <c r="BU41" s="55"/>
      <c r="BV41" s="55"/>
      <c r="BW41" s="93"/>
      <c r="BX41" s="93"/>
    </row>
    <row r="42" spans="1:83" s="2" customFormat="1" ht="28.5">
      <c r="A42" s="96" t="s">
        <v>100</v>
      </c>
      <c r="B42" s="13" t="str">
        <f>IFERROR(VLOOKUP($A42,'[1]3. Mitigation Impact on Coverag'!$A$7:$MY$53,B$2,FALSE)*B$9,"")</f>
        <v/>
      </c>
      <c r="C42" s="14" t="str">
        <f>IFERROR(VLOOKUP($A42,'[1]3. Mitigation Impact on Coverag'!$A$7:$MY$53,C$2,FALSE)*C$9,"")</f>
        <v/>
      </c>
      <c r="D42" s="15" t="str">
        <f>IFERROR(VLOOKUP($A42,'[1]3. Mitigation Impact on Coverag'!$A$7:$MY$53,D$2,FALSE)*D$9,"")</f>
        <v/>
      </c>
      <c r="E42" s="15" t="str">
        <f>IFERROR(VLOOKUP($A42,'[1]3. Mitigation Impact on Coverag'!$A$7:$MY$53,E$2,FALSE)*E$9,"")</f>
        <v/>
      </c>
      <c r="F42" s="15" t="str">
        <f>IFERROR(VLOOKUP($A42,'[1]3. Mitigation Impact on Coverag'!$A$7:$MY$53,F$2,FALSE)*F$9,"")</f>
        <v/>
      </c>
      <c r="G42" s="15" t="str">
        <f>IFERROR(VLOOKUP($A42,'[1]3. Mitigation Impact on Coverag'!$A$7:$MY$53,G$2,FALSE)*G$9,"")</f>
        <v/>
      </c>
      <c r="H42" s="15" t="str">
        <f>IFERROR(VLOOKUP($A42,'[1]3. Mitigation Impact on Coverag'!$A$7:$MY$53,H$2,FALSE)*H$9,"")</f>
        <v/>
      </c>
      <c r="I42" s="15" t="str">
        <f>IFERROR(VLOOKUP($A42,'[1]3. Mitigation Impact on Coverag'!$A$7:$MY$53,I$2,FALSE)*I$9,"")</f>
        <v/>
      </c>
      <c r="J42" s="15" t="str">
        <f>IFERROR(VLOOKUP($A42,'[1]3. Mitigation Impact on Coverag'!$A$7:$MY$53,J$2,FALSE)*J$9,"")</f>
        <v/>
      </c>
      <c r="K42" s="15" t="str">
        <f>IFERROR(VLOOKUP($A42,'[1]3. Mitigation Impact on Coverag'!$A$7:$MY$53,K$2,FALSE)*K$9,"")</f>
        <v/>
      </c>
      <c r="L42" s="15" t="str">
        <f>IFERROR(VLOOKUP($A42,'[1]3. Mitigation Impact on Coverag'!$A$7:$MY$53,L$2,FALSE)*L$9,"")</f>
        <v/>
      </c>
      <c r="M42" s="15" t="str">
        <f>IFERROR(VLOOKUP($A42,'[1]3. Mitigation Impact on Coverag'!$A$7:$MY$53,M$2,FALSE)*M$9,"")</f>
        <v/>
      </c>
      <c r="N42" s="15" t="str">
        <f>IFERROR(VLOOKUP($A42,'[1]3. Mitigation Impact on Coverag'!$A$7:$MY$53,N$2,FALSE)*N$9,"")</f>
        <v/>
      </c>
      <c r="O42" s="19" t="str">
        <f>IFERROR(VLOOKUP($A42,'[1]3. Mitigation Impact on Coverag'!$A$7:$MY$53,O$2,FALSE)*O$9,"")</f>
        <v/>
      </c>
      <c r="P42" s="14" t="str">
        <f>IFERROR(VLOOKUP($A42,'[1]3. Mitigation Impact on Coverag'!$A$7:$MY$53,P$2,FALSE)*P$9,"")</f>
        <v/>
      </c>
      <c r="Q42" s="15" t="str">
        <f>IFERROR(VLOOKUP($A42,'[1]3. Mitigation Impact on Coverag'!$A$7:$MY$53,Q$2,FALSE)*Q$9,"")</f>
        <v/>
      </c>
      <c r="R42" s="15" t="str">
        <f>IFERROR(VLOOKUP($A42,'[1]3. Mitigation Impact on Coverag'!$A$7:$MY$53,R$2,FALSE)*R$9,"")</f>
        <v/>
      </c>
      <c r="S42" s="15" t="str">
        <f>IFERROR(VLOOKUP($A42,'[1]3. Mitigation Impact on Coverag'!$A$7:$MY$53,S$2,FALSE)*S$9,"")</f>
        <v/>
      </c>
      <c r="T42" s="15" t="str">
        <f>IFERROR(VLOOKUP($A42,'[1]3. Mitigation Impact on Coverag'!$A$7:$MY$53,T$2,FALSE)*T$9,"")</f>
        <v/>
      </c>
      <c r="U42" s="15" t="str">
        <f>IFERROR(VLOOKUP($A42,'[1]3. Mitigation Impact on Coverag'!$A$7:$MY$53,U$2,FALSE)*U$9,"")</f>
        <v/>
      </c>
      <c r="V42" s="15" t="str">
        <f>IFERROR(VLOOKUP($A42,'[1]3. Mitigation Impact on Coverag'!$A$7:$MY$53,V$2,FALSE)*V$9,"")</f>
        <v/>
      </c>
      <c r="W42" s="15" t="str">
        <f>IFERROR(VLOOKUP($A42,'[1]3. Mitigation Impact on Coverag'!$A$7:$MY$53,W$2,FALSE)*W$9,"")</f>
        <v/>
      </c>
      <c r="X42" s="15" t="str">
        <f>IFERROR(VLOOKUP($A42,'[1]3. Mitigation Impact on Coverag'!$A$7:$MY$53,X$2,FALSE)*X$9,"")</f>
        <v/>
      </c>
      <c r="Y42" s="15" t="str">
        <f>IFERROR(VLOOKUP($A42,'[1]3. Mitigation Impact on Coverag'!$A$7:$MY$53,Y$2,FALSE)*Y$9,"")</f>
        <v/>
      </c>
      <c r="Z42" s="15" t="str">
        <f>IFERROR(VLOOKUP($A42,'[1]3. Mitigation Impact on Coverag'!$A$7:$MY$53,Z$2,FALSE)*Z$9,"")</f>
        <v/>
      </c>
      <c r="AA42" s="15" t="str">
        <f>IFERROR(VLOOKUP($A42,'[1]3. Mitigation Impact on Coverag'!$A$7:$MY$53,AA$2,FALSE)*AA$9,"")</f>
        <v/>
      </c>
      <c r="AB42" s="15" t="str">
        <f>IFERROR(VLOOKUP($A42,'[1]3. Mitigation Impact on Coverag'!$A$7:$MY$53,AB$2,FALSE)*AB$9,"")</f>
        <v/>
      </c>
      <c r="AC42" s="15" t="str">
        <f>IFERROR(VLOOKUP($A42,'[1]3. Mitigation Impact on Coverag'!$A$7:$MY$53,AC$2,FALSE)*AC$9,"")</f>
        <v/>
      </c>
      <c r="AD42" s="15" t="str">
        <f>IFERROR(VLOOKUP($A42,'[1]3. Mitigation Impact on Coverag'!$A$7:$MY$53,AD$2,FALSE)*AD$9,"")</f>
        <v/>
      </c>
      <c r="AE42" s="15" t="str">
        <f>IFERROR(VLOOKUP($A42,'[1]3. Mitigation Impact on Coverag'!$A$7:$MY$53,AE$2,FALSE)*AE$9,"")</f>
        <v/>
      </c>
      <c r="AF42" s="23" t="str">
        <f>IFERROR(VLOOKUP($A42,'[1]3. Mitigation Impact on Coverag'!$A$7:$MY$53,AF$2,FALSE)*AF$9,"")</f>
        <v/>
      </c>
      <c r="AG42" s="14" t="str">
        <f>IFERROR(VLOOKUP($A42,'[1]3. Mitigation Impact on Coverag'!$A$7:$MY$53,AG$2,FALSE)*AG$9,"")</f>
        <v/>
      </c>
      <c r="AH42" s="28" t="str">
        <f>IFERROR(VLOOKUP($A42,'[1]3. Mitigation Impact on Coverag'!$A$7:$MY$53,AH$2,FALSE)*AH$9,"")</f>
        <v/>
      </c>
      <c r="AI42" s="28" t="str">
        <f>IFERROR(VLOOKUP($A42,'[1]3. Mitigation Impact on Coverag'!$A$7:$MY$53,AI$2,FALSE)*AI$9,"")</f>
        <v/>
      </c>
      <c r="AJ42" s="15" t="str">
        <f>IFERROR(VLOOKUP($A42,'[1]3. Mitigation Impact on Coverag'!$A$7:$MY$53,AJ$2,FALSE)*AJ$9,"")</f>
        <v/>
      </c>
      <c r="AK42" s="15" t="str">
        <f>IFERROR(VLOOKUP($A42,'[1]3. Mitigation Impact on Coverag'!$A$7:$MY$53,AK$2,FALSE)*AK$9,"")</f>
        <v/>
      </c>
      <c r="AL42" s="15" t="str">
        <f>IFERROR(VLOOKUP($A42,'[1]3. Mitigation Impact on Coverag'!$A$7:$MY$53,AL$2,FALSE)*AL$9,"")</f>
        <v/>
      </c>
      <c r="AM42" s="15" t="str">
        <f>IFERROR(VLOOKUP($A42,'[1]3. Mitigation Impact on Coverag'!$A$7:$MY$53,AM$2,FALSE)*AM$9,"")</f>
        <v/>
      </c>
      <c r="AN42" s="15" t="str">
        <f>IFERROR(VLOOKUP($A42,'[1]3. Mitigation Impact on Coverag'!$A$7:$MY$53,AN$2,FALSE)*AN$9,"")</f>
        <v/>
      </c>
      <c r="AO42" s="15" t="str">
        <f>IFERROR(VLOOKUP($A42,'[1]3. Mitigation Impact on Coverag'!$A$7:$MY$53,AO$2,FALSE)*AO$9,"")</f>
        <v/>
      </c>
      <c r="AP42" s="14" t="str">
        <f>IFERROR(VLOOKUP($A42,'[1]3. Mitigation Impact on Coverag'!$A$7:$MY$53,AP$2,FALSE)*AP$9,"")</f>
        <v/>
      </c>
      <c r="AQ42" s="15" t="str">
        <f>IFERROR(VLOOKUP($A42,'[1]3. Mitigation Impact on Coverag'!$A$7:$MY$53,AQ$2,FALSE)*AQ$9,"")</f>
        <v/>
      </c>
      <c r="AR42" s="19" t="str">
        <f>IFERROR(VLOOKUP($A42,'[1]3. Mitigation Impact on Coverag'!$A$7:$MY$53,AR$2,FALSE)*AR$9,"")</f>
        <v/>
      </c>
      <c r="AS42" s="28" t="str">
        <f>IFERROR(VLOOKUP($A42,'[1]3. Mitigation Impact on Coverag'!$A$7:$MY$53,AS$2,FALSE)*AS$9,"")</f>
        <v/>
      </c>
      <c r="AT42" s="15" t="str">
        <f>IFERROR(VLOOKUP($A42,'[1]3. Mitigation Impact on Coverag'!$A$7:$MY$53,AT$2,FALSE)*AT$9,"")</f>
        <v/>
      </c>
      <c r="AU42" s="15" t="str">
        <f>IFERROR(VLOOKUP($A42,'[1]3. Mitigation Impact on Coverag'!$A$7:$MY$53,AU$2,FALSE)*AU$9,"")</f>
        <v/>
      </c>
      <c r="AV42" s="15" t="str">
        <f>IFERROR(VLOOKUP($A42,'[1]3. Mitigation Impact on Coverag'!$A$7:$MY$53,AV$2,FALSE)*AV$9,"")</f>
        <v/>
      </c>
      <c r="AW42" s="15" t="str">
        <f>IFERROR(VLOOKUP($A42,'[1]3. Mitigation Impact on Coverag'!$A$7:$MY$53,AW$2,FALSE)*AW$9,"")</f>
        <v/>
      </c>
      <c r="AX42" s="15" t="str">
        <f>IFERROR(VLOOKUP($A42,'[1]3. Mitigation Impact on Coverag'!$A$7:$MY$53,AX$2,FALSE)*AX$9,"")</f>
        <v/>
      </c>
      <c r="AY42" s="15" t="str">
        <f>IFERROR(VLOOKUP($A42,'[1]3. Mitigation Impact on Coverag'!$A$7:$MY$53,AY$2,FALSE)*AY$9,"")</f>
        <v/>
      </c>
      <c r="AZ42" s="15" t="str">
        <f>IFERROR(VLOOKUP($A42,'[1]3. Mitigation Impact on Coverag'!$A$7:$MY$53,AZ$2,FALSE)*AZ$9,"")</f>
        <v/>
      </c>
      <c r="BA42" s="15" t="str">
        <f>IFERROR(VLOOKUP($A42,'[1]3. Mitigation Impact on Coverag'!$A$7:$MY$53,BA$2,FALSE)*BA$9,"")</f>
        <v/>
      </c>
      <c r="BB42" s="23" t="str">
        <f>IFERROR(VLOOKUP($A42,'[1]3. Mitigation Impact on Coverag'!$A$7:$MY$53,BB$2,FALSE)*BB$9,"")</f>
        <v/>
      </c>
      <c r="BC42" s="14">
        <f>IFERROR(VLOOKUP($A42,'[1]3. Mitigation Impact on Coverag'!$A$7:$MY$53,BC$2,FALSE)*BC$9,"")</f>
        <v>0</v>
      </c>
      <c r="BD42" s="15">
        <f>IFERROR(VLOOKUP($A42,'[1]3. Mitigation Impact on Coverag'!$A$7:$MY$53,BD$2,FALSE)*BD$9,"")</f>
        <v>0</v>
      </c>
      <c r="BE42" s="15">
        <f>IFERROR(VLOOKUP($A42,'[1]3. Mitigation Impact on Coverag'!$A$7:$MY$53,BE$2,FALSE)*BE$9,"")</f>
        <v>1</v>
      </c>
      <c r="BF42" s="15">
        <f>IFERROR(VLOOKUP($A42,'[1]3. Mitigation Impact on Coverag'!$A$7:$MY$53,BF$2,FALSE)*BF$9,"")</f>
        <v>0</v>
      </c>
      <c r="BG42" s="15">
        <f>IFERROR(VLOOKUP($A42,'[1]3. Mitigation Impact on Coverag'!$A$7:$MY$53,BG$2,FALSE)*BG$9,"")</f>
        <v>0</v>
      </c>
      <c r="BH42" s="15">
        <f>IFERROR(VLOOKUP($A42,'[1]3. Mitigation Impact on Coverag'!$A$7:$MY$53,BH$2,FALSE)*BH$9,"")</f>
        <v>2.7777777777777799</v>
      </c>
      <c r="BI42" s="15">
        <f>IFERROR(VLOOKUP($A42,'[1]3. Mitigation Impact on Coverag'!$A$7:$MY$53,BI$2,FALSE)*BI$9,"")</f>
        <v>0</v>
      </c>
      <c r="BJ42" s="19">
        <f>IFERROR(VLOOKUP($A42,'[1]3. Mitigation Impact on Coverag'!$A$7:$MY$53,BJ$2,FALSE)*BJ$9,"")</f>
        <v>0</v>
      </c>
      <c r="BK42" s="40" t="str">
        <f>IFERROR(VLOOKUP($A42,'[1]3. Mitigation Impact on Coverag'!$A$7:$MY$53,BK$2,FALSE)*BK$9,"")</f>
        <v/>
      </c>
      <c r="BL42" s="41" t="str">
        <f>IFERROR(VLOOKUP($A42,'[1]3. Mitigation Impact on Coverag'!$A$7:$MY$53,BL$2,FALSE)*BL$9,"")</f>
        <v/>
      </c>
      <c r="BM42" s="51" t="str">
        <f>IFERROR(VLOOKUP($A42,'[1]3. Mitigation Impact on Coverag'!$A$7:$MY$53,BM$2,FALSE)*BM$9,"")</f>
        <v/>
      </c>
      <c r="BN42" s="52" t="str">
        <f>B42</f>
        <v/>
      </c>
      <c r="BO42" s="52">
        <f>SUM(C42:O42)</f>
        <v>0</v>
      </c>
      <c r="BP42" s="52">
        <f>SUM(P42:AF42)</f>
        <v>0</v>
      </c>
      <c r="BQ42" s="52">
        <f>SUM(AG42:AO42)</f>
        <v>0</v>
      </c>
      <c r="BR42" s="52">
        <f>SUM(AP42:AR42)</f>
        <v>0</v>
      </c>
      <c r="BS42" s="52">
        <f>SUM(AS42:BB42)</f>
        <v>0</v>
      </c>
      <c r="BT42" s="52">
        <f>SUM(BC42:BJ42)</f>
        <v>3.7777777777777799</v>
      </c>
      <c r="BU42" s="52">
        <f>SUM(BK42:BL42)</f>
        <v>0</v>
      </c>
      <c r="BV42" s="52" t="str">
        <f>BM42</f>
        <v/>
      </c>
      <c r="BW42" s="94">
        <f>SUM(BN42:BV42)</f>
        <v>3.7777777777777799</v>
      </c>
      <c r="BX42" s="95">
        <f>BW42/$BW$9</f>
        <v>1.1552837240910599E-3</v>
      </c>
    </row>
    <row r="43" spans="1:83" s="2" customFormat="1">
      <c r="A43" s="12"/>
      <c r="B43" s="13" t="str">
        <f>IFERROR(VLOOKUP($A43,'[1]3. Mitigation Impact on Coverag'!$A$7:$MY$53,B$2,FALSE)*B$9,"")</f>
        <v/>
      </c>
      <c r="C43" s="14" t="str">
        <f>IFERROR(VLOOKUP($A43,'[1]3. Mitigation Impact on Coverag'!$A$7:$MY$53,C$2,FALSE)*C$9,"")</f>
        <v/>
      </c>
      <c r="D43" s="15" t="str">
        <f>IFERROR(VLOOKUP($A43,'[1]3. Mitigation Impact on Coverag'!$A$7:$MY$53,D$2,FALSE)*D$9,"")</f>
        <v/>
      </c>
      <c r="E43" s="15" t="str">
        <f>IFERROR(VLOOKUP($A43,'[1]3. Mitigation Impact on Coverag'!$A$7:$MY$53,E$2,FALSE)*E$9,"")</f>
        <v/>
      </c>
      <c r="F43" s="15" t="str">
        <f>IFERROR(VLOOKUP($A43,'[1]3. Mitigation Impact on Coverag'!$A$7:$MY$53,F$2,FALSE)*F$9,"")</f>
        <v/>
      </c>
      <c r="G43" s="15" t="str">
        <f>IFERROR(VLOOKUP($A43,'[1]3. Mitigation Impact on Coverag'!$A$7:$MY$53,G$2,FALSE)*G$9,"")</f>
        <v/>
      </c>
      <c r="H43" s="15" t="str">
        <f>IFERROR(VLOOKUP($A43,'[1]3. Mitigation Impact on Coverag'!$A$7:$MY$53,H$2,FALSE)*H$9,"")</f>
        <v/>
      </c>
      <c r="I43" s="15" t="str">
        <f>IFERROR(VLOOKUP($A43,'[1]3. Mitigation Impact on Coverag'!$A$7:$MY$53,I$2,FALSE)*I$9,"")</f>
        <v/>
      </c>
      <c r="J43" s="15" t="str">
        <f>IFERROR(VLOOKUP($A43,'[1]3. Mitigation Impact on Coverag'!$A$7:$MY$53,J$2,FALSE)*J$9,"")</f>
        <v/>
      </c>
      <c r="K43" s="15" t="str">
        <f>IFERROR(VLOOKUP($A43,'[1]3. Mitigation Impact on Coverag'!$A$7:$MY$53,K$2,FALSE)*K$9,"")</f>
        <v/>
      </c>
      <c r="L43" s="15" t="str">
        <f>IFERROR(VLOOKUP($A43,'[1]3. Mitigation Impact on Coverag'!$A$7:$MY$53,L$2,FALSE)*L$9,"")</f>
        <v/>
      </c>
      <c r="M43" s="15" t="str">
        <f>IFERROR(VLOOKUP($A43,'[1]3. Mitigation Impact on Coverag'!$A$7:$MY$53,M$2,FALSE)*M$9,"")</f>
        <v/>
      </c>
      <c r="N43" s="15" t="str">
        <f>IFERROR(VLOOKUP($A43,'[1]3. Mitigation Impact on Coverag'!$A$7:$MY$53,N$2,FALSE)*N$9,"")</f>
        <v/>
      </c>
      <c r="O43" s="19" t="str">
        <f>IFERROR(VLOOKUP($A43,'[1]3. Mitigation Impact on Coverag'!$A$7:$MY$53,O$2,FALSE)*O$9,"")</f>
        <v/>
      </c>
      <c r="P43" s="14" t="str">
        <f>IFERROR(VLOOKUP($A43,'[1]3. Mitigation Impact on Coverag'!$A$7:$MY$53,P$2,FALSE)*P$9,"")</f>
        <v/>
      </c>
      <c r="Q43" s="15" t="str">
        <f>IFERROR(VLOOKUP($A43,'[1]3. Mitigation Impact on Coverag'!$A$7:$MY$53,Q$2,FALSE)*Q$9,"")</f>
        <v/>
      </c>
      <c r="R43" s="15" t="str">
        <f>IFERROR(VLOOKUP($A43,'[1]3. Mitigation Impact on Coverag'!$A$7:$MY$53,R$2,FALSE)*R$9,"")</f>
        <v/>
      </c>
      <c r="S43" s="15" t="str">
        <f>IFERROR(VLOOKUP($A43,'[1]3. Mitigation Impact on Coverag'!$A$7:$MY$53,S$2,FALSE)*S$9,"")</f>
        <v/>
      </c>
      <c r="T43" s="15" t="str">
        <f>IFERROR(VLOOKUP($A43,'[1]3. Mitigation Impact on Coverag'!$A$7:$MY$53,T$2,FALSE)*T$9,"")</f>
        <v/>
      </c>
      <c r="U43" s="15" t="str">
        <f>IFERROR(VLOOKUP($A43,'[1]3. Mitigation Impact on Coverag'!$A$7:$MY$53,U$2,FALSE)*U$9,"")</f>
        <v/>
      </c>
      <c r="V43" s="15" t="str">
        <f>IFERROR(VLOOKUP($A43,'[1]3. Mitigation Impact on Coverag'!$A$7:$MY$53,V$2,FALSE)*V$9,"")</f>
        <v/>
      </c>
      <c r="W43" s="15" t="str">
        <f>IFERROR(VLOOKUP($A43,'[1]3. Mitigation Impact on Coverag'!$A$7:$MY$53,W$2,FALSE)*W$9,"")</f>
        <v/>
      </c>
      <c r="X43" s="15" t="str">
        <f>IFERROR(VLOOKUP($A43,'[1]3. Mitigation Impact on Coverag'!$A$7:$MY$53,X$2,FALSE)*X$9,"")</f>
        <v/>
      </c>
      <c r="Y43" s="15" t="str">
        <f>IFERROR(VLOOKUP($A43,'[1]3. Mitigation Impact on Coverag'!$A$7:$MY$53,Y$2,FALSE)*Y$9,"")</f>
        <v/>
      </c>
      <c r="Z43" s="15" t="str">
        <f>IFERROR(VLOOKUP($A43,'[1]3. Mitigation Impact on Coverag'!$A$7:$MY$53,Z$2,FALSE)*Z$9,"")</f>
        <v/>
      </c>
      <c r="AA43" s="15" t="str">
        <f>IFERROR(VLOOKUP($A43,'[1]3. Mitigation Impact on Coverag'!$A$7:$MY$53,AA$2,FALSE)*AA$9,"")</f>
        <v/>
      </c>
      <c r="AB43" s="15" t="str">
        <f>IFERROR(VLOOKUP($A43,'[1]3. Mitigation Impact on Coverag'!$A$7:$MY$53,AB$2,FALSE)*AB$9,"")</f>
        <v/>
      </c>
      <c r="AC43" s="15" t="str">
        <f>IFERROR(VLOOKUP($A43,'[1]3. Mitigation Impact on Coverag'!$A$7:$MY$53,AC$2,FALSE)*AC$9,"")</f>
        <v/>
      </c>
      <c r="AD43" s="15" t="str">
        <f>IFERROR(VLOOKUP($A43,'[1]3. Mitigation Impact on Coverag'!$A$7:$MY$53,AD$2,FALSE)*AD$9,"")</f>
        <v/>
      </c>
      <c r="AE43" s="15" t="str">
        <f>IFERROR(VLOOKUP($A43,'[1]3. Mitigation Impact on Coverag'!$A$7:$MY$53,AE$2,FALSE)*AE$9,"")</f>
        <v/>
      </c>
      <c r="AF43" s="23" t="str">
        <f>IFERROR(VLOOKUP($A43,'[1]3. Mitigation Impact on Coverag'!$A$7:$MY$53,AF$2,FALSE)*AF$9,"")</f>
        <v/>
      </c>
      <c r="AG43" s="14" t="str">
        <f>IFERROR(VLOOKUP($A43,'[1]3. Mitigation Impact on Coverag'!$A$7:$MY$53,AG$2,FALSE)*AG$9,"")</f>
        <v/>
      </c>
      <c r="AH43" s="28" t="str">
        <f>IFERROR(VLOOKUP($A43,'[1]3. Mitigation Impact on Coverag'!$A$7:$MY$53,AH$2,FALSE)*AH$9,"")</f>
        <v/>
      </c>
      <c r="AI43" s="28" t="str">
        <f>IFERROR(VLOOKUP($A43,'[1]3. Mitigation Impact on Coverag'!$A$7:$MY$53,AI$2,FALSE)*AI$9,"")</f>
        <v/>
      </c>
      <c r="AJ43" s="15" t="str">
        <f>IFERROR(VLOOKUP($A43,'[1]3. Mitigation Impact on Coverag'!$A$7:$MY$53,AJ$2,FALSE)*AJ$9,"")</f>
        <v/>
      </c>
      <c r="AK43" s="15" t="str">
        <f>IFERROR(VLOOKUP($A43,'[1]3. Mitigation Impact on Coverag'!$A$7:$MY$53,AK$2,FALSE)*AK$9,"")</f>
        <v/>
      </c>
      <c r="AL43" s="15" t="str">
        <f>IFERROR(VLOOKUP($A43,'[1]3. Mitigation Impact on Coverag'!$A$7:$MY$53,AL$2,FALSE)*AL$9,"")</f>
        <v/>
      </c>
      <c r="AM43" s="15" t="str">
        <f>IFERROR(VLOOKUP($A43,'[1]3. Mitigation Impact on Coverag'!$A$7:$MY$53,AM$2,FALSE)*AM$9,"")</f>
        <v/>
      </c>
      <c r="AN43" s="15" t="str">
        <f>IFERROR(VLOOKUP($A43,'[1]3. Mitigation Impact on Coverag'!$A$7:$MY$53,AN$2,FALSE)*AN$9,"")</f>
        <v/>
      </c>
      <c r="AO43" s="15" t="str">
        <f>IFERROR(VLOOKUP($A43,'[1]3. Mitigation Impact on Coverag'!$A$7:$MY$53,AO$2,FALSE)*AO$9,"")</f>
        <v/>
      </c>
      <c r="AP43" s="14" t="str">
        <f>IFERROR(VLOOKUP($A43,'[1]3. Mitigation Impact on Coverag'!$A$7:$MY$53,AP$2,FALSE)*AP$9,"")</f>
        <v/>
      </c>
      <c r="AQ43" s="15" t="str">
        <f>IFERROR(VLOOKUP($A43,'[1]3. Mitigation Impact on Coverag'!$A$7:$MY$53,AQ$2,FALSE)*AQ$9,"")</f>
        <v/>
      </c>
      <c r="AR43" s="19" t="str">
        <f>IFERROR(VLOOKUP($A43,'[1]3. Mitigation Impact on Coverag'!$A$7:$MY$53,AR$2,FALSE)*AR$9,"")</f>
        <v/>
      </c>
      <c r="AS43" s="28" t="str">
        <f>IFERROR(VLOOKUP($A43,'[1]3. Mitigation Impact on Coverag'!$A$7:$MY$53,AS$2,FALSE)*AS$9,"")</f>
        <v/>
      </c>
      <c r="AT43" s="15" t="str">
        <f>IFERROR(VLOOKUP($A43,'[1]3. Mitigation Impact on Coverag'!$A$7:$MY$53,AT$2,FALSE)*AT$9,"")</f>
        <v/>
      </c>
      <c r="AU43" s="15" t="str">
        <f>IFERROR(VLOOKUP($A43,'[1]3. Mitigation Impact on Coverag'!$A$7:$MY$53,AU$2,FALSE)*AU$9,"")</f>
        <v/>
      </c>
      <c r="AV43" s="15" t="str">
        <f>IFERROR(VLOOKUP($A43,'[1]3. Mitigation Impact on Coverag'!$A$7:$MY$53,AV$2,FALSE)*AV$9,"")</f>
        <v/>
      </c>
      <c r="AW43" s="15" t="str">
        <f>IFERROR(VLOOKUP($A43,'[1]3. Mitigation Impact on Coverag'!$A$7:$MY$53,AW$2,FALSE)*AW$9,"")</f>
        <v/>
      </c>
      <c r="AX43" s="15" t="str">
        <f>IFERROR(VLOOKUP($A43,'[1]3. Mitigation Impact on Coverag'!$A$7:$MY$53,AX$2,FALSE)*AX$9,"")</f>
        <v/>
      </c>
      <c r="AY43" s="15" t="str">
        <f>IFERROR(VLOOKUP($A43,'[1]3. Mitigation Impact on Coverag'!$A$7:$MY$53,AY$2,FALSE)*AY$9,"")</f>
        <v/>
      </c>
      <c r="AZ43" s="15" t="str">
        <f>IFERROR(VLOOKUP($A43,'[1]3. Mitigation Impact on Coverag'!$A$7:$MY$53,AZ$2,FALSE)*AZ$9,"")</f>
        <v/>
      </c>
      <c r="BA43" s="15" t="str">
        <f>IFERROR(VLOOKUP($A43,'[1]3. Mitigation Impact on Coverag'!$A$7:$MY$53,BA$2,FALSE)*BA$9,"")</f>
        <v/>
      </c>
      <c r="BB43" s="23" t="str">
        <f>IFERROR(VLOOKUP($A43,'[1]3. Mitigation Impact on Coverag'!$A$7:$MY$53,BB$2,FALSE)*BB$9,"")</f>
        <v/>
      </c>
      <c r="BC43" s="14" t="str">
        <f>IFERROR(VLOOKUP($A43,'[1]3. Mitigation Impact on Coverag'!$A$7:$MY$53,BC$2,FALSE)*BC$9,"")</f>
        <v/>
      </c>
      <c r="BD43" s="15" t="str">
        <f>IFERROR(VLOOKUP($A43,'[1]3. Mitigation Impact on Coverag'!$A$7:$MY$53,BD$2,FALSE)*BD$9,"")</f>
        <v/>
      </c>
      <c r="BE43" s="15" t="str">
        <f>IFERROR(VLOOKUP($A43,'[1]3. Mitigation Impact on Coverag'!$A$7:$MY$53,BE$2,FALSE)*BE$9,"")</f>
        <v/>
      </c>
      <c r="BF43" s="15" t="str">
        <f>IFERROR(VLOOKUP($A43,'[1]3. Mitigation Impact on Coverag'!$A$7:$MY$53,BF$2,FALSE)*BF$9,"")</f>
        <v/>
      </c>
      <c r="BG43" s="15" t="str">
        <f>IFERROR(VLOOKUP($A43,'[1]3. Mitigation Impact on Coverag'!$A$7:$MY$53,BG$2,FALSE)*BG$9,"")</f>
        <v/>
      </c>
      <c r="BH43" s="15" t="str">
        <f>IFERROR(VLOOKUP($A43,'[1]3. Mitigation Impact on Coverag'!$A$7:$MY$53,BH$2,FALSE)*BH$9,"")</f>
        <v/>
      </c>
      <c r="BI43" s="15" t="str">
        <f>IFERROR(VLOOKUP($A43,'[1]3. Mitigation Impact on Coverag'!$A$7:$MY$53,BI$2,FALSE)*BI$9,"")</f>
        <v/>
      </c>
      <c r="BJ43" s="19" t="str">
        <f>IFERROR(VLOOKUP($A43,'[1]3. Mitigation Impact on Coverag'!$A$7:$MY$53,BJ$2,FALSE)*BJ$9,"")</f>
        <v/>
      </c>
      <c r="BK43" s="40" t="str">
        <f>IFERROR(VLOOKUP($A43,'[1]3. Mitigation Impact on Coverag'!$A$7:$MY$53,BK$2,FALSE)*BK$9,"")</f>
        <v/>
      </c>
      <c r="BL43" s="41" t="str">
        <f>IFERROR(VLOOKUP($A43,'[1]3. Mitigation Impact on Coverag'!$A$7:$MY$53,BL$2,FALSE)*BL$9,"")</f>
        <v/>
      </c>
      <c r="BM43" s="51" t="str">
        <f>IFERROR(VLOOKUP($A43,'[1]3. Mitigation Impact on Coverag'!$A$7:$MY$53,BM$2,FALSE)*BM$9,"")</f>
        <v/>
      </c>
      <c r="BN43" s="52" t="str">
        <f>B43</f>
        <v/>
      </c>
      <c r="BO43" s="52">
        <f>SUM(C43:O43)</f>
        <v>0</v>
      </c>
      <c r="BP43" s="52">
        <f>SUM(P43:AF43)</f>
        <v>0</v>
      </c>
      <c r="BQ43" s="52">
        <f>SUM(AG43:AO43)</f>
        <v>0</v>
      </c>
      <c r="BR43" s="52">
        <f>SUM(AP43:AR43)</f>
        <v>0</v>
      </c>
      <c r="BS43" s="52">
        <f>SUM(AS43:BB43)</f>
        <v>0</v>
      </c>
      <c r="BT43" s="52">
        <f>SUM(BC43:BJ43)</f>
        <v>0</v>
      </c>
      <c r="BU43" s="52">
        <f>SUM(BK43:BL43)</f>
        <v>0</v>
      </c>
      <c r="BV43" s="52" t="str">
        <f>BM43</f>
        <v/>
      </c>
      <c r="BW43" s="94">
        <f>SUM(BN43:BV43)</f>
        <v>0</v>
      </c>
      <c r="BX43" s="95">
        <f>BW43/$BW$9</f>
        <v>0</v>
      </c>
    </row>
    <row r="44" spans="1:83">
      <c r="BY44" s="2"/>
      <c r="BZ44" s="2"/>
      <c r="CA44" s="2"/>
      <c r="CB44" s="2"/>
      <c r="CC44" s="2"/>
      <c r="CD44" s="2"/>
      <c r="CE44" s="2"/>
    </row>
  </sheetData>
  <mergeCells count="18">
    <mergeCell ref="BV3:BV6"/>
    <mergeCell ref="BW3:BW6"/>
    <mergeCell ref="BX3:BX6"/>
    <mergeCell ref="BQ3:BQ6"/>
    <mergeCell ref="BR3:BR6"/>
    <mergeCell ref="BS3:BS6"/>
    <mergeCell ref="BT3:BT6"/>
    <mergeCell ref="BU3:BU6"/>
    <mergeCell ref="BC3:BJ3"/>
    <mergeCell ref="BK3:BL3"/>
    <mergeCell ref="BN3:BN6"/>
    <mergeCell ref="BO3:BO6"/>
    <mergeCell ref="BP3:BP6"/>
    <mergeCell ref="C3:O3"/>
    <mergeCell ref="P3:AF3"/>
    <mergeCell ref="AG3:AO3"/>
    <mergeCell ref="AP3:AR3"/>
    <mergeCell ref="AS3:BB3"/>
  </mergeCells>
  <conditionalFormatting sqref="B21:BM21">
    <cfRule type="cellIs" dxfId="10" priority="7" operator="equal">
      <formula>0</formula>
    </cfRule>
  </conditionalFormatting>
  <conditionalFormatting sqref="B25:BM25">
    <cfRule type="cellIs" dxfId="9" priority="6" operator="equal">
      <formula>0</formula>
    </cfRule>
  </conditionalFormatting>
  <conditionalFormatting sqref="B29:BM29">
    <cfRule type="cellIs" dxfId="8" priority="5" operator="equal">
      <formula>0</formula>
    </cfRule>
  </conditionalFormatting>
  <conditionalFormatting sqref="B33:BM33">
    <cfRule type="cellIs" dxfId="7" priority="4" operator="equal">
      <formula>0</formula>
    </cfRule>
  </conditionalFormatting>
  <conditionalFormatting sqref="B37:BM37">
    <cfRule type="cellIs" dxfId="6" priority="3" operator="equal">
      <formula>0</formula>
    </cfRule>
  </conditionalFormatting>
  <conditionalFormatting sqref="B41:BM41">
    <cfRule type="cellIs" dxfId="5" priority="2" operator="equal">
      <formula>0</formula>
    </cfRule>
  </conditionalFormatting>
  <conditionalFormatting sqref="B10:BM20 B22:BM24 B26:BM28 B30:BM32 B34:BM36 B38:BM40 B42:BM43">
    <cfRule type="cellIs" dxfId="4" priority="11" operator="equal">
      <formula>0</formula>
    </cfRule>
  </conditionalFormatting>
  <conditionalFormatting sqref="BN11:BV20 BN22:BV24 BN26:BV28 BN30:BV32 BN34:BV36 BN38:BV40 BN42:BV43">
    <cfRule type="cellIs" dxfId="3" priority="10" operator="equal">
      <formula>0</formula>
    </cfRule>
  </conditionalFormatting>
  <conditionalFormatting sqref="BW11:BW20 BW22:BW24 BW26:BW28 BW30:BW32 BW34:BW36 BW38:BW40 BW42:BW43">
    <cfRule type="cellIs" dxfId="2" priority="9" operator="equal">
      <formula>0</formula>
    </cfRule>
  </conditionalFormatting>
  <conditionalFormatting sqref="BX11:BX20 BX22:BX24 BX26:BX28 BX30:BX32 BX34:BX36 BX38:BX40 BX42:BX43">
    <cfRule type="cellIs" dxfId="1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2024-11-19T04:36:00Z</dcterms:created>
  <dcterms:modified xsi:type="dcterms:W3CDTF">2025-12-10T05:47:54Z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47F8311039DE4A6AB857D77CA6A5BB5F_11</vt:lpwstr>
  </property>
  <property fmtid="{D5CDD505-2E9C-101B-9397-08002B2CF9AE}" pid="3" name="KSOProductBuildVer">
    <vt:lpwstr>2052-12.1.0.19302</vt:lpwstr>
  </property>
</Properties>
</file>