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1D068D8-4313-43DB-9A6B-5F7E4BBF2C7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9" i="1"/>
  <c r="G8" i="1"/>
  <c r="F8" i="1"/>
  <c r="G7" i="1"/>
  <c r="F7" i="1"/>
  <c r="G6" i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<sst xmlns="http://schemas.openxmlformats.org/spreadsheetml/2006/main" count="20" uniqueCount="20">
  <si>
    <t xml:space="preserve">Pr1/Oct-1 (Fold Change) </t>
  </si>
  <si>
    <t>Expt1</t>
  </si>
  <si>
    <t>Expt2</t>
  </si>
  <si>
    <t>Exp3</t>
  </si>
  <si>
    <t xml:space="preserve">Mean </t>
  </si>
  <si>
    <t>SD</t>
  </si>
  <si>
    <t>Set 1</t>
  </si>
  <si>
    <t>TNF 0h</t>
  </si>
  <si>
    <t>Set 2</t>
  </si>
  <si>
    <t>TNF 0.5 h</t>
  </si>
  <si>
    <t>Set 3</t>
  </si>
  <si>
    <t>TNF 1h</t>
  </si>
  <si>
    <t>Set 4</t>
  </si>
  <si>
    <t>TNF 3h</t>
  </si>
  <si>
    <t>Set 5</t>
  </si>
  <si>
    <t>TNF 6h</t>
  </si>
  <si>
    <t>Set 6</t>
  </si>
  <si>
    <t>TNF 12h</t>
  </si>
  <si>
    <t>Set 7</t>
  </si>
  <si>
    <t>TNF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</si>
</sst>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2" xfId="0" applyBorder="1" applyAlignme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/>
    <xf numFmtId="0" fontId="0" fillId="0" borderId="0" xfId="0" applyAlignment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3" borderId="4" xfId="0" applyFill="1" applyBorder="1" applyAlignment="1"/>
    <xf numFmtId="0" fontId="0" fillId="3" borderId="0" xfId="0" applyFill="1" applyAlignment="1"/>
    <xf numFmtId="0" fontId="0" fillId="3" borderId="6" xfId="0" applyFill="1" applyBorder="1" applyAlignment="1"/>
    <xf numFmtId="0" fontId="0" fillId="3" borderId="7" xfId="0" applyFill="1" applyBorder="1" applyAlignment="1"/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5" sqref="J5"/>
    </sheetView>
  </sheetViews>
  <sheetFormatPr defaultColWidth="8.7109375" defaultRowHeight="15"/>
  <cols>
    <col min="1" max="1" width="6.5703125" customWidth="1"/>
    <col min="2" max="2" width="10.5703125" customWidth="1"/>
    <col min="3" max="7" width="12.85546875" customWidth="1"/>
  </cols>
  <sheetData>
    <row r="1" spans="1:7">
      <c r="A1" s="1"/>
      <c r="B1" s="2"/>
      <c r="C1" s="13" t="s">
        <v>0</v>
      </c>
      <c r="D1" s="14"/>
      <c r="E1" s="15"/>
      <c r="F1" s="3"/>
      <c r="G1" s="4"/>
    </row>
    <row r="2" spans="1:7">
      <c r="A2" s="5"/>
      <c r="B2" s="6"/>
      <c r="C2" s="16" t="s">
        <v>1</v>
      </c>
      <c r="D2" s="17" t="s">
        <v>2</v>
      </c>
      <c r="E2" s="18" t="s">
        <v>3</v>
      </c>
      <c r="F2" s="17" t="s">
        <v>4</v>
      </c>
      <c r="G2" s="18" t="s">
        <v>5</v>
      </c>
    </row>
    <row r="3" spans="1:7">
      <c r="A3" s="19" t="s">
        <v>6</v>
      </c>
      <c r="B3" s="20" t="s">
        <v>7</v>
      </c>
      <c r="C3" s="23">
        <v>1</v>
      </c>
      <c r="D3" s="24">
        <v>1</v>
      </c>
      <c r="E3" s="25">
        <v>1</v>
      </c>
      <c r="F3" s="24">
        <f t="shared" ref="F3:F9" si="0">AVERAGE(C3:E3)</f>
        <v>1</v>
      </c>
      <c r="G3" s="25">
        <f t="shared" ref="G3:G9" si="1">STDEV(C3:E3)</f>
        <v>0</v>
      </c>
    </row>
    <row r="4" spans="1:7">
      <c r="A4" s="19" t="s">
        <v>8</v>
      </c>
      <c r="B4" s="20" t="s">
        <v>9</v>
      </c>
      <c r="C4" s="7">
        <v>4.2129535777889799</v>
      </c>
      <c r="D4" s="8">
        <v>3.0242353084034299</v>
      </c>
      <c r="E4" s="9">
        <v>3.1189387522826699</v>
      </c>
      <c r="F4" s="8">
        <f t="shared" si="0"/>
        <v>3.4520425461583599</v>
      </c>
      <c r="G4" s="9">
        <f t="shared" si="1"/>
        <v>0.66066737781846596</v>
      </c>
    </row>
    <row r="5" spans="1:7">
      <c r="A5" s="19" t="s">
        <v>10</v>
      </c>
      <c r="B5" s="20" t="s">
        <v>11</v>
      </c>
      <c r="C5" s="7">
        <v>4.0718528203573703</v>
      </c>
      <c r="D5" s="8">
        <v>3.7045428717039899</v>
      </c>
      <c r="E5" s="9">
        <v>2.8583591231877499</v>
      </c>
      <c r="F5" s="8">
        <f t="shared" si="0"/>
        <v>3.5449182717497001</v>
      </c>
      <c r="G5" s="9">
        <f t="shared" si="1"/>
        <v>0.62229554710806301</v>
      </c>
    </row>
    <row r="6" spans="1:7">
      <c r="A6" s="19" t="s">
        <v>12</v>
      </c>
      <c r="B6" s="20" t="s">
        <v>13</v>
      </c>
      <c r="C6" s="7">
        <v>3.9105212206746498</v>
      </c>
      <c r="D6" s="8">
        <v>4.2969669569492197</v>
      </c>
      <c r="E6" s="9">
        <v>2.9157101401600101</v>
      </c>
      <c r="F6" s="8">
        <f t="shared" si="0"/>
        <v>3.7077327725946301</v>
      </c>
      <c r="G6" s="9">
        <f t="shared" si="1"/>
        <v>0.71260786165161905</v>
      </c>
    </row>
    <row r="7" spans="1:7">
      <c r="A7" s="19" t="s">
        <v>14</v>
      </c>
      <c r="B7" s="20" t="s">
        <v>15</v>
      </c>
      <c r="C7" s="7">
        <v>3.89196922436183</v>
      </c>
      <c r="D7" s="8">
        <v>3.8759739993898199</v>
      </c>
      <c r="E7" s="9">
        <v>2.7877819898690599</v>
      </c>
      <c r="F7" s="8">
        <f t="shared" si="0"/>
        <v>3.5185750712069002</v>
      </c>
      <c r="G7" s="9">
        <f t="shared" si="1"/>
        <v>0.63293590323501203</v>
      </c>
    </row>
    <row r="8" spans="1:7">
      <c r="A8" s="19" t="s">
        <v>16</v>
      </c>
      <c r="B8" s="20" t="s">
        <v>17</v>
      </c>
      <c r="C8" s="7">
        <v>3.01749933695503</v>
      </c>
      <c r="D8" s="8">
        <v>3.2019102003418398</v>
      </c>
      <c r="E8" s="9">
        <v>2.3612145748699001</v>
      </c>
      <c r="F8" s="8">
        <f t="shared" si="0"/>
        <v>2.86020803738892</v>
      </c>
      <c r="G8" s="9">
        <f t="shared" si="1"/>
        <v>0.441868417474377</v>
      </c>
    </row>
    <row r="9" spans="1:7">
      <c r="A9" s="21" t="s">
        <v>18</v>
      </c>
      <c r="B9" s="22" t="s">
        <v>19</v>
      </c>
      <c r="C9" s="10">
        <v>1.6351140964977</v>
      </c>
      <c r="D9" s="11">
        <v>2.3257679424721398</v>
      </c>
      <c r="E9" s="12">
        <v>2.1605793402458202</v>
      </c>
      <c r="F9" s="11">
        <f t="shared" si="0"/>
        <v>2.0404871264052198</v>
      </c>
      <c r="G9" s="12">
        <f t="shared" si="1"/>
        <v>0.360648427985862</v>
      </c>
    </row>
  </sheetData>
  <mergeCells count="1">
    <mergeCell ref="C1:E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2025-01-15T02:41:22Z</dcterms:created>
  <dcterms:modified xsi:type="dcterms:W3CDTF">2025-12-10T03:27:57Z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03DEC09A907E41B6B50771CC6A213BE3_11</vt:lpwstr>
  </property>
  <property fmtid="{D5CDD505-2E9C-101B-9397-08002B2CF9AE}" pid="3" name="KSOProductBuildVer">
    <vt:lpwstr>2052-12.1.0.19302</vt:lpwstr>
  </property>
</Properties>
</file>