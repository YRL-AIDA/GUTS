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FF59AC9-AA8E-4D66-9D8F-0773853CAD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Days_Individuals_Are_Infectious">'[1]Detailed COVID Calculations - 1'!$C$11</definedName>
    <definedName name="Fatality_Rate_Adult">'[1]Detailed COVID Calculations - 1'!$C$52</definedName>
    <definedName name="Fatality_Rate_Over_60">'[1]Detailed COVID Calculations - 1'!$C$53</definedName>
    <definedName name="Number_of_Patients">'[1]Detailed COVID Calculations - 1'!$C$5</definedName>
    <definedName name="Package">'[1]2. COVID Impact on Coverage'!$V$3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D26" i="1"/>
  <c r="C26" i="1"/>
  <c r="E25" i="1"/>
  <c r="D25" i="1"/>
  <c r="C25" i="1"/>
  <c r="E23" i="1"/>
  <c r="D23" i="1"/>
  <c r="C23" i="1"/>
  <c r="E22" i="1"/>
  <c r="D22" i="1"/>
  <c r="C22" i="1"/>
  <c r="A22" i="1"/>
  <c r="E21" i="1"/>
  <c r="D21" i="1"/>
  <c r="C21" i="1"/>
  <c r="E19" i="1"/>
  <c r="D19" i="1"/>
  <c r="C19" i="1"/>
  <c r="A19" i="1"/>
  <c r="E17" i="1"/>
  <c r="D17" i="1"/>
  <c r="C17" i="1"/>
  <c r="A17" i="1"/>
  <c r="E15" i="1"/>
  <c r="D15" i="1"/>
  <c r="C15" i="1"/>
  <c r="A15" i="1"/>
  <c r="E13" i="1"/>
  <c r="D13" i="1"/>
  <c r="C13" i="1"/>
  <c r="A13" i="1"/>
  <c r="E11" i="1"/>
  <c r="D11" i="1"/>
  <c r="C11" i="1"/>
  <c r="A11" i="1"/>
  <c r="E10" i="1"/>
  <c r="D10" i="1"/>
  <c r="C10" i="1"/>
  <c r="A10" i="1"/>
  <c r="E8" i="1"/>
  <c r="D8" i="1"/>
  <c r="C8" i="1"/>
  <c r="A8" i="1"/>
  <c r="E5" i="1"/>
  <c r="D5" i="1"/>
  <c r="C5" i="1"/>
  <c r="B4" i="1"/>
</calcChain>
</file>

<file path=xl/sharedStrings.xml><?xml version="1.0" encoding="utf-8"?>
<sst xmlns="http://schemas.openxmlformats.org/spreadsheetml/2006/main" count="26" uniqueCount="25">
  <si>
    <t>LiST Input Data - Family Planning Coverage WITH Mitigation Measures</t>
  </si>
  <si>
    <t>1. Data to be Entered into FamPlan Model</t>
  </si>
  <si>
    <t>2019 Pre-COVID</t>
  </si>
  <si>
    <t>2020 With COVID</t>
  </si>
  <si>
    <t>2021 WITH Mitigation</t>
  </si>
  <si>
    <t xml:space="preserve">Total CPR </t>
  </si>
  <si>
    <t>Method Mix</t>
  </si>
  <si>
    <t>Condom</t>
  </si>
  <si>
    <t>Male condom</t>
  </si>
  <si>
    <t>Sterilization</t>
  </si>
  <si>
    <t>Female sterilization</t>
  </si>
  <si>
    <t>Male sterilization</t>
  </si>
  <si>
    <t>Injectable</t>
  </si>
  <si>
    <t>3 month (Depo Provera)</t>
  </si>
  <si>
    <t>Implants</t>
  </si>
  <si>
    <t>Jadelle (5 years)</t>
  </si>
  <si>
    <t>IUD</t>
  </si>
  <si>
    <t>Copper-T 380-A IUD (10 year)</t>
  </si>
  <si>
    <t>Pill</t>
  </si>
  <si>
    <t>Standard Daily regimen</t>
  </si>
  <si>
    <t>Traditional</t>
  </si>
  <si>
    <t>Withdrawal</t>
  </si>
  <si>
    <t>Periodic abstinence</t>
  </si>
  <si>
    <t>Traditional (Not Specified)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</si>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</sst>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16">
    <font>
      <sz val="11"/>
      <color theme="1"/>
      <name val="Calibri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14"/>
      <color theme="1"/>
      <name val="Bernard MT Condensed"/>
      <charset val="134"/>
    </font>
    <font>
      <b/>
      <sz val="11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b/>
      <i/>
      <sz val="9"/>
      <color theme="1"/>
      <name val="Century Gothic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rgb="FFFF0000"/>
      <name val="Calibri"/>
      <charset val="134"/>
      <scheme val="minor"/>
    </font>
    <font>
      <b/>
      <sz val="11"/>
      <color rgb="FFC00000"/>
      <name val="Arial Narrow"/>
      <charset val="134"/>
    </font>
    <font>
      <sz val="11"/>
      <color rgb="FFC00000"/>
      <name val="Arial Narrow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4"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/>
    <xf numFmtId="0" fontId="2" fillId="0" borderId="0"/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68" fontId="7" fillId="0" borderId="3" xfId="1" applyNumberFormat="1" applyFont="1" applyFill="1" applyBorder="1" applyAlignment="1"/>
    <xf numFmtId="168" fontId="8" fillId="2" borderId="3" xfId="0" applyNumberFormat="1" applyFont="1" applyFill="1" applyBorder="1" applyAlignment="1"/>
    <xf numFmtId="168" fontId="2" fillId="2" borderId="3" xfId="1" applyNumberFormat="1" applyFont="1" applyFill="1" applyBorder="1" applyAlignment="1"/>
    <xf numFmtId="168" fontId="9" fillId="0" borderId="3" xfId="0" applyNumberFormat="1" applyFont="1" applyBorder="1" applyAlignment="1"/>
    <xf numFmtId="168" fontId="2" fillId="0" borderId="3" xfId="1" applyNumberFormat="1" applyFont="1" applyFill="1" applyBorder="1" applyAlignment="1"/>
    <xf numFmtId="0" fontId="2" fillId="0" borderId="4" xfId="0" applyFont="1" applyBorder="1" applyAlignment="1">
      <alignment horizontal="center"/>
    </xf>
    <xf numFmtId="168" fontId="9" fillId="3" borderId="3" xfId="0" applyNumberFormat="1" applyFont="1" applyFill="1" applyBorder="1" applyAlignment="1"/>
    <xf numFmtId="168" fontId="2" fillId="3" borderId="3" xfId="1" applyNumberFormat="1" applyFont="1" applyFill="1" applyBorder="1" applyAlignment="1"/>
    <xf numFmtId="168" fontId="10" fillId="0" borderId="0" xfId="0" applyNumberFormat="1" applyFont="1" applyAlignment="1"/>
    <xf numFmtId="0" fontId="12" fillId="0" borderId="0" xfId="0" applyFont="1" applyAlignment="1"/>
    <xf numFmtId="0" fontId="13" fillId="0" borderId="0" xfId="0" applyFont="1" applyAlignment="1"/>
    <xf numFmtId="0" fontId="11" fillId="0" borderId="0" xfId="0" applyFont="1" applyAlignment="1">
      <alignment horizontal="left" wrapText="1"/>
    </xf>
    <xf numFmtId="0" fontId="14" fillId="0" borderId="0" xfId="0" applyFont="1" applyAlignment="1">
      <alignment horizontal="left" vertical="top" wrapText="1"/>
    </xf>
    <xf numFmtId="0" fontId="1" fillId="4" borderId="0" xfId="0" applyFont="1" applyFill="1" applyAlignment="1"/>
    <xf numFmtId="0" fontId="4" fillId="4" borderId="0" xfId="0" applyFont="1" applyFill="1" applyAlignment="1"/>
    <xf numFmtId="0" fontId="5" fillId="5" borderId="0" xfId="0" applyFont="1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168" fontId="6" fillId="5" borderId="2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/>
    <xf numFmtId="0" fontId="8" fillId="6" borderId="3" xfId="0" applyFont="1" applyFill="1" applyBorder="1" applyAlignment="1"/>
    <xf numFmtId="0" fontId="9" fillId="6" borderId="3" xfId="0" applyFont="1" applyFill="1" applyBorder="1" applyAlignment="1"/>
  </cellXfs>
  <cellStyles count="4">
    <cellStyle name="Normal 14" xfId="2" xr:uid="{00000000-0005-0000-0000-000031000000}"/>
    <cellStyle name="Normal 2" xfId="3" xr:uid="{00000000-0005-0000-0000-000032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</sheetData>
      <sheetData sheetId="2"/>
      <sheetData sheetId="3">
        <row r="11">
          <cell r="AH11">
            <v>0.38679218329474202</v>
          </cell>
        </row>
        <row r="12">
          <cell r="AH12">
            <v>0.415094375560701</v>
          </cell>
        </row>
        <row r="13">
          <cell r="AH13">
            <v>0.19811344114455701</v>
          </cell>
        </row>
        <row r="14">
          <cell r="AH14">
            <v>0</v>
          </cell>
        </row>
      </sheetData>
      <sheetData sheetId="4"/>
      <sheetData sheetId="5"/>
      <sheetData sheetId="6"/>
      <sheetData sheetId="7"/>
      <sheetData sheetId="8">
        <row r="4">
          <cell r="F4">
            <v>0.65735509000000003</v>
          </cell>
          <cell r="G4">
            <v>0.46039818999999998</v>
          </cell>
          <cell r="I4">
            <v>0.51862653780000001</v>
          </cell>
          <cell r="K4">
            <v>0.68627871395999995</v>
          </cell>
        </row>
        <row r="5">
          <cell r="F5">
            <v>0.50341753</v>
          </cell>
          <cell r="G5">
            <v>0.32218721919999999</v>
          </cell>
          <cell r="I5">
            <v>0.37373717427199998</v>
          </cell>
          <cell r="K5">
            <v>0.52556790131999997</v>
          </cell>
        </row>
        <row r="6">
          <cell r="F6">
            <v>0</v>
          </cell>
          <cell r="G6">
            <v>0</v>
          </cell>
          <cell r="I6">
            <v>0</v>
          </cell>
          <cell r="K6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K7">
            <v>0</v>
          </cell>
        </row>
        <row r="8">
          <cell r="F8">
            <v>0</v>
          </cell>
          <cell r="G8">
            <v>0</v>
          </cell>
          <cell r="I8">
            <v>0</v>
          </cell>
          <cell r="K8">
            <v>0</v>
          </cell>
        </row>
        <row r="9">
          <cell r="F9">
            <v>4.3684969999999997E-2</v>
          </cell>
          <cell r="G9">
            <v>2.7958380800000002E-2</v>
          </cell>
          <cell r="I9">
            <v>3.2431721727999997E-2</v>
          </cell>
          <cell r="K9">
            <v>4.5607108680000001E-2</v>
          </cell>
        </row>
        <row r="10">
          <cell r="F10">
            <v>0</v>
          </cell>
          <cell r="G10">
            <v>0</v>
          </cell>
          <cell r="I10">
            <v>0</v>
          </cell>
          <cell r="K10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K11">
            <v>0</v>
          </cell>
        </row>
        <row r="12">
          <cell r="G12">
            <v>0.11025259</v>
          </cell>
          <cell r="I12">
            <v>0.11245764179999999</v>
          </cell>
          <cell r="K12">
            <v>0.11510370396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B1" workbookViewId="0">
      <selection activeCell="B5" sqref="B5:B25"/>
    </sheetView>
  </sheetViews>
  <sheetFormatPr defaultColWidth="9.85546875" defaultRowHeight="15"/>
  <cols>
    <col min="1" max="1" width="4.140625" style="1" hidden="1" customWidth="1"/>
    <col min="2" max="2" width="89.42578125" style="1" customWidth="1"/>
    <col min="3" max="4" width="8" style="1" customWidth="1"/>
    <col min="5" max="5" width="8.42578125" style="1" customWidth="1"/>
    <col min="6" max="16384" width="9.85546875" style="1"/>
  </cols>
  <sheetData>
    <row r="1" spans="1:5" ht="18">
      <c r="B1" s="19" t="s">
        <v>0</v>
      </c>
      <c r="C1" s="2"/>
      <c r="D1" s="3"/>
      <c r="E1" s="3"/>
    </row>
    <row r="2" spans="1:5" ht="18">
      <c r="B2" s="4"/>
      <c r="C2" s="4"/>
      <c r="D2" s="3"/>
      <c r="E2" s="3"/>
    </row>
    <row r="3" spans="1:5">
      <c r="B3" s="20" t="s">
        <v>1</v>
      </c>
      <c r="C3" s="5"/>
      <c r="D3" s="3"/>
      <c r="E3" s="3"/>
    </row>
    <row r="4" spans="1:5" ht="54">
      <c r="B4" s="21" t="str">
        <f>IF('[1]1. Select Services'!$E$13="x","x","")</f>
        <v>x</v>
      </c>
      <c r="C4" s="22" t="s">
        <v>2</v>
      </c>
      <c r="D4" s="22" t="s">
        <v>3</v>
      </c>
      <c r="E4" s="23" t="s">
        <v>4</v>
      </c>
    </row>
    <row r="5" spans="1:5">
      <c r="B5" s="24" t="s">
        <v>5</v>
      </c>
      <c r="C5" s="6">
        <f>SUM('[1]4. Coverage Review'!F4)*100</f>
        <v>65.735508999999993</v>
      </c>
      <c r="D5" s="6">
        <f>SUM('[1]4. Coverage Review'!G4)*100</f>
        <v>46.039819000000001</v>
      </c>
      <c r="E5" s="6">
        <f>IF(Chosen_Scenario="Mitigation Impact Only",SUM('[1]4. Coverage Review'!$I4)*100,SUM('[1]4. Coverage Review'!$K4)*100)</f>
        <v>51.862653780000002</v>
      </c>
    </row>
    <row r="6" spans="1:5">
      <c r="B6" s="25" t="s">
        <v>6</v>
      </c>
      <c r="C6" s="7"/>
      <c r="D6" s="8"/>
      <c r="E6" s="8"/>
    </row>
    <row r="7" spans="1:5">
      <c r="B7" s="26" t="s">
        <v>7</v>
      </c>
      <c r="C7" s="9"/>
      <c r="D7" s="10"/>
      <c r="E7" s="10"/>
    </row>
    <row r="8" spans="1:5">
      <c r="A8" s="11" t="str">
        <f>IF('[1]1. Select Services'!$E$7="x","x","")</f>
        <v>x</v>
      </c>
      <c r="B8" s="24" t="s">
        <v>8</v>
      </c>
      <c r="C8" s="10">
        <f>IF($A8="x",'[1]4. Coverage Review'!$F6*100/C$5*100,"")</f>
        <v>0</v>
      </c>
      <c r="D8" s="10">
        <f>IF($A8="x",'[1]4. Coverage Review'!$G6*100/D$5*100,"")</f>
        <v>0</v>
      </c>
      <c r="E8" s="10">
        <f>IF($A8="x",IF(Chosen_Scenario="Mitigation Impact Only",'[1]4. Coverage Review'!$I6*100/E$5*100,'[1]4. Coverage Review'!$K6*100/E$5*100),"")</f>
        <v>0</v>
      </c>
    </row>
    <row r="9" spans="1:5">
      <c r="B9" s="26" t="s">
        <v>9</v>
      </c>
      <c r="C9" s="9"/>
      <c r="D9" s="10"/>
      <c r="E9" s="10"/>
    </row>
    <row r="10" spans="1:5">
      <c r="A10" s="11" t="str">
        <f>IF('[1]1. Select Services'!$E$11="x","x","")</f>
        <v>x</v>
      </c>
      <c r="B10" s="24" t="s">
        <v>10</v>
      </c>
      <c r="C10" s="10">
        <f>IF($A10="x",'[1]4. Coverage Review'!$F10*100/C$5*100,"")</f>
        <v>0</v>
      </c>
      <c r="D10" s="10">
        <f>IF($A10="x",'[1]4. Coverage Review'!$G10*100/D$5*100,"")</f>
        <v>0</v>
      </c>
      <c r="E10" s="10">
        <f>IF($A10="x",IF(Chosen_Scenario="Mitigation Impact Only",'[1]4. Coverage Review'!$I10*100/E$5*100,'[1]4. Coverage Review'!$K10*100/E$5*100),"")</f>
        <v>0</v>
      </c>
    </row>
    <row r="11" spans="1:5">
      <c r="A11" s="11" t="str">
        <f>IF('[1]1. Select Services'!$E$12="x","x","")</f>
        <v/>
      </c>
      <c r="B11" s="24" t="s">
        <v>11</v>
      </c>
      <c r="C11" s="10" t="str">
        <f>IF($A11="x",'[1]4. Coverage Review'!$F11*100/C$5*100,"")</f>
        <v/>
      </c>
      <c r="D11" s="10" t="str">
        <f>IF($A11="x",'[1]4. Coverage Review'!$G11*100/D$5*100,"")</f>
        <v/>
      </c>
      <c r="E11" s="10" t="str">
        <f>IF($A11="x",IF(Chosen_Scenario="Mitigation Impact Only",'[1]4. Coverage Review'!$I11*100/E$5*100,'[1]4. Coverage Review'!$K11*100/E$5*100),"")</f>
        <v/>
      </c>
    </row>
    <row r="12" spans="1:5">
      <c r="B12" s="26" t="s">
        <v>12</v>
      </c>
      <c r="C12" s="9"/>
      <c r="D12" s="9"/>
      <c r="E12" s="9"/>
    </row>
    <row r="13" spans="1:5">
      <c r="A13" s="11" t="str">
        <f>IF('[1]1. Select Services'!$E$8="x","x","")</f>
        <v/>
      </c>
      <c r="B13" s="24" t="s">
        <v>13</v>
      </c>
      <c r="C13" s="10" t="str">
        <f>IF($A13="x",'[1]4. Coverage Review'!$F7*100/C$5*100,"")</f>
        <v/>
      </c>
      <c r="D13" s="10" t="str">
        <f>IF($A13="x",'[1]4. Coverage Review'!$G7*100/D$5*100,"")</f>
        <v/>
      </c>
      <c r="E13" s="10" t="str">
        <f>IF($A13="x",IF(Chosen_Scenario="Mitigation Impact Only",'[1]4. Coverage Review'!$I7*100/E$5*100,'[1]4. Coverage Review'!$K7*100/E$5*100),"")</f>
        <v/>
      </c>
    </row>
    <row r="14" spans="1:5">
      <c r="B14" s="26" t="s">
        <v>14</v>
      </c>
      <c r="C14" s="9"/>
      <c r="D14" s="9"/>
      <c r="E14" s="9"/>
    </row>
    <row r="15" spans="1:5">
      <c r="A15" s="11" t="str">
        <f>IF('[1]1. Select Services'!$E$9="x","x","")</f>
        <v/>
      </c>
      <c r="B15" s="24" t="s">
        <v>15</v>
      </c>
      <c r="C15" s="10" t="str">
        <f>IF($A15="x",'[1]4. Coverage Review'!$F8*100/C$5*100,"")</f>
        <v/>
      </c>
      <c r="D15" s="10" t="str">
        <f>IF($A15="x",'[1]4. Coverage Review'!$G8*100/D$5*100,"")</f>
        <v/>
      </c>
      <c r="E15" s="10" t="str">
        <f>IF($A15="x",IF(Chosen_Scenario="Mitigation Impact Only",'[1]4. Coverage Review'!$I8*100/E$5*100,'[1]4. Coverage Review'!$K8*100/E$5*100),"")</f>
        <v/>
      </c>
    </row>
    <row r="16" spans="1:5">
      <c r="B16" s="26" t="s">
        <v>16</v>
      </c>
      <c r="C16" s="9"/>
      <c r="D16" s="9"/>
      <c r="E16" s="9"/>
    </row>
    <row r="17" spans="1:7">
      <c r="A17" s="11" t="str">
        <f>IF('[1]1. Select Services'!$E$10="x","x","")</f>
        <v>x</v>
      </c>
      <c r="B17" s="24" t="s">
        <v>17</v>
      </c>
      <c r="C17" s="10">
        <f>IF($A17="x",'[1]4. Coverage Review'!$F9*100/C$5*100,"")</f>
        <v>6.6455665536871402</v>
      </c>
      <c r="D17" s="10">
        <f>IF($A17="x",'[1]4. Coverage Review'!$G9*100/D$5*100,"")</f>
        <v>6.0726521970036398</v>
      </c>
      <c r="E17" s="10">
        <f>IF($A17="x",IF(Chosen_Scenario="Mitigation Impact Only",'[1]4. Coverage Review'!$I9*100/E$5*100,'[1]4. Coverage Review'!$K9*100/E$5*100),"")</f>
        <v>6.2533864667964103</v>
      </c>
    </row>
    <row r="18" spans="1:7">
      <c r="B18" s="26" t="s">
        <v>18</v>
      </c>
      <c r="C18" s="9"/>
      <c r="D18" s="9"/>
      <c r="E18" s="9"/>
    </row>
    <row r="19" spans="1:7">
      <c r="A19" s="11" t="str">
        <f>IF('[1]1. Select Services'!$E$6="x","x","")</f>
        <v>x</v>
      </c>
      <c r="B19" s="24" t="s">
        <v>19</v>
      </c>
      <c r="C19" s="10">
        <f>IF($A19="x",'[1]4. Coverage Review'!$F5*100/C$5*100,"")</f>
        <v>76.582282187850694</v>
      </c>
      <c r="D19" s="10">
        <f>IF($A19="x",'[1]4. Coverage Review'!$G5*100/D$5*100,"")</f>
        <v>69.980122901873301</v>
      </c>
      <c r="E19" s="10">
        <f>IF($A19="x",IF(Chosen_Scenario="Mitigation Impact Only",'[1]4. Coverage Review'!$I5*100/E$5*100,'[1]4. Coverage Review'!$K5*100/E$5*100),"")</f>
        <v>72.062871263276094</v>
      </c>
    </row>
    <row r="20" spans="1:7">
      <c r="B20" s="26" t="s">
        <v>20</v>
      </c>
      <c r="C20" s="12"/>
      <c r="D20" s="12"/>
      <c r="E20" s="12"/>
    </row>
    <row r="21" spans="1:7">
      <c r="A21" s="11"/>
      <c r="B21" s="24" t="s">
        <v>21</v>
      </c>
      <c r="C21" s="13">
        <f>'[1]Spectrum Baseline Data'!AG11</f>
        <v>6.0921200000000004</v>
      </c>
      <c r="D21" s="13">
        <f>'[1]4. Coverage Review'!$G$12*100/$D$5*100*'[1]Spectrum Baseline Data'!$AH$11</f>
        <v>9.2625994033555994</v>
      </c>
      <c r="E21" s="13">
        <f>IF(Chosen_Scenario="Mitigation Impact Only",'[1]4. Coverage Review'!$I$12*100/$E$5*100*'[1]Spectrum Baseline Data'!$AH$11,'[1]4. Coverage Review'!$K$12*100/$E$5*100*'[1]Spectrum Baseline Data'!$AH$11)</f>
        <v>8.3871020145857305</v>
      </c>
    </row>
    <row r="22" spans="1:7">
      <c r="A22" s="11" t="str">
        <f>IF('[1]1. Select Services'!$E$13="x","x","")</f>
        <v>x</v>
      </c>
      <c r="B22" s="24" t="s">
        <v>22</v>
      </c>
      <c r="C22" s="13">
        <f>'[1]Spectrum Baseline Data'!AG12</f>
        <v>6.53789</v>
      </c>
      <c r="D22" s="13">
        <f>'[1]4. Coverage Review'!$G$12*100/$D$5*100*'[1]Spectrum Baseline Data'!$AH$12</f>
        <v>9.9403583667433608</v>
      </c>
      <c r="E22" s="13">
        <f>IF(Chosen_Scenario="Mitigation Impact Only",'[1]4. Coverage Review'!$I$12*100/$E$5*100*'[1]Spectrum Baseline Data'!$AH$12,'[1]4. Coverage Review'!$K$12*100/$E$5*100*'[1]Spectrum Baseline Data'!$AH$12)</f>
        <v>9.0007994573547307</v>
      </c>
    </row>
    <row r="23" spans="1:7">
      <c r="A23" s="11"/>
      <c r="B23" s="24" t="s">
        <v>23</v>
      </c>
      <c r="C23" s="13">
        <f>'[1]Spectrum Baseline Data'!AG13</f>
        <v>3.1203599999999998</v>
      </c>
      <c r="D23" s="13">
        <f>'[1]4. Coverage Review'!$G$12*100/$D$5*100*'[1]Spectrum Baseline Data'!$AH$13</f>
        <v>4.7442671310241202</v>
      </c>
      <c r="E23" s="13">
        <f>IF(Chosen_Scenario="Mitigation Impact Only",'[1]4. Coverage Review'!$I$12*100/$E$5*100*'[1]Spectrum Baseline Data'!$AH$13,'[1]4. Coverage Review'!$K$12*100/$E$5*100*'[1]Spectrum Baseline Data'!$AH$13)</f>
        <v>4.2958407979870197</v>
      </c>
    </row>
    <row r="24" spans="1:7">
      <c r="B24" s="26" t="s">
        <v>24</v>
      </c>
      <c r="C24" s="13"/>
      <c r="D24" s="13"/>
      <c r="E24" s="13"/>
    </row>
    <row r="25" spans="1:7">
      <c r="B25" s="24" t="s">
        <v>24</v>
      </c>
      <c r="C25" s="13">
        <f>'[1]Spectrum Baseline Data'!AG14</f>
        <v>0</v>
      </c>
      <c r="D25" s="13">
        <f>'[1]4. Coverage Review'!$G$12*100/$D$5*100*'[1]Spectrum Baseline Data'!$AH$14</f>
        <v>0</v>
      </c>
      <c r="E25" s="13">
        <f>IF(Chosen_Scenario="Mitigation Impact Only",'[1]4. Coverage Review'!$I$12*100/$E$5*100*'[1]Spectrum Baseline Data'!$AH$14,'[1]4. Coverage Review'!$K$12*100/$E$5*100*'[1]Spectrum Baseline Data'!$AH$14)</f>
        <v>0</v>
      </c>
    </row>
    <row r="26" spans="1:7" ht="18.75" customHeight="1">
      <c r="C26" s="14">
        <f>SUM(C7:C25)</f>
        <v>98.978218741537802</v>
      </c>
      <c r="D26" s="14">
        <f>SUM(D7:D25)</f>
        <v>100</v>
      </c>
      <c r="E26" s="14">
        <f>SUM(E7:E25)</f>
        <v>100</v>
      </c>
    </row>
    <row r="27" spans="1:7" ht="22.5" customHeight="1">
      <c r="B27" s="17"/>
      <c r="C27" s="17"/>
      <c r="D27" s="17"/>
      <c r="E27" s="17"/>
    </row>
    <row r="28" spans="1:7" ht="16.5">
      <c r="B28" s="15"/>
      <c r="G28" s="16"/>
    </row>
    <row r="29" spans="1:7" ht="43.9" customHeight="1">
      <c r="B29" s="18"/>
      <c r="C29" s="18"/>
      <c r="D29" s="18"/>
      <c r="E29" s="18"/>
    </row>
  </sheetData>
  <mergeCells count="2">
    <mergeCell ref="B27:E27"/>
    <mergeCell ref="B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2024-11-19T07:10:00Z</dcterms:created>
  <dcterms:modified xsi:type="dcterms:W3CDTF">2025-12-10T05:48:59Z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619577A28B7D4C4AB43D121F65B9B7A6_11</vt:lpwstr>
  </property>
  <property fmtid="{D5CDD505-2E9C-101B-9397-08002B2CF9AE}" pid="3" name="KSOProductBuildVer">
    <vt:lpwstr>2052-12.1.0.19302</vt:lpwstr>
  </property>
</Properties>
</file>