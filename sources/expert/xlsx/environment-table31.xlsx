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19 Appendix A" sheetId="1" r:id="rId1"/>
  </sheets>
  <definedNames>
    <definedName name="_xlnm.Print_Area" localSheetId="0">'Table 19 Appendix A'!$A$1:$P$22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O16" i="1" s="1"/>
  <c r="M16" i="1"/>
  <c r="L16" i="1"/>
  <c r="K16" i="1"/>
  <c r="J16" i="1"/>
  <c r="I16" i="1"/>
  <c r="H16" i="1"/>
  <c r="G16" i="1"/>
  <c r="F16" i="1"/>
  <c r="E16" i="1"/>
  <c r="D16" i="1"/>
  <c r="C16" i="1"/>
  <c r="B16" i="1"/>
  <c r="O14" i="1"/>
  <c r="O11" i="1"/>
  <c r="O8" i="1" l="1"/>
  <c r="O9" i="1"/>
  <c r="O10" i="1"/>
  <c r="O12" i="1"/>
  <c r="O13" i="1"/>
</calcChain>
</file>

<file path=xl/sharedStrings.xml><?xml version="1.0" encoding="utf-8"?>
<sst xmlns="http://schemas.openxmlformats.org/spreadsheetml/2006/main" count="37" uniqueCount="34">
  <si>
    <t>Table 19 Project licences and scientific procedures by type of designated establishment</t>
  </si>
  <si>
    <t>Great Britain 2011</t>
  </si>
  <si>
    <t>Type of designated establishment</t>
  </si>
  <si>
    <r>
      <t>Number of licence holders</t>
    </r>
    <r>
      <rPr>
        <vertAlign val="superscript"/>
        <sz val="14"/>
        <rFont val="Times New Roman"/>
        <family val="1"/>
      </rPr>
      <t>(1)</t>
    </r>
    <r>
      <rPr>
        <sz val="14"/>
        <rFont val="Times New Roman"/>
        <family val="1"/>
      </rPr>
      <t xml:space="preserve"> reporting countable</t>
    </r>
    <r>
      <rPr>
        <vertAlign val="superscript"/>
        <sz val="14"/>
        <rFont val="Times New Roman"/>
        <family val="1"/>
      </rPr>
      <t>(2)</t>
    </r>
    <r>
      <rPr>
        <sz val="14"/>
        <rFont val="Times New Roman"/>
        <family val="1"/>
      </rPr>
      <t xml:space="preserve"> procedures,                                                                   by number of procedures reported</t>
    </r>
  </si>
  <si>
    <t>Licensees</t>
  </si>
  <si>
    <t>Number of</t>
  </si>
  <si>
    <t>Procedures</t>
  </si>
  <si>
    <t>Number of procedures reported</t>
  </si>
  <si>
    <t>Total</t>
  </si>
  <si>
    <t>reporting non-</t>
  </si>
  <si>
    <r>
      <t xml:space="preserve"> licence holders</t>
    </r>
    <r>
      <rPr>
        <vertAlign val="superscript"/>
        <sz val="14"/>
        <rFont val="Times New Roman"/>
        <family val="1"/>
      </rPr>
      <t>(1)</t>
    </r>
  </si>
  <si>
    <t>Percentage</t>
  </si>
  <si>
    <t>1 to     50</t>
  </si>
  <si>
    <t>51 to 100</t>
  </si>
  <si>
    <t>101 to 200</t>
  </si>
  <si>
    <t>201 to 400</t>
  </si>
  <si>
    <t>401 to 600</t>
  </si>
  <si>
    <t>601 to 800</t>
  </si>
  <si>
    <t>801 to 1,000</t>
  </si>
  <si>
    <t>More than 1,000</t>
  </si>
  <si>
    <r>
      <t>countable</t>
    </r>
    <r>
      <rPr>
        <vertAlign val="superscript"/>
        <sz val="14"/>
        <rFont val="Times New Roman"/>
        <family val="1"/>
      </rPr>
      <t xml:space="preserve">(2) </t>
    </r>
    <r>
      <rPr>
        <sz val="14"/>
        <rFont val="Times New Roman"/>
        <family val="1"/>
      </rPr>
      <t>procedures only</t>
    </r>
  </si>
  <si>
    <t>reporting no procedures</t>
  </si>
  <si>
    <t>licensees</t>
  </si>
  <si>
    <t>Public health laboratories</t>
  </si>
  <si>
    <t>Universities, medical schools</t>
  </si>
  <si>
    <t>NHS hospitals</t>
  </si>
  <si>
    <t>Government departments</t>
  </si>
  <si>
    <t>Other public bodies</t>
  </si>
  <si>
    <t>Non-profit-making organisations</t>
  </si>
  <si>
    <t>Commercial organisations</t>
  </si>
  <si>
    <r>
      <t xml:space="preserve">(1)  Some licence-holders hold more than one licence; these figures are compiled </t>
    </r>
    <r>
      <rPr>
        <b/>
        <sz val="14"/>
        <rFont val="Times New Roman"/>
        <family val="1"/>
      </rPr>
      <t>by numbers of project licences,</t>
    </r>
    <r>
      <rPr>
        <sz val="14"/>
        <rFont val="Times New Roman"/>
        <family val="1"/>
      </rPr>
      <t xml:space="preserve"> not by numbers of actual licence-holders.</t>
    </r>
  </si>
  <si>
    <t xml:space="preserve">(2) Only procedures on adult or free-living animals (including neonatal and juvenile mammals, and newly-hatched birds) are counted. </t>
  </si>
  <si>
    <t xml:space="preserve">      Details of procedures on immature forms (e.g. larvae, embryos, fish fry) are collected but not counted.</t>
  </si>
  <si>
    <t xml:space="preserve">     Animals in the wild involved in rodenticide trials are also not counted.  Details (if applicable) are given in the Commentary.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</si>
</sst>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_-;_-@_-"/>
    <numFmt numFmtId="165" formatCode="0.0"/>
    <numFmt numFmtId="166" formatCode="#,##0_ ;\-#,##0\ "/>
  </numFmts>
  <fonts count="19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9"/>
      <name val="Calibri"/>
      <family val="2"/>
      <charset val="134"/>
      <scheme val="minor"/>
    </font>
    <font>
      <sz val="14"/>
      <name val="Arial"/>
      <family val="2"/>
    </font>
    <font>
      <b/>
      <sz val="18"/>
      <name val="Times New Roman"/>
      <family val="1"/>
    </font>
    <font>
      <b/>
      <sz val="16"/>
      <color indexed="10"/>
      <name val="Arial"/>
      <family val="2"/>
    </font>
    <font>
      <sz val="16"/>
      <name val="Arial"/>
      <family val="2"/>
    </font>
    <font>
      <sz val="14"/>
      <name val="Times New Roman"/>
      <family val="1"/>
    </font>
    <font>
      <vertAlign val="superscript"/>
      <sz val="14"/>
      <name val="Times New Roman"/>
      <family val="1"/>
    </font>
    <font>
      <sz val="12"/>
      <name val="Times New Roman"/>
      <family val="1"/>
    </font>
    <font>
      <i/>
      <sz val="14"/>
      <name val="Times New Roman"/>
      <family val="1"/>
    </font>
    <font>
      <sz val="10"/>
      <name val="Helvetica"/>
    </font>
    <font>
      <sz val="10"/>
      <name val="Times New Roman"/>
      <family val="1"/>
    </font>
    <font>
      <i/>
      <sz val="10"/>
      <name val="Times New Roman"/>
      <family val="1"/>
    </font>
    <font>
      <sz val="14"/>
      <color indexed="8"/>
      <name val="Times New Roman"/>
      <family val="1"/>
    </font>
    <font>
      <i/>
      <sz val="14"/>
      <color indexed="8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</cellStyleXfs>
  <cellXfs count="67">
    <xf numFmtId="0" fontId="0" fillId="0" borderId="0" xfId="0"/>
    <xf numFmtId="0" fontId="2" fillId="0" borderId="0" xfId="2" applyFont="1" applyFill="1" applyAlignment="1">
      <alignment vertical="top"/>
    </xf>
    <xf numFmtId="0" fontId="1" fillId="0" borderId="0" xfId="2" applyFill="1"/>
    <xf numFmtId="0" fontId="1" fillId="0" borderId="0" xfId="2" applyFill="1" applyBorder="1"/>
    <xf numFmtId="0" fontId="4" fillId="0" borderId="0" xfId="2" applyFont="1" applyFill="1"/>
    <xf numFmtId="0" fontId="8" fillId="0" borderId="0" xfId="2" applyFont="1" applyFill="1"/>
    <xf numFmtId="0" fontId="8" fillId="0" borderId="4" xfId="2" applyFont="1" applyFill="1" applyBorder="1" applyAlignment="1">
      <alignment horizontal="centerContinuous" vertical="center" wrapText="1"/>
    </xf>
    <xf numFmtId="0" fontId="8" fillId="0" borderId="5" xfId="2" applyFont="1" applyFill="1" applyBorder="1" applyAlignment="1">
      <alignment horizontal="center" wrapText="1"/>
    </xf>
    <xf numFmtId="0" fontId="10" fillId="0" borderId="6" xfId="2" applyFont="1" applyFill="1" applyBorder="1" applyAlignment="1">
      <alignment horizontal="centerContinuous"/>
    </xf>
    <xf numFmtId="0" fontId="8" fillId="0" borderId="7" xfId="2" applyFont="1" applyFill="1" applyBorder="1" applyAlignment="1"/>
    <xf numFmtId="0" fontId="8" fillId="0" borderId="4" xfId="2" applyFont="1" applyFill="1" applyBorder="1" applyAlignment="1">
      <alignment horizontal="centerContinuous" vertical="center"/>
    </xf>
    <xf numFmtId="0" fontId="8" fillId="0" borderId="10" xfId="2" applyFont="1" applyFill="1" applyBorder="1"/>
    <xf numFmtId="49" fontId="8" fillId="0" borderId="10" xfId="2" applyNumberFormat="1" applyFont="1" applyFill="1" applyBorder="1" applyAlignment="1">
      <alignment horizontal="center" vertical="top" wrapText="1"/>
    </xf>
    <xf numFmtId="0" fontId="13" fillId="0" borderId="10" xfId="3" applyFont="1" applyFill="1" applyBorder="1"/>
    <xf numFmtId="0" fontId="14" fillId="0" borderId="10" xfId="2" applyFont="1" applyFill="1" applyBorder="1"/>
    <xf numFmtId="0" fontId="4" fillId="0" borderId="0" xfId="2" applyFont="1" applyFill="1" applyAlignment="1">
      <alignment wrapText="1"/>
    </xf>
    <xf numFmtId="0" fontId="1" fillId="0" borderId="0" xfId="2" applyFill="1" applyAlignment="1">
      <alignment wrapText="1"/>
    </xf>
    <xf numFmtId="164" fontId="8" fillId="0" borderId="7" xfId="2" applyNumberFormat="1" applyFont="1" applyFill="1" applyBorder="1"/>
    <xf numFmtId="164" fontId="8" fillId="0" borderId="12" xfId="2" applyNumberFormat="1" applyFont="1" applyFill="1" applyBorder="1"/>
    <xf numFmtId="165" fontId="11" fillId="0" borderId="7" xfId="1" applyNumberFormat="1" applyFont="1" applyFill="1" applyBorder="1"/>
    <xf numFmtId="3" fontId="8" fillId="0" borderId="7" xfId="2" applyNumberFormat="1" applyFont="1" applyFill="1" applyBorder="1"/>
    <xf numFmtId="164" fontId="15" fillId="0" borderId="7" xfId="2" applyNumberFormat="1" applyFont="1" applyFill="1" applyBorder="1"/>
    <xf numFmtId="9" fontId="16" fillId="0" borderId="7" xfId="1" applyFont="1" applyFill="1" applyBorder="1"/>
    <xf numFmtId="0" fontId="4" fillId="0" borderId="0" xfId="2" applyFont="1" applyFill="1" applyBorder="1"/>
    <xf numFmtId="164" fontId="15" fillId="0" borderId="7" xfId="2" applyNumberFormat="1" applyFont="1" applyFill="1" applyBorder="1" applyAlignment="1">
      <alignment horizontal="right"/>
    </xf>
    <xf numFmtId="164" fontId="15" fillId="0" borderId="7" xfId="2" applyNumberFormat="1" applyFont="1" applyFill="1" applyBorder="1" applyAlignment="1">
      <alignment horizontal="right" vertical="center"/>
    </xf>
    <xf numFmtId="166" fontId="15" fillId="0" borderId="7" xfId="2" applyNumberFormat="1" applyFont="1" applyFill="1" applyBorder="1"/>
    <xf numFmtId="3" fontId="8" fillId="0" borderId="7" xfId="2" applyNumberFormat="1" applyFont="1" applyFill="1" applyBorder="1" applyAlignment="1">
      <alignment vertical="center"/>
    </xf>
    <xf numFmtId="164" fontId="15" fillId="0" borderId="7" xfId="2" applyNumberFormat="1" applyFont="1" applyFill="1" applyBorder="1" applyAlignment="1">
      <alignment vertical="center"/>
    </xf>
    <xf numFmtId="164" fontId="15" fillId="0" borderId="12" xfId="2" applyNumberFormat="1" applyFont="1" applyFill="1" applyBorder="1"/>
    <xf numFmtId="164" fontId="15" fillId="0" borderId="12" xfId="2" applyNumberFormat="1" applyFont="1" applyFill="1" applyBorder="1" applyAlignment="1">
      <alignment vertical="center"/>
    </xf>
    <xf numFmtId="0" fontId="16" fillId="0" borderId="7" xfId="2" applyFont="1" applyFill="1" applyBorder="1"/>
    <xf numFmtId="3" fontId="8" fillId="0" borderId="6" xfId="2" applyNumberFormat="1" applyFont="1" applyFill="1" applyBorder="1" applyAlignment="1">
      <alignment vertical="center"/>
    </xf>
    <xf numFmtId="164" fontId="15" fillId="0" borderId="6" xfId="2" applyNumberFormat="1" applyFont="1" applyFill="1" applyBorder="1" applyAlignment="1">
      <alignment vertical="center"/>
    </xf>
    <xf numFmtId="9" fontId="16" fillId="0" borderId="6" xfId="2" applyNumberFormat="1" applyFont="1" applyFill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0" fontId="10" fillId="0" borderId="0" xfId="2" applyFont="1" applyFill="1" applyBorder="1" applyAlignment="1"/>
    <xf numFmtId="0" fontId="17" fillId="0" borderId="0" xfId="2" applyFont="1" applyFill="1" applyBorder="1"/>
    <xf numFmtId="164" fontId="17" fillId="0" borderId="0" xfId="2" applyNumberFormat="1" applyFont="1" applyFill="1" applyBorder="1"/>
    <xf numFmtId="164" fontId="8" fillId="0" borderId="0" xfId="2" applyNumberFormat="1" applyFont="1" applyFill="1" applyBorder="1"/>
    <xf numFmtId="0" fontId="8" fillId="0" borderId="0" xfId="2" applyFont="1" applyFill="1" applyBorder="1"/>
    <xf numFmtId="9" fontId="8" fillId="0" borderId="0" xfId="1" applyFont="1" applyFill="1" applyBorder="1"/>
    <xf numFmtId="0" fontId="6" fillId="0" borderId="0" xfId="2" applyFont="1" applyFill="1" applyAlignment="1">
      <alignment wrapText="1"/>
    </xf>
    <xf numFmtId="0" fontId="7" fillId="0" borderId="0" xfId="0" applyFont="1" applyFill="1" applyAlignment="1">
      <alignment wrapText="1"/>
    </xf>
    <xf numFmtId="0" fontId="7" fillId="0" borderId="1" xfId="0" applyFont="1" applyFill="1" applyBorder="1" applyAlignment="1">
      <alignment wrapText="1"/>
    </xf>
    <xf numFmtId="0" fontId="5" fillId="2" borderId="0" xfId="2" applyFont="1" applyFill="1" applyAlignment="1">
      <alignment vertical="top"/>
    </xf>
    <xf numFmtId="0" fontId="8" fillId="2" borderId="0" xfId="2" applyFont="1" applyFill="1"/>
    <xf numFmtId="0" fontId="8" fillId="3" borderId="2" xfId="2" applyFont="1" applyFill="1" applyBorder="1" applyAlignment="1"/>
    <xf numFmtId="0" fontId="8" fillId="3" borderId="3" xfId="2" applyFont="1" applyFill="1" applyBorder="1" applyAlignment="1">
      <alignment horizontal="centerContinuous" vertical="center" wrapText="1"/>
    </xf>
    <xf numFmtId="0" fontId="8" fillId="3" borderId="3" xfId="2" applyFont="1" applyFill="1" applyBorder="1" applyAlignment="1">
      <alignment horizontal="centerContinuous" vertical="center"/>
    </xf>
    <xf numFmtId="49" fontId="8" fillId="3" borderId="3" xfId="2" applyNumberFormat="1" applyFont="1" applyFill="1" applyBorder="1" applyAlignment="1">
      <alignment horizontal="center" vertical="top" wrapText="1"/>
    </xf>
    <xf numFmtId="0" fontId="8" fillId="3" borderId="8" xfId="2" applyFont="1" applyFill="1" applyBorder="1" applyAlignment="1">
      <alignment horizontal="center"/>
    </xf>
    <xf numFmtId="0" fontId="8" fillId="3" borderId="2" xfId="2" applyFont="1" applyFill="1" applyBorder="1" applyAlignment="1">
      <alignment horizontal="center"/>
    </xf>
    <xf numFmtId="0" fontId="8" fillId="3" borderId="5" xfId="2" applyFont="1" applyFill="1" applyBorder="1" applyAlignment="1">
      <alignment horizontal="center" wrapText="1"/>
    </xf>
    <xf numFmtId="0" fontId="8" fillId="3" borderId="7" xfId="2" applyFont="1" applyFill="1" applyBorder="1" applyAlignment="1">
      <alignment horizontal="center" vertical="top" wrapText="1"/>
    </xf>
    <xf numFmtId="49" fontId="8" fillId="3" borderId="10" xfId="2" applyNumberFormat="1" applyFont="1" applyFill="1" applyBorder="1" applyAlignment="1">
      <alignment horizontal="center" vertical="top" wrapText="1"/>
    </xf>
    <xf numFmtId="0" fontId="8" fillId="3" borderId="9" xfId="2" applyFont="1" applyFill="1" applyBorder="1" applyAlignment="1">
      <alignment horizontal="center" wrapText="1"/>
    </xf>
    <xf numFmtId="0" fontId="8" fillId="3" borderId="11" xfId="2" applyFont="1" applyFill="1" applyBorder="1" applyAlignment="1">
      <alignment horizontal="center" vertical="top" wrapText="1"/>
    </xf>
    <xf numFmtId="0" fontId="8" fillId="3" borderId="0" xfId="2" applyFont="1" applyFill="1" applyBorder="1" applyAlignment="1">
      <alignment horizontal="center" wrapText="1"/>
    </xf>
    <xf numFmtId="0" fontId="8" fillId="3" borderId="1" xfId="2" applyFont="1" applyFill="1" applyBorder="1" applyAlignment="1">
      <alignment horizontal="center" vertical="top" wrapText="1"/>
    </xf>
    <xf numFmtId="0" fontId="8" fillId="3" borderId="6" xfId="2" applyFont="1" applyFill="1" applyBorder="1" applyAlignment="1">
      <alignment horizontal="centerContinuous"/>
    </xf>
    <xf numFmtId="49" fontId="8" fillId="3" borderId="2" xfId="2" applyNumberFormat="1" applyFont="1" applyFill="1" applyBorder="1" applyAlignment="1">
      <alignment horizontal="center" wrapText="1"/>
    </xf>
    <xf numFmtId="49" fontId="11" fillId="3" borderId="7" xfId="2" applyNumberFormat="1" applyFont="1" applyFill="1" applyBorder="1" applyAlignment="1">
      <alignment horizontal="center" wrapText="1"/>
    </xf>
    <xf numFmtId="0" fontId="8" fillId="4" borderId="7" xfId="2" applyFont="1" applyFill="1" applyBorder="1" applyAlignment="1"/>
    <xf numFmtId="0" fontId="8" fillId="4" borderId="7" xfId="2" applyFont="1" applyFill="1" applyBorder="1" applyAlignment="1">
      <alignment vertical="center"/>
    </xf>
    <xf numFmtId="0" fontId="8" fillId="4" borderId="6" xfId="2" applyFont="1" applyFill="1" applyBorder="1" applyAlignment="1">
      <alignment vertical="center"/>
    </xf>
    <xf numFmtId="0" fontId="8" fillId="2" borderId="0" xfId="2" applyFont="1" applyFill="1" applyBorder="1" applyAlignment="1"/>
  </cellXfs>
  <cellStyles count="4">
    <cellStyle name="Normal_newtab19" xfId="2"/>
    <cellStyle name="Normal_newtab19_1" xfId="3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2"/>
  <sheetViews>
    <sheetView showGridLines="0" tabSelected="1" zoomScale="70" zoomScaleNormal="70" workbookViewId="0">
      <selection activeCell="A18" sqref="A18:A22"/>
    </sheetView>
  </sheetViews>
  <sheetFormatPr defaultColWidth="9.08984375" defaultRowHeight="17.5"/>
  <cols>
    <col min="1" max="1" width="40.54296875" style="2" customWidth="1"/>
    <col min="2" max="9" width="10.6328125" style="2" customWidth="1"/>
    <col min="10" max="10" width="13.54296875" style="2" customWidth="1"/>
    <col min="11" max="11" width="15" style="2" customWidth="1"/>
    <col min="12" max="12" width="15.08984375" style="2" customWidth="1"/>
    <col min="13" max="13" width="15.36328125" style="3" customWidth="1"/>
    <col min="14" max="14" width="15.6328125" style="2" customWidth="1"/>
    <col min="15" max="15" width="15.54296875" style="4" customWidth="1"/>
    <col min="16" max="16" width="8.984375E-2" style="4" customWidth="1"/>
    <col min="17" max="17" width="1.6328125" style="4" customWidth="1"/>
    <col min="18" max="256" width="9.08984375" style="2"/>
    <col min="257" max="257" width="40.54296875" style="2" customWidth="1"/>
    <col min="258" max="265" width="10.6328125" style="2" customWidth="1"/>
    <col min="266" max="266" width="13.54296875" style="2" customWidth="1"/>
    <col min="267" max="267" width="15" style="2" customWidth="1"/>
    <col min="268" max="268" width="15.08984375" style="2" customWidth="1"/>
    <col min="269" max="269" width="15.36328125" style="2" customWidth="1"/>
    <col min="270" max="270" width="15.6328125" style="2" customWidth="1"/>
    <col min="271" max="271" width="15.54296875" style="2" customWidth="1"/>
    <col min="272" max="272" width="8.984375E-2" style="2" customWidth="1"/>
    <col min="273" max="273" width="1.6328125" style="2" customWidth="1"/>
    <col min="274" max="512" width="9.08984375" style="2"/>
    <col min="513" max="513" width="40.54296875" style="2" customWidth="1"/>
    <col min="514" max="521" width="10.6328125" style="2" customWidth="1"/>
    <col min="522" max="522" width="13.54296875" style="2" customWidth="1"/>
    <col min="523" max="523" width="15" style="2" customWidth="1"/>
    <col min="524" max="524" width="15.08984375" style="2" customWidth="1"/>
    <col min="525" max="525" width="15.36328125" style="2" customWidth="1"/>
    <col min="526" max="526" width="15.6328125" style="2" customWidth="1"/>
    <col min="527" max="527" width="15.54296875" style="2" customWidth="1"/>
    <col min="528" max="528" width="8.984375E-2" style="2" customWidth="1"/>
    <col min="529" max="529" width="1.6328125" style="2" customWidth="1"/>
    <col min="530" max="768" width="9.08984375" style="2"/>
    <col min="769" max="769" width="40.54296875" style="2" customWidth="1"/>
    <col min="770" max="777" width="10.6328125" style="2" customWidth="1"/>
    <col min="778" max="778" width="13.54296875" style="2" customWidth="1"/>
    <col min="779" max="779" width="15" style="2" customWidth="1"/>
    <col min="780" max="780" width="15.08984375" style="2" customWidth="1"/>
    <col min="781" max="781" width="15.36328125" style="2" customWidth="1"/>
    <col min="782" max="782" width="15.6328125" style="2" customWidth="1"/>
    <col min="783" max="783" width="15.54296875" style="2" customWidth="1"/>
    <col min="784" max="784" width="8.984375E-2" style="2" customWidth="1"/>
    <col min="785" max="785" width="1.6328125" style="2" customWidth="1"/>
    <col min="786" max="1024" width="9.08984375" style="2"/>
    <col min="1025" max="1025" width="40.54296875" style="2" customWidth="1"/>
    <col min="1026" max="1033" width="10.6328125" style="2" customWidth="1"/>
    <col min="1034" max="1034" width="13.54296875" style="2" customWidth="1"/>
    <col min="1035" max="1035" width="15" style="2" customWidth="1"/>
    <col min="1036" max="1036" width="15.08984375" style="2" customWidth="1"/>
    <col min="1037" max="1037" width="15.36328125" style="2" customWidth="1"/>
    <col min="1038" max="1038" width="15.6328125" style="2" customWidth="1"/>
    <col min="1039" max="1039" width="15.54296875" style="2" customWidth="1"/>
    <col min="1040" max="1040" width="8.984375E-2" style="2" customWidth="1"/>
    <col min="1041" max="1041" width="1.6328125" style="2" customWidth="1"/>
    <col min="1042" max="1280" width="9.08984375" style="2"/>
    <col min="1281" max="1281" width="40.54296875" style="2" customWidth="1"/>
    <col min="1282" max="1289" width="10.6328125" style="2" customWidth="1"/>
    <col min="1290" max="1290" width="13.54296875" style="2" customWidth="1"/>
    <col min="1291" max="1291" width="15" style="2" customWidth="1"/>
    <col min="1292" max="1292" width="15.08984375" style="2" customWidth="1"/>
    <col min="1293" max="1293" width="15.36328125" style="2" customWidth="1"/>
    <col min="1294" max="1294" width="15.6328125" style="2" customWidth="1"/>
    <col min="1295" max="1295" width="15.54296875" style="2" customWidth="1"/>
    <col min="1296" max="1296" width="8.984375E-2" style="2" customWidth="1"/>
    <col min="1297" max="1297" width="1.6328125" style="2" customWidth="1"/>
    <col min="1298" max="1536" width="9.08984375" style="2"/>
    <col min="1537" max="1537" width="40.54296875" style="2" customWidth="1"/>
    <col min="1538" max="1545" width="10.6328125" style="2" customWidth="1"/>
    <col min="1546" max="1546" width="13.54296875" style="2" customWidth="1"/>
    <col min="1547" max="1547" width="15" style="2" customWidth="1"/>
    <col min="1548" max="1548" width="15.08984375" style="2" customWidth="1"/>
    <col min="1549" max="1549" width="15.36328125" style="2" customWidth="1"/>
    <col min="1550" max="1550" width="15.6328125" style="2" customWidth="1"/>
    <col min="1551" max="1551" width="15.54296875" style="2" customWidth="1"/>
    <col min="1552" max="1552" width="8.984375E-2" style="2" customWidth="1"/>
    <col min="1553" max="1553" width="1.6328125" style="2" customWidth="1"/>
    <col min="1554" max="1792" width="9.08984375" style="2"/>
    <col min="1793" max="1793" width="40.54296875" style="2" customWidth="1"/>
    <col min="1794" max="1801" width="10.6328125" style="2" customWidth="1"/>
    <col min="1802" max="1802" width="13.54296875" style="2" customWidth="1"/>
    <col min="1803" max="1803" width="15" style="2" customWidth="1"/>
    <col min="1804" max="1804" width="15.08984375" style="2" customWidth="1"/>
    <col min="1805" max="1805" width="15.36328125" style="2" customWidth="1"/>
    <col min="1806" max="1806" width="15.6328125" style="2" customWidth="1"/>
    <col min="1807" max="1807" width="15.54296875" style="2" customWidth="1"/>
    <col min="1808" max="1808" width="8.984375E-2" style="2" customWidth="1"/>
    <col min="1809" max="1809" width="1.6328125" style="2" customWidth="1"/>
    <col min="1810" max="2048" width="9.08984375" style="2"/>
    <col min="2049" max="2049" width="40.54296875" style="2" customWidth="1"/>
    <col min="2050" max="2057" width="10.6328125" style="2" customWidth="1"/>
    <col min="2058" max="2058" width="13.54296875" style="2" customWidth="1"/>
    <col min="2059" max="2059" width="15" style="2" customWidth="1"/>
    <col min="2060" max="2060" width="15.08984375" style="2" customWidth="1"/>
    <col min="2061" max="2061" width="15.36328125" style="2" customWidth="1"/>
    <col min="2062" max="2062" width="15.6328125" style="2" customWidth="1"/>
    <col min="2063" max="2063" width="15.54296875" style="2" customWidth="1"/>
    <col min="2064" max="2064" width="8.984375E-2" style="2" customWidth="1"/>
    <col min="2065" max="2065" width="1.6328125" style="2" customWidth="1"/>
    <col min="2066" max="2304" width="9.08984375" style="2"/>
    <col min="2305" max="2305" width="40.54296875" style="2" customWidth="1"/>
    <col min="2306" max="2313" width="10.6328125" style="2" customWidth="1"/>
    <col min="2314" max="2314" width="13.54296875" style="2" customWidth="1"/>
    <col min="2315" max="2315" width="15" style="2" customWidth="1"/>
    <col min="2316" max="2316" width="15.08984375" style="2" customWidth="1"/>
    <col min="2317" max="2317" width="15.36328125" style="2" customWidth="1"/>
    <col min="2318" max="2318" width="15.6328125" style="2" customWidth="1"/>
    <col min="2319" max="2319" width="15.54296875" style="2" customWidth="1"/>
    <col min="2320" max="2320" width="8.984375E-2" style="2" customWidth="1"/>
    <col min="2321" max="2321" width="1.6328125" style="2" customWidth="1"/>
    <col min="2322" max="2560" width="9.08984375" style="2"/>
    <col min="2561" max="2561" width="40.54296875" style="2" customWidth="1"/>
    <col min="2562" max="2569" width="10.6328125" style="2" customWidth="1"/>
    <col min="2570" max="2570" width="13.54296875" style="2" customWidth="1"/>
    <col min="2571" max="2571" width="15" style="2" customWidth="1"/>
    <col min="2572" max="2572" width="15.08984375" style="2" customWidth="1"/>
    <col min="2573" max="2573" width="15.36328125" style="2" customWidth="1"/>
    <col min="2574" max="2574" width="15.6328125" style="2" customWidth="1"/>
    <col min="2575" max="2575" width="15.54296875" style="2" customWidth="1"/>
    <col min="2576" max="2576" width="8.984375E-2" style="2" customWidth="1"/>
    <col min="2577" max="2577" width="1.6328125" style="2" customWidth="1"/>
    <col min="2578" max="2816" width="9.08984375" style="2"/>
    <col min="2817" max="2817" width="40.54296875" style="2" customWidth="1"/>
    <col min="2818" max="2825" width="10.6328125" style="2" customWidth="1"/>
    <col min="2826" max="2826" width="13.54296875" style="2" customWidth="1"/>
    <col min="2827" max="2827" width="15" style="2" customWidth="1"/>
    <col min="2828" max="2828" width="15.08984375" style="2" customWidth="1"/>
    <col min="2829" max="2829" width="15.36328125" style="2" customWidth="1"/>
    <col min="2830" max="2830" width="15.6328125" style="2" customWidth="1"/>
    <col min="2831" max="2831" width="15.54296875" style="2" customWidth="1"/>
    <col min="2832" max="2832" width="8.984375E-2" style="2" customWidth="1"/>
    <col min="2833" max="2833" width="1.6328125" style="2" customWidth="1"/>
    <col min="2834" max="3072" width="9.08984375" style="2"/>
    <col min="3073" max="3073" width="40.54296875" style="2" customWidth="1"/>
    <col min="3074" max="3081" width="10.6328125" style="2" customWidth="1"/>
    <col min="3082" max="3082" width="13.54296875" style="2" customWidth="1"/>
    <col min="3083" max="3083" width="15" style="2" customWidth="1"/>
    <col min="3084" max="3084" width="15.08984375" style="2" customWidth="1"/>
    <col min="3085" max="3085" width="15.36328125" style="2" customWidth="1"/>
    <col min="3086" max="3086" width="15.6328125" style="2" customWidth="1"/>
    <col min="3087" max="3087" width="15.54296875" style="2" customWidth="1"/>
    <col min="3088" max="3088" width="8.984375E-2" style="2" customWidth="1"/>
    <col min="3089" max="3089" width="1.6328125" style="2" customWidth="1"/>
    <col min="3090" max="3328" width="9.08984375" style="2"/>
    <col min="3329" max="3329" width="40.54296875" style="2" customWidth="1"/>
    <col min="3330" max="3337" width="10.6328125" style="2" customWidth="1"/>
    <col min="3338" max="3338" width="13.54296875" style="2" customWidth="1"/>
    <col min="3339" max="3339" width="15" style="2" customWidth="1"/>
    <col min="3340" max="3340" width="15.08984375" style="2" customWidth="1"/>
    <col min="3341" max="3341" width="15.36328125" style="2" customWidth="1"/>
    <col min="3342" max="3342" width="15.6328125" style="2" customWidth="1"/>
    <col min="3343" max="3343" width="15.54296875" style="2" customWidth="1"/>
    <col min="3344" max="3344" width="8.984375E-2" style="2" customWidth="1"/>
    <col min="3345" max="3345" width="1.6328125" style="2" customWidth="1"/>
    <col min="3346" max="3584" width="9.08984375" style="2"/>
    <col min="3585" max="3585" width="40.54296875" style="2" customWidth="1"/>
    <col min="3586" max="3593" width="10.6328125" style="2" customWidth="1"/>
    <col min="3594" max="3594" width="13.54296875" style="2" customWidth="1"/>
    <col min="3595" max="3595" width="15" style="2" customWidth="1"/>
    <col min="3596" max="3596" width="15.08984375" style="2" customWidth="1"/>
    <col min="3597" max="3597" width="15.36328125" style="2" customWidth="1"/>
    <col min="3598" max="3598" width="15.6328125" style="2" customWidth="1"/>
    <col min="3599" max="3599" width="15.54296875" style="2" customWidth="1"/>
    <col min="3600" max="3600" width="8.984375E-2" style="2" customWidth="1"/>
    <col min="3601" max="3601" width="1.6328125" style="2" customWidth="1"/>
    <col min="3602" max="3840" width="9.08984375" style="2"/>
    <col min="3841" max="3841" width="40.54296875" style="2" customWidth="1"/>
    <col min="3842" max="3849" width="10.6328125" style="2" customWidth="1"/>
    <col min="3850" max="3850" width="13.54296875" style="2" customWidth="1"/>
    <col min="3851" max="3851" width="15" style="2" customWidth="1"/>
    <col min="3852" max="3852" width="15.08984375" style="2" customWidth="1"/>
    <col min="3853" max="3853" width="15.36328125" style="2" customWidth="1"/>
    <col min="3854" max="3854" width="15.6328125" style="2" customWidth="1"/>
    <col min="3855" max="3855" width="15.54296875" style="2" customWidth="1"/>
    <col min="3856" max="3856" width="8.984375E-2" style="2" customWidth="1"/>
    <col min="3857" max="3857" width="1.6328125" style="2" customWidth="1"/>
    <col min="3858" max="4096" width="9.08984375" style="2"/>
    <col min="4097" max="4097" width="40.54296875" style="2" customWidth="1"/>
    <col min="4098" max="4105" width="10.6328125" style="2" customWidth="1"/>
    <col min="4106" max="4106" width="13.54296875" style="2" customWidth="1"/>
    <col min="4107" max="4107" width="15" style="2" customWidth="1"/>
    <col min="4108" max="4108" width="15.08984375" style="2" customWidth="1"/>
    <col min="4109" max="4109" width="15.36328125" style="2" customWidth="1"/>
    <col min="4110" max="4110" width="15.6328125" style="2" customWidth="1"/>
    <col min="4111" max="4111" width="15.54296875" style="2" customWidth="1"/>
    <col min="4112" max="4112" width="8.984375E-2" style="2" customWidth="1"/>
    <col min="4113" max="4113" width="1.6328125" style="2" customWidth="1"/>
    <col min="4114" max="4352" width="9.08984375" style="2"/>
    <col min="4353" max="4353" width="40.54296875" style="2" customWidth="1"/>
    <col min="4354" max="4361" width="10.6328125" style="2" customWidth="1"/>
    <col min="4362" max="4362" width="13.54296875" style="2" customWidth="1"/>
    <col min="4363" max="4363" width="15" style="2" customWidth="1"/>
    <col min="4364" max="4364" width="15.08984375" style="2" customWidth="1"/>
    <col min="4365" max="4365" width="15.36328125" style="2" customWidth="1"/>
    <col min="4366" max="4366" width="15.6328125" style="2" customWidth="1"/>
    <col min="4367" max="4367" width="15.54296875" style="2" customWidth="1"/>
    <col min="4368" max="4368" width="8.984375E-2" style="2" customWidth="1"/>
    <col min="4369" max="4369" width="1.6328125" style="2" customWidth="1"/>
    <col min="4370" max="4608" width="9.08984375" style="2"/>
    <col min="4609" max="4609" width="40.54296875" style="2" customWidth="1"/>
    <col min="4610" max="4617" width="10.6328125" style="2" customWidth="1"/>
    <col min="4618" max="4618" width="13.54296875" style="2" customWidth="1"/>
    <col min="4619" max="4619" width="15" style="2" customWidth="1"/>
    <col min="4620" max="4620" width="15.08984375" style="2" customWidth="1"/>
    <col min="4621" max="4621" width="15.36328125" style="2" customWidth="1"/>
    <col min="4622" max="4622" width="15.6328125" style="2" customWidth="1"/>
    <col min="4623" max="4623" width="15.54296875" style="2" customWidth="1"/>
    <col min="4624" max="4624" width="8.984375E-2" style="2" customWidth="1"/>
    <col min="4625" max="4625" width="1.6328125" style="2" customWidth="1"/>
    <col min="4626" max="4864" width="9.08984375" style="2"/>
    <col min="4865" max="4865" width="40.54296875" style="2" customWidth="1"/>
    <col min="4866" max="4873" width="10.6328125" style="2" customWidth="1"/>
    <col min="4874" max="4874" width="13.54296875" style="2" customWidth="1"/>
    <col min="4875" max="4875" width="15" style="2" customWidth="1"/>
    <col min="4876" max="4876" width="15.08984375" style="2" customWidth="1"/>
    <col min="4877" max="4877" width="15.36328125" style="2" customWidth="1"/>
    <col min="4878" max="4878" width="15.6328125" style="2" customWidth="1"/>
    <col min="4879" max="4879" width="15.54296875" style="2" customWidth="1"/>
    <col min="4880" max="4880" width="8.984375E-2" style="2" customWidth="1"/>
    <col min="4881" max="4881" width="1.6328125" style="2" customWidth="1"/>
    <col min="4882" max="5120" width="9.08984375" style="2"/>
    <col min="5121" max="5121" width="40.54296875" style="2" customWidth="1"/>
    <col min="5122" max="5129" width="10.6328125" style="2" customWidth="1"/>
    <col min="5130" max="5130" width="13.54296875" style="2" customWidth="1"/>
    <col min="5131" max="5131" width="15" style="2" customWidth="1"/>
    <col min="5132" max="5132" width="15.08984375" style="2" customWidth="1"/>
    <col min="5133" max="5133" width="15.36328125" style="2" customWidth="1"/>
    <col min="5134" max="5134" width="15.6328125" style="2" customWidth="1"/>
    <col min="5135" max="5135" width="15.54296875" style="2" customWidth="1"/>
    <col min="5136" max="5136" width="8.984375E-2" style="2" customWidth="1"/>
    <col min="5137" max="5137" width="1.6328125" style="2" customWidth="1"/>
    <col min="5138" max="5376" width="9.08984375" style="2"/>
    <col min="5377" max="5377" width="40.54296875" style="2" customWidth="1"/>
    <col min="5378" max="5385" width="10.6328125" style="2" customWidth="1"/>
    <col min="5386" max="5386" width="13.54296875" style="2" customWidth="1"/>
    <col min="5387" max="5387" width="15" style="2" customWidth="1"/>
    <col min="5388" max="5388" width="15.08984375" style="2" customWidth="1"/>
    <col min="5389" max="5389" width="15.36328125" style="2" customWidth="1"/>
    <col min="5390" max="5390" width="15.6328125" style="2" customWidth="1"/>
    <col min="5391" max="5391" width="15.54296875" style="2" customWidth="1"/>
    <col min="5392" max="5392" width="8.984375E-2" style="2" customWidth="1"/>
    <col min="5393" max="5393" width="1.6328125" style="2" customWidth="1"/>
    <col min="5394" max="5632" width="9.08984375" style="2"/>
    <col min="5633" max="5633" width="40.54296875" style="2" customWidth="1"/>
    <col min="5634" max="5641" width="10.6328125" style="2" customWidth="1"/>
    <col min="5642" max="5642" width="13.54296875" style="2" customWidth="1"/>
    <col min="5643" max="5643" width="15" style="2" customWidth="1"/>
    <col min="5644" max="5644" width="15.08984375" style="2" customWidth="1"/>
    <col min="5645" max="5645" width="15.36328125" style="2" customWidth="1"/>
    <col min="5646" max="5646" width="15.6328125" style="2" customWidth="1"/>
    <col min="5647" max="5647" width="15.54296875" style="2" customWidth="1"/>
    <col min="5648" max="5648" width="8.984375E-2" style="2" customWidth="1"/>
    <col min="5649" max="5649" width="1.6328125" style="2" customWidth="1"/>
    <col min="5650" max="5888" width="9.08984375" style="2"/>
    <col min="5889" max="5889" width="40.54296875" style="2" customWidth="1"/>
    <col min="5890" max="5897" width="10.6328125" style="2" customWidth="1"/>
    <col min="5898" max="5898" width="13.54296875" style="2" customWidth="1"/>
    <col min="5899" max="5899" width="15" style="2" customWidth="1"/>
    <col min="5900" max="5900" width="15.08984375" style="2" customWidth="1"/>
    <col min="5901" max="5901" width="15.36328125" style="2" customWidth="1"/>
    <col min="5902" max="5902" width="15.6328125" style="2" customWidth="1"/>
    <col min="5903" max="5903" width="15.54296875" style="2" customWidth="1"/>
    <col min="5904" max="5904" width="8.984375E-2" style="2" customWidth="1"/>
    <col min="5905" max="5905" width="1.6328125" style="2" customWidth="1"/>
    <col min="5906" max="6144" width="9.08984375" style="2"/>
    <col min="6145" max="6145" width="40.54296875" style="2" customWidth="1"/>
    <col min="6146" max="6153" width="10.6328125" style="2" customWidth="1"/>
    <col min="6154" max="6154" width="13.54296875" style="2" customWidth="1"/>
    <col min="6155" max="6155" width="15" style="2" customWidth="1"/>
    <col min="6156" max="6156" width="15.08984375" style="2" customWidth="1"/>
    <col min="6157" max="6157" width="15.36328125" style="2" customWidth="1"/>
    <col min="6158" max="6158" width="15.6328125" style="2" customWidth="1"/>
    <col min="6159" max="6159" width="15.54296875" style="2" customWidth="1"/>
    <col min="6160" max="6160" width="8.984375E-2" style="2" customWidth="1"/>
    <col min="6161" max="6161" width="1.6328125" style="2" customWidth="1"/>
    <col min="6162" max="6400" width="9.08984375" style="2"/>
    <col min="6401" max="6401" width="40.54296875" style="2" customWidth="1"/>
    <col min="6402" max="6409" width="10.6328125" style="2" customWidth="1"/>
    <col min="6410" max="6410" width="13.54296875" style="2" customWidth="1"/>
    <col min="6411" max="6411" width="15" style="2" customWidth="1"/>
    <col min="6412" max="6412" width="15.08984375" style="2" customWidth="1"/>
    <col min="6413" max="6413" width="15.36328125" style="2" customWidth="1"/>
    <col min="6414" max="6414" width="15.6328125" style="2" customWidth="1"/>
    <col min="6415" max="6415" width="15.54296875" style="2" customWidth="1"/>
    <col min="6416" max="6416" width="8.984375E-2" style="2" customWidth="1"/>
    <col min="6417" max="6417" width="1.6328125" style="2" customWidth="1"/>
    <col min="6418" max="6656" width="9.08984375" style="2"/>
    <col min="6657" max="6657" width="40.54296875" style="2" customWidth="1"/>
    <col min="6658" max="6665" width="10.6328125" style="2" customWidth="1"/>
    <col min="6666" max="6666" width="13.54296875" style="2" customWidth="1"/>
    <col min="6667" max="6667" width="15" style="2" customWidth="1"/>
    <col min="6668" max="6668" width="15.08984375" style="2" customWidth="1"/>
    <col min="6669" max="6669" width="15.36328125" style="2" customWidth="1"/>
    <col min="6670" max="6670" width="15.6328125" style="2" customWidth="1"/>
    <col min="6671" max="6671" width="15.54296875" style="2" customWidth="1"/>
    <col min="6672" max="6672" width="8.984375E-2" style="2" customWidth="1"/>
    <col min="6673" max="6673" width="1.6328125" style="2" customWidth="1"/>
    <col min="6674" max="6912" width="9.08984375" style="2"/>
    <col min="6913" max="6913" width="40.54296875" style="2" customWidth="1"/>
    <col min="6914" max="6921" width="10.6328125" style="2" customWidth="1"/>
    <col min="6922" max="6922" width="13.54296875" style="2" customWidth="1"/>
    <col min="6923" max="6923" width="15" style="2" customWidth="1"/>
    <col min="6924" max="6924" width="15.08984375" style="2" customWidth="1"/>
    <col min="6925" max="6925" width="15.36328125" style="2" customWidth="1"/>
    <col min="6926" max="6926" width="15.6328125" style="2" customWidth="1"/>
    <col min="6927" max="6927" width="15.54296875" style="2" customWidth="1"/>
    <col min="6928" max="6928" width="8.984375E-2" style="2" customWidth="1"/>
    <col min="6929" max="6929" width="1.6328125" style="2" customWidth="1"/>
    <col min="6930" max="7168" width="9.08984375" style="2"/>
    <col min="7169" max="7169" width="40.54296875" style="2" customWidth="1"/>
    <col min="7170" max="7177" width="10.6328125" style="2" customWidth="1"/>
    <col min="7178" max="7178" width="13.54296875" style="2" customWidth="1"/>
    <col min="7179" max="7179" width="15" style="2" customWidth="1"/>
    <col min="7180" max="7180" width="15.08984375" style="2" customWidth="1"/>
    <col min="7181" max="7181" width="15.36328125" style="2" customWidth="1"/>
    <col min="7182" max="7182" width="15.6328125" style="2" customWidth="1"/>
    <col min="7183" max="7183" width="15.54296875" style="2" customWidth="1"/>
    <col min="7184" max="7184" width="8.984375E-2" style="2" customWidth="1"/>
    <col min="7185" max="7185" width="1.6328125" style="2" customWidth="1"/>
    <col min="7186" max="7424" width="9.08984375" style="2"/>
    <col min="7425" max="7425" width="40.54296875" style="2" customWidth="1"/>
    <col min="7426" max="7433" width="10.6328125" style="2" customWidth="1"/>
    <col min="7434" max="7434" width="13.54296875" style="2" customWidth="1"/>
    <col min="7435" max="7435" width="15" style="2" customWidth="1"/>
    <col min="7436" max="7436" width="15.08984375" style="2" customWidth="1"/>
    <col min="7437" max="7437" width="15.36328125" style="2" customWidth="1"/>
    <col min="7438" max="7438" width="15.6328125" style="2" customWidth="1"/>
    <col min="7439" max="7439" width="15.54296875" style="2" customWidth="1"/>
    <col min="7440" max="7440" width="8.984375E-2" style="2" customWidth="1"/>
    <col min="7441" max="7441" width="1.6328125" style="2" customWidth="1"/>
    <col min="7442" max="7680" width="9.08984375" style="2"/>
    <col min="7681" max="7681" width="40.54296875" style="2" customWidth="1"/>
    <col min="7682" max="7689" width="10.6328125" style="2" customWidth="1"/>
    <col min="7690" max="7690" width="13.54296875" style="2" customWidth="1"/>
    <col min="7691" max="7691" width="15" style="2" customWidth="1"/>
    <col min="7692" max="7692" width="15.08984375" style="2" customWidth="1"/>
    <col min="7693" max="7693" width="15.36328125" style="2" customWidth="1"/>
    <col min="7694" max="7694" width="15.6328125" style="2" customWidth="1"/>
    <col min="7695" max="7695" width="15.54296875" style="2" customWidth="1"/>
    <col min="7696" max="7696" width="8.984375E-2" style="2" customWidth="1"/>
    <col min="7697" max="7697" width="1.6328125" style="2" customWidth="1"/>
    <col min="7698" max="7936" width="9.08984375" style="2"/>
    <col min="7937" max="7937" width="40.54296875" style="2" customWidth="1"/>
    <col min="7938" max="7945" width="10.6328125" style="2" customWidth="1"/>
    <col min="7946" max="7946" width="13.54296875" style="2" customWidth="1"/>
    <col min="7947" max="7947" width="15" style="2" customWidth="1"/>
    <col min="7948" max="7948" width="15.08984375" style="2" customWidth="1"/>
    <col min="7949" max="7949" width="15.36328125" style="2" customWidth="1"/>
    <col min="7950" max="7950" width="15.6328125" style="2" customWidth="1"/>
    <col min="7951" max="7951" width="15.54296875" style="2" customWidth="1"/>
    <col min="7952" max="7952" width="8.984375E-2" style="2" customWidth="1"/>
    <col min="7953" max="7953" width="1.6328125" style="2" customWidth="1"/>
    <col min="7954" max="8192" width="9.08984375" style="2"/>
    <col min="8193" max="8193" width="40.54296875" style="2" customWidth="1"/>
    <col min="8194" max="8201" width="10.6328125" style="2" customWidth="1"/>
    <col min="8202" max="8202" width="13.54296875" style="2" customWidth="1"/>
    <col min="8203" max="8203" width="15" style="2" customWidth="1"/>
    <col min="8204" max="8204" width="15.08984375" style="2" customWidth="1"/>
    <col min="8205" max="8205" width="15.36328125" style="2" customWidth="1"/>
    <col min="8206" max="8206" width="15.6328125" style="2" customWidth="1"/>
    <col min="8207" max="8207" width="15.54296875" style="2" customWidth="1"/>
    <col min="8208" max="8208" width="8.984375E-2" style="2" customWidth="1"/>
    <col min="8209" max="8209" width="1.6328125" style="2" customWidth="1"/>
    <col min="8210" max="8448" width="9.08984375" style="2"/>
    <col min="8449" max="8449" width="40.54296875" style="2" customWidth="1"/>
    <col min="8450" max="8457" width="10.6328125" style="2" customWidth="1"/>
    <col min="8458" max="8458" width="13.54296875" style="2" customWidth="1"/>
    <col min="8459" max="8459" width="15" style="2" customWidth="1"/>
    <col min="8460" max="8460" width="15.08984375" style="2" customWidth="1"/>
    <col min="8461" max="8461" width="15.36328125" style="2" customWidth="1"/>
    <col min="8462" max="8462" width="15.6328125" style="2" customWidth="1"/>
    <col min="8463" max="8463" width="15.54296875" style="2" customWidth="1"/>
    <col min="8464" max="8464" width="8.984375E-2" style="2" customWidth="1"/>
    <col min="8465" max="8465" width="1.6328125" style="2" customWidth="1"/>
    <col min="8466" max="8704" width="9.08984375" style="2"/>
    <col min="8705" max="8705" width="40.54296875" style="2" customWidth="1"/>
    <col min="8706" max="8713" width="10.6328125" style="2" customWidth="1"/>
    <col min="8714" max="8714" width="13.54296875" style="2" customWidth="1"/>
    <col min="8715" max="8715" width="15" style="2" customWidth="1"/>
    <col min="8716" max="8716" width="15.08984375" style="2" customWidth="1"/>
    <col min="8717" max="8717" width="15.36328125" style="2" customWidth="1"/>
    <col min="8718" max="8718" width="15.6328125" style="2" customWidth="1"/>
    <col min="8719" max="8719" width="15.54296875" style="2" customWidth="1"/>
    <col min="8720" max="8720" width="8.984375E-2" style="2" customWidth="1"/>
    <col min="8721" max="8721" width="1.6328125" style="2" customWidth="1"/>
    <col min="8722" max="8960" width="9.08984375" style="2"/>
    <col min="8961" max="8961" width="40.54296875" style="2" customWidth="1"/>
    <col min="8962" max="8969" width="10.6328125" style="2" customWidth="1"/>
    <col min="8970" max="8970" width="13.54296875" style="2" customWidth="1"/>
    <col min="8971" max="8971" width="15" style="2" customWidth="1"/>
    <col min="8972" max="8972" width="15.08984375" style="2" customWidth="1"/>
    <col min="8973" max="8973" width="15.36328125" style="2" customWidth="1"/>
    <col min="8974" max="8974" width="15.6328125" style="2" customWidth="1"/>
    <col min="8975" max="8975" width="15.54296875" style="2" customWidth="1"/>
    <col min="8976" max="8976" width="8.984375E-2" style="2" customWidth="1"/>
    <col min="8977" max="8977" width="1.6328125" style="2" customWidth="1"/>
    <col min="8978" max="9216" width="9.08984375" style="2"/>
    <col min="9217" max="9217" width="40.54296875" style="2" customWidth="1"/>
    <col min="9218" max="9225" width="10.6328125" style="2" customWidth="1"/>
    <col min="9226" max="9226" width="13.54296875" style="2" customWidth="1"/>
    <col min="9227" max="9227" width="15" style="2" customWidth="1"/>
    <col min="9228" max="9228" width="15.08984375" style="2" customWidth="1"/>
    <col min="9229" max="9229" width="15.36328125" style="2" customWidth="1"/>
    <col min="9230" max="9230" width="15.6328125" style="2" customWidth="1"/>
    <col min="9231" max="9231" width="15.54296875" style="2" customWidth="1"/>
    <col min="9232" max="9232" width="8.984375E-2" style="2" customWidth="1"/>
    <col min="9233" max="9233" width="1.6328125" style="2" customWidth="1"/>
    <col min="9234" max="9472" width="9.08984375" style="2"/>
    <col min="9473" max="9473" width="40.54296875" style="2" customWidth="1"/>
    <col min="9474" max="9481" width="10.6328125" style="2" customWidth="1"/>
    <col min="9482" max="9482" width="13.54296875" style="2" customWidth="1"/>
    <col min="9483" max="9483" width="15" style="2" customWidth="1"/>
    <col min="9484" max="9484" width="15.08984375" style="2" customWidth="1"/>
    <col min="9485" max="9485" width="15.36328125" style="2" customWidth="1"/>
    <col min="9486" max="9486" width="15.6328125" style="2" customWidth="1"/>
    <col min="9487" max="9487" width="15.54296875" style="2" customWidth="1"/>
    <col min="9488" max="9488" width="8.984375E-2" style="2" customWidth="1"/>
    <col min="9489" max="9489" width="1.6328125" style="2" customWidth="1"/>
    <col min="9490" max="9728" width="9.08984375" style="2"/>
    <col min="9729" max="9729" width="40.54296875" style="2" customWidth="1"/>
    <col min="9730" max="9737" width="10.6328125" style="2" customWidth="1"/>
    <col min="9738" max="9738" width="13.54296875" style="2" customWidth="1"/>
    <col min="9739" max="9739" width="15" style="2" customWidth="1"/>
    <col min="9740" max="9740" width="15.08984375" style="2" customWidth="1"/>
    <col min="9741" max="9741" width="15.36328125" style="2" customWidth="1"/>
    <col min="9742" max="9742" width="15.6328125" style="2" customWidth="1"/>
    <col min="9743" max="9743" width="15.54296875" style="2" customWidth="1"/>
    <col min="9744" max="9744" width="8.984375E-2" style="2" customWidth="1"/>
    <col min="9745" max="9745" width="1.6328125" style="2" customWidth="1"/>
    <col min="9746" max="9984" width="9.08984375" style="2"/>
    <col min="9985" max="9985" width="40.54296875" style="2" customWidth="1"/>
    <col min="9986" max="9993" width="10.6328125" style="2" customWidth="1"/>
    <col min="9994" max="9994" width="13.54296875" style="2" customWidth="1"/>
    <col min="9995" max="9995" width="15" style="2" customWidth="1"/>
    <col min="9996" max="9996" width="15.08984375" style="2" customWidth="1"/>
    <col min="9997" max="9997" width="15.36328125" style="2" customWidth="1"/>
    <col min="9998" max="9998" width="15.6328125" style="2" customWidth="1"/>
    <col min="9999" max="9999" width="15.54296875" style="2" customWidth="1"/>
    <col min="10000" max="10000" width="8.984375E-2" style="2" customWidth="1"/>
    <col min="10001" max="10001" width="1.6328125" style="2" customWidth="1"/>
    <col min="10002" max="10240" width="9.08984375" style="2"/>
    <col min="10241" max="10241" width="40.54296875" style="2" customWidth="1"/>
    <col min="10242" max="10249" width="10.6328125" style="2" customWidth="1"/>
    <col min="10250" max="10250" width="13.54296875" style="2" customWidth="1"/>
    <col min="10251" max="10251" width="15" style="2" customWidth="1"/>
    <col min="10252" max="10252" width="15.08984375" style="2" customWidth="1"/>
    <col min="10253" max="10253" width="15.36328125" style="2" customWidth="1"/>
    <col min="10254" max="10254" width="15.6328125" style="2" customWidth="1"/>
    <col min="10255" max="10255" width="15.54296875" style="2" customWidth="1"/>
    <col min="10256" max="10256" width="8.984375E-2" style="2" customWidth="1"/>
    <col min="10257" max="10257" width="1.6328125" style="2" customWidth="1"/>
    <col min="10258" max="10496" width="9.08984375" style="2"/>
    <col min="10497" max="10497" width="40.54296875" style="2" customWidth="1"/>
    <col min="10498" max="10505" width="10.6328125" style="2" customWidth="1"/>
    <col min="10506" max="10506" width="13.54296875" style="2" customWidth="1"/>
    <col min="10507" max="10507" width="15" style="2" customWidth="1"/>
    <col min="10508" max="10508" width="15.08984375" style="2" customWidth="1"/>
    <col min="10509" max="10509" width="15.36328125" style="2" customWidth="1"/>
    <col min="10510" max="10510" width="15.6328125" style="2" customWidth="1"/>
    <col min="10511" max="10511" width="15.54296875" style="2" customWidth="1"/>
    <col min="10512" max="10512" width="8.984375E-2" style="2" customWidth="1"/>
    <col min="10513" max="10513" width="1.6328125" style="2" customWidth="1"/>
    <col min="10514" max="10752" width="9.08984375" style="2"/>
    <col min="10753" max="10753" width="40.54296875" style="2" customWidth="1"/>
    <col min="10754" max="10761" width="10.6328125" style="2" customWidth="1"/>
    <col min="10762" max="10762" width="13.54296875" style="2" customWidth="1"/>
    <col min="10763" max="10763" width="15" style="2" customWidth="1"/>
    <col min="10764" max="10764" width="15.08984375" style="2" customWidth="1"/>
    <col min="10765" max="10765" width="15.36328125" style="2" customWidth="1"/>
    <col min="10766" max="10766" width="15.6328125" style="2" customWidth="1"/>
    <col min="10767" max="10767" width="15.54296875" style="2" customWidth="1"/>
    <col min="10768" max="10768" width="8.984375E-2" style="2" customWidth="1"/>
    <col min="10769" max="10769" width="1.6328125" style="2" customWidth="1"/>
    <col min="10770" max="11008" width="9.08984375" style="2"/>
    <col min="11009" max="11009" width="40.54296875" style="2" customWidth="1"/>
    <col min="11010" max="11017" width="10.6328125" style="2" customWidth="1"/>
    <col min="11018" max="11018" width="13.54296875" style="2" customWidth="1"/>
    <col min="11019" max="11019" width="15" style="2" customWidth="1"/>
    <col min="11020" max="11020" width="15.08984375" style="2" customWidth="1"/>
    <col min="11021" max="11021" width="15.36328125" style="2" customWidth="1"/>
    <col min="11022" max="11022" width="15.6328125" style="2" customWidth="1"/>
    <col min="11023" max="11023" width="15.54296875" style="2" customWidth="1"/>
    <col min="11024" max="11024" width="8.984375E-2" style="2" customWidth="1"/>
    <col min="11025" max="11025" width="1.6328125" style="2" customWidth="1"/>
    <col min="11026" max="11264" width="9.08984375" style="2"/>
    <col min="11265" max="11265" width="40.54296875" style="2" customWidth="1"/>
    <col min="11266" max="11273" width="10.6328125" style="2" customWidth="1"/>
    <col min="11274" max="11274" width="13.54296875" style="2" customWidth="1"/>
    <col min="11275" max="11275" width="15" style="2" customWidth="1"/>
    <col min="11276" max="11276" width="15.08984375" style="2" customWidth="1"/>
    <col min="11277" max="11277" width="15.36328125" style="2" customWidth="1"/>
    <col min="11278" max="11278" width="15.6328125" style="2" customWidth="1"/>
    <col min="11279" max="11279" width="15.54296875" style="2" customWidth="1"/>
    <col min="11280" max="11280" width="8.984375E-2" style="2" customWidth="1"/>
    <col min="11281" max="11281" width="1.6328125" style="2" customWidth="1"/>
    <col min="11282" max="11520" width="9.08984375" style="2"/>
    <col min="11521" max="11521" width="40.54296875" style="2" customWidth="1"/>
    <col min="11522" max="11529" width="10.6328125" style="2" customWidth="1"/>
    <col min="11530" max="11530" width="13.54296875" style="2" customWidth="1"/>
    <col min="11531" max="11531" width="15" style="2" customWidth="1"/>
    <col min="11532" max="11532" width="15.08984375" style="2" customWidth="1"/>
    <col min="11533" max="11533" width="15.36328125" style="2" customWidth="1"/>
    <col min="11534" max="11534" width="15.6328125" style="2" customWidth="1"/>
    <col min="11535" max="11535" width="15.54296875" style="2" customWidth="1"/>
    <col min="11536" max="11536" width="8.984375E-2" style="2" customWidth="1"/>
    <col min="11537" max="11537" width="1.6328125" style="2" customWidth="1"/>
    <col min="11538" max="11776" width="9.08984375" style="2"/>
    <col min="11777" max="11777" width="40.54296875" style="2" customWidth="1"/>
    <col min="11778" max="11785" width="10.6328125" style="2" customWidth="1"/>
    <col min="11786" max="11786" width="13.54296875" style="2" customWidth="1"/>
    <col min="11787" max="11787" width="15" style="2" customWidth="1"/>
    <col min="11788" max="11788" width="15.08984375" style="2" customWidth="1"/>
    <col min="11789" max="11789" width="15.36328125" style="2" customWidth="1"/>
    <col min="11790" max="11790" width="15.6328125" style="2" customWidth="1"/>
    <col min="11791" max="11791" width="15.54296875" style="2" customWidth="1"/>
    <col min="11792" max="11792" width="8.984375E-2" style="2" customWidth="1"/>
    <col min="11793" max="11793" width="1.6328125" style="2" customWidth="1"/>
    <col min="11794" max="12032" width="9.08984375" style="2"/>
    <col min="12033" max="12033" width="40.54296875" style="2" customWidth="1"/>
    <col min="12034" max="12041" width="10.6328125" style="2" customWidth="1"/>
    <col min="12042" max="12042" width="13.54296875" style="2" customWidth="1"/>
    <col min="12043" max="12043" width="15" style="2" customWidth="1"/>
    <col min="12044" max="12044" width="15.08984375" style="2" customWidth="1"/>
    <col min="12045" max="12045" width="15.36328125" style="2" customWidth="1"/>
    <col min="12046" max="12046" width="15.6328125" style="2" customWidth="1"/>
    <col min="12047" max="12047" width="15.54296875" style="2" customWidth="1"/>
    <col min="12048" max="12048" width="8.984375E-2" style="2" customWidth="1"/>
    <col min="12049" max="12049" width="1.6328125" style="2" customWidth="1"/>
    <col min="12050" max="12288" width="9.08984375" style="2"/>
    <col min="12289" max="12289" width="40.54296875" style="2" customWidth="1"/>
    <col min="12290" max="12297" width="10.6328125" style="2" customWidth="1"/>
    <col min="12298" max="12298" width="13.54296875" style="2" customWidth="1"/>
    <col min="12299" max="12299" width="15" style="2" customWidth="1"/>
    <col min="12300" max="12300" width="15.08984375" style="2" customWidth="1"/>
    <col min="12301" max="12301" width="15.36328125" style="2" customWidth="1"/>
    <col min="12302" max="12302" width="15.6328125" style="2" customWidth="1"/>
    <col min="12303" max="12303" width="15.54296875" style="2" customWidth="1"/>
    <col min="12304" max="12304" width="8.984375E-2" style="2" customWidth="1"/>
    <col min="12305" max="12305" width="1.6328125" style="2" customWidth="1"/>
    <col min="12306" max="12544" width="9.08984375" style="2"/>
    <col min="12545" max="12545" width="40.54296875" style="2" customWidth="1"/>
    <col min="12546" max="12553" width="10.6328125" style="2" customWidth="1"/>
    <col min="12554" max="12554" width="13.54296875" style="2" customWidth="1"/>
    <col min="12555" max="12555" width="15" style="2" customWidth="1"/>
    <col min="12556" max="12556" width="15.08984375" style="2" customWidth="1"/>
    <col min="12557" max="12557" width="15.36328125" style="2" customWidth="1"/>
    <col min="12558" max="12558" width="15.6328125" style="2" customWidth="1"/>
    <col min="12559" max="12559" width="15.54296875" style="2" customWidth="1"/>
    <col min="12560" max="12560" width="8.984375E-2" style="2" customWidth="1"/>
    <col min="12561" max="12561" width="1.6328125" style="2" customWidth="1"/>
    <col min="12562" max="12800" width="9.08984375" style="2"/>
    <col min="12801" max="12801" width="40.54296875" style="2" customWidth="1"/>
    <col min="12802" max="12809" width="10.6328125" style="2" customWidth="1"/>
    <col min="12810" max="12810" width="13.54296875" style="2" customWidth="1"/>
    <col min="12811" max="12811" width="15" style="2" customWidth="1"/>
    <col min="12812" max="12812" width="15.08984375" style="2" customWidth="1"/>
    <col min="12813" max="12813" width="15.36328125" style="2" customWidth="1"/>
    <col min="12814" max="12814" width="15.6328125" style="2" customWidth="1"/>
    <col min="12815" max="12815" width="15.54296875" style="2" customWidth="1"/>
    <col min="12816" max="12816" width="8.984375E-2" style="2" customWidth="1"/>
    <col min="12817" max="12817" width="1.6328125" style="2" customWidth="1"/>
    <col min="12818" max="13056" width="9.08984375" style="2"/>
    <col min="13057" max="13057" width="40.54296875" style="2" customWidth="1"/>
    <col min="13058" max="13065" width="10.6328125" style="2" customWidth="1"/>
    <col min="13066" max="13066" width="13.54296875" style="2" customWidth="1"/>
    <col min="13067" max="13067" width="15" style="2" customWidth="1"/>
    <col min="13068" max="13068" width="15.08984375" style="2" customWidth="1"/>
    <col min="13069" max="13069" width="15.36328125" style="2" customWidth="1"/>
    <col min="13070" max="13070" width="15.6328125" style="2" customWidth="1"/>
    <col min="13071" max="13071" width="15.54296875" style="2" customWidth="1"/>
    <col min="13072" max="13072" width="8.984375E-2" style="2" customWidth="1"/>
    <col min="13073" max="13073" width="1.6328125" style="2" customWidth="1"/>
    <col min="13074" max="13312" width="9.08984375" style="2"/>
    <col min="13313" max="13313" width="40.54296875" style="2" customWidth="1"/>
    <col min="13314" max="13321" width="10.6328125" style="2" customWidth="1"/>
    <col min="13322" max="13322" width="13.54296875" style="2" customWidth="1"/>
    <col min="13323" max="13323" width="15" style="2" customWidth="1"/>
    <col min="13324" max="13324" width="15.08984375" style="2" customWidth="1"/>
    <col min="13325" max="13325" width="15.36328125" style="2" customWidth="1"/>
    <col min="13326" max="13326" width="15.6328125" style="2" customWidth="1"/>
    <col min="13327" max="13327" width="15.54296875" style="2" customWidth="1"/>
    <col min="13328" max="13328" width="8.984375E-2" style="2" customWidth="1"/>
    <col min="13329" max="13329" width="1.6328125" style="2" customWidth="1"/>
    <col min="13330" max="13568" width="9.08984375" style="2"/>
    <col min="13569" max="13569" width="40.54296875" style="2" customWidth="1"/>
    <col min="13570" max="13577" width="10.6328125" style="2" customWidth="1"/>
    <col min="13578" max="13578" width="13.54296875" style="2" customWidth="1"/>
    <col min="13579" max="13579" width="15" style="2" customWidth="1"/>
    <col min="13580" max="13580" width="15.08984375" style="2" customWidth="1"/>
    <col min="13581" max="13581" width="15.36328125" style="2" customWidth="1"/>
    <col min="13582" max="13582" width="15.6328125" style="2" customWidth="1"/>
    <col min="13583" max="13583" width="15.54296875" style="2" customWidth="1"/>
    <col min="13584" max="13584" width="8.984375E-2" style="2" customWidth="1"/>
    <col min="13585" max="13585" width="1.6328125" style="2" customWidth="1"/>
    <col min="13586" max="13824" width="9.08984375" style="2"/>
    <col min="13825" max="13825" width="40.54296875" style="2" customWidth="1"/>
    <col min="13826" max="13833" width="10.6328125" style="2" customWidth="1"/>
    <col min="13834" max="13834" width="13.54296875" style="2" customWidth="1"/>
    <col min="13835" max="13835" width="15" style="2" customWidth="1"/>
    <col min="13836" max="13836" width="15.08984375" style="2" customWidth="1"/>
    <col min="13837" max="13837" width="15.36328125" style="2" customWidth="1"/>
    <col min="13838" max="13838" width="15.6328125" style="2" customWidth="1"/>
    <col min="13839" max="13839" width="15.54296875" style="2" customWidth="1"/>
    <col min="13840" max="13840" width="8.984375E-2" style="2" customWidth="1"/>
    <col min="13841" max="13841" width="1.6328125" style="2" customWidth="1"/>
    <col min="13842" max="14080" width="9.08984375" style="2"/>
    <col min="14081" max="14081" width="40.54296875" style="2" customWidth="1"/>
    <col min="14082" max="14089" width="10.6328125" style="2" customWidth="1"/>
    <col min="14090" max="14090" width="13.54296875" style="2" customWidth="1"/>
    <col min="14091" max="14091" width="15" style="2" customWidth="1"/>
    <col min="14092" max="14092" width="15.08984375" style="2" customWidth="1"/>
    <col min="14093" max="14093" width="15.36328125" style="2" customWidth="1"/>
    <col min="14094" max="14094" width="15.6328125" style="2" customWidth="1"/>
    <col min="14095" max="14095" width="15.54296875" style="2" customWidth="1"/>
    <col min="14096" max="14096" width="8.984375E-2" style="2" customWidth="1"/>
    <col min="14097" max="14097" width="1.6328125" style="2" customWidth="1"/>
    <col min="14098" max="14336" width="9.08984375" style="2"/>
    <col min="14337" max="14337" width="40.54296875" style="2" customWidth="1"/>
    <col min="14338" max="14345" width="10.6328125" style="2" customWidth="1"/>
    <col min="14346" max="14346" width="13.54296875" style="2" customWidth="1"/>
    <col min="14347" max="14347" width="15" style="2" customWidth="1"/>
    <col min="14348" max="14348" width="15.08984375" style="2" customWidth="1"/>
    <col min="14349" max="14349" width="15.36328125" style="2" customWidth="1"/>
    <col min="14350" max="14350" width="15.6328125" style="2" customWidth="1"/>
    <col min="14351" max="14351" width="15.54296875" style="2" customWidth="1"/>
    <col min="14352" max="14352" width="8.984375E-2" style="2" customWidth="1"/>
    <col min="14353" max="14353" width="1.6328125" style="2" customWidth="1"/>
    <col min="14354" max="14592" width="9.08984375" style="2"/>
    <col min="14593" max="14593" width="40.54296875" style="2" customWidth="1"/>
    <col min="14594" max="14601" width="10.6328125" style="2" customWidth="1"/>
    <col min="14602" max="14602" width="13.54296875" style="2" customWidth="1"/>
    <col min="14603" max="14603" width="15" style="2" customWidth="1"/>
    <col min="14604" max="14604" width="15.08984375" style="2" customWidth="1"/>
    <col min="14605" max="14605" width="15.36328125" style="2" customWidth="1"/>
    <col min="14606" max="14606" width="15.6328125" style="2" customWidth="1"/>
    <col min="14607" max="14607" width="15.54296875" style="2" customWidth="1"/>
    <col min="14608" max="14608" width="8.984375E-2" style="2" customWidth="1"/>
    <col min="14609" max="14609" width="1.6328125" style="2" customWidth="1"/>
    <col min="14610" max="14848" width="9.08984375" style="2"/>
    <col min="14849" max="14849" width="40.54296875" style="2" customWidth="1"/>
    <col min="14850" max="14857" width="10.6328125" style="2" customWidth="1"/>
    <col min="14858" max="14858" width="13.54296875" style="2" customWidth="1"/>
    <col min="14859" max="14859" width="15" style="2" customWidth="1"/>
    <col min="14860" max="14860" width="15.08984375" style="2" customWidth="1"/>
    <col min="14861" max="14861" width="15.36328125" style="2" customWidth="1"/>
    <col min="14862" max="14862" width="15.6328125" style="2" customWidth="1"/>
    <col min="14863" max="14863" width="15.54296875" style="2" customWidth="1"/>
    <col min="14864" max="14864" width="8.984375E-2" style="2" customWidth="1"/>
    <col min="14865" max="14865" width="1.6328125" style="2" customWidth="1"/>
    <col min="14866" max="15104" width="9.08984375" style="2"/>
    <col min="15105" max="15105" width="40.54296875" style="2" customWidth="1"/>
    <col min="15106" max="15113" width="10.6328125" style="2" customWidth="1"/>
    <col min="15114" max="15114" width="13.54296875" style="2" customWidth="1"/>
    <col min="15115" max="15115" width="15" style="2" customWidth="1"/>
    <col min="15116" max="15116" width="15.08984375" style="2" customWidth="1"/>
    <col min="15117" max="15117" width="15.36328125" style="2" customWidth="1"/>
    <col min="15118" max="15118" width="15.6328125" style="2" customWidth="1"/>
    <col min="15119" max="15119" width="15.54296875" style="2" customWidth="1"/>
    <col min="15120" max="15120" width="8.984375E-2" style="2" customWidth="1"/>
    <col min="15121" max="15121" width="1.6328125" style="2" customWidth="1"/>
    <col min="15122" max="15360" width="9.08984375" style="2"/>
    <col min="15361" max="15361" width="40.54296875" style="2" customWidth="1"/>
    <col min="15362" max="15369" width="10.6328125" style="2" customWidth="1"/>
    <col min="15370" max="15370" width="13.54296875" style="2" customWidth="1"/>
    <col min="15371" max="15371" width="15" style="2" customWidth="1"/>
    <col min="15372" max="15372" width="15.08984375" style="2" customWidth="1"/>
    <col min="15373" max="15373" width="15.36328125" style="2" customWidth="1"/>
    <col min="15374" max="15374" width="15.6328125" style="2" customWidth="1"/>
    <col min="15375" max="15375" width="15.54296875" style="2" customWidth="1"/>
    <col min="15376" max="15376" width="8.984375E-2" style="2" customWidth="1"/>
    <col min="15377" max="15377" width="1.6328125" style="2" customWidth="1"/>
    <col min="15378" max="15616" width="9.08984375" style="2"/>
    <col min="15617" max="15617" width="40.54296875" style="2" customWidth="1"/>
    <col min="15618" max="15625" width="10.6328125" style="2" customWidth="1"/>
    <col min="15626" max="15626" width="13.54296875" style="2" customWidth="1"/>
    <col min="15627" max="15627" width="15" style="2" customWidth="1"/>
    <col min="15628" max="15628" width="15.08984375" style="2" customWidth="1"/>
    <col min="15629" max="15629" width="15.36328125" style="2" customWidth="1"/>
    <col min="15630" max="15630" width="15.6328125" style="2" customWidth="1"/>
    <col min="15631" max="15631" width="15.54296875" style="2" customWidth="1"/>
    <col min="15632" max="15632" width="8.984375E-2" style="2" customWidth="1"/>
    <col min="15633" max="15633" width="1.6328125" style="2" customWidth="1"/>
    <col min="15634" max="15872" width="9.08984375" style="2"/>
    <col min="15873" max="15873" width="40.54296875" style="2" customWidth="1"/>
    <col min="15874" max="15881" width="10.6328125" style="2" customWidth="1"/>
    <col min="15882" max="15882" width="13.54296875" style="2" customWidth="1"/>
    <col min="15883" max="15883" width="15" style="2" customWidth="1"/>
    <col min="15884" max="15884" width="15.08984375" style="2" customWidth="1"/>
    <col min="15885" max="15885" width="15.36328125" style="2" customWidth="1"/>
    <col min="15886" max="15886" width="15.6328125" style="2" customWidth="1"/>
    <col min="15887" max="15887" width="15.54296875" style="2" customWidth="1"/>
    <col min="15888" max="15888" width="8.984375E-2" style="2" customWidth="1"/>
    <col min="15889" max="15889" width="1.6328125" style="2" customWidth="1"/>
    <col min="15890" max="16128" width="9.08984375" style="2"/>
    <col min="16129" max="16129" width="40.54296875" style="2" customWidth="1"/>
    <col min="16130" max="16137" width="10.6328125" style="2" customWidth="1"/>
    <col min="16138" max="16138" width="13.54296875" style="2" customWidth="1"/>
    <col min="16139" max="16139" width="15" style="2" customWidth="1"/>
    <col min="16140" max="16140" width="15.08984375" style="2" customWidth="1"/>
    <col min="16141" max="16141" width="15.36328125" style="2" customWidth="1"/>
    <col min="16142" max="16142" width="15.6328125" style="2" customWidth="1"/>
    <col min="16143" max="16143" width="15.54296875" style="2" customWidth="1"/>
    <col min="16144" max="16144" width="8.984375E-2" style="2" customWidth="1"/>
    <col min="16145" max="16145" width="1.6328125" style="2" customWidth="1"/>
    <col min="16146" max="16384" width="9.08984375" style="2"/>
  </cols>
  <sheetData>
    <row r="1" spans="1:95" ht="5.25" customHeight="1">
      <c r="A1" s="1"/>
    </row>
    <row r="2" spans="1:95" ht="31.5" customHeight="1">
      <c r="A2" s="45" t="s">
        <v>0</v>
      </c>
      <c r="K2" s="42"/>
      <c r="L2" s="43"/>
      <c r="M2" s="43"/>
      <c r="N2" s="43"/>
      <c r="O2" s="43"/>
    </row>
    <row r="3" spans="1:95" ht="25.5" customHeight="1">
      <c r="A3" s="46" t="s">
        <v>1</v>
      </c>
      <c r="B3" s="5"/>
      <c r="C3" s="5"/>
      <c r="D3" s="5"/>
      <c r="E3" s="5"/>
      <c r="F3" s="5"/>
      <c r="G3" s="5"/>
      <c r="H3" s="5"/>
      <c r="I3" s="5"/>
      <c r="J3" s="5"/>
      <c r="K3" s="44"/>
      <c r="L3" s="44"/>
      <c r="M3" s="44"/>
      <c r="N3" s="44"/>
      <c r="O3" s="44"/>
    </row>
    <row r="4" spans="1:95" ht="40.5" customHeight="1">
      <c r="A4" s="47" t="s">
        <v>2</v>
      </c>
      <c r="B4" s="48" t="s">
        <v>3</v>
      </c>
      <c r="C4" s="6"/>
      <c r="D4" s="6"/>
      <c r="E4" s="6"/>
      <c r="F4" s="6"/>
      <c r="G4" s="6"/>
      <c r="H4" s="6"/>
      <c r="I4" s="6"/>
      <c r="J4" s="6"/>
      <c r="K4" s="52" t="s">
        <v>4</v>
      </c>
      <c r="L4" s="53" t="s">
        <v>5</v>
      </c>
      <c r="M4" s="7"/>
      <c r="N4" s="60" t="s">
        <v>6</v>
      </c>
      <c r="O4" s="8"/>
    </row>
    <row r="5" spans="1:95" ht="41.25" customHeight="1">
      <c r="A5" s="9"/>
      <c r="B5" s="49" t="s">
        <v>7</v>
      </c>
      <c r="C5" s="10"/>
      <c r="D5" s="10"/>
      <c r="E5" s="10"/>
      <c r="F5" s="10"/>
      <c r="G5" s="10"/>
      <c r="H5" s="10"/>
      <c r="I5" s="10"/>
      <c r="J5" s="51" t="s">
        <v>8</v>
      </c>
      <c r="K5" s="54" t="s">
        <v>9</v>
      </c>
      <c r="L5" s="56" t="s">
        <v>10</v>
      </c>
      <c r="M5" s="58" t="s">
        <v>8</v>
      </c>
      <c r="N5" s="61" t="s">
        <v>8</v>
      </c>
      <c r="O5" s="62" t="s">
        <v>11</v>
      </c>
    </row>
    <row r="6" spans="1:95" ht="58.5" customHeight="1">
      <c r="A6" s="11"/>
      <c r="B6" s="50" t="s">
        <v>12</v>
      </c>
      <c r="C6" s="50" t="s">
        <v>13</v>
      </c>
      <c r="D6" s="50" t="s">
        <v>14</v>
      </c>
      <c r="E6" s="50" t="s">
        <v>15</v>
      </c>
      <c r="F6" s="50" t="s">
        <v>16</v>
      </c>
      <c r="G6" s="50" t="s">
        <v>17</v>
      </c>
      <c r="H6" s="50" t="s">
        <v>18</v>
      </c>
      <c r="I6" s="50" t="s">
        <v>19</v>
      </c>
      <c r="J6" s="12"/>
      <c r="K6" s="55" t="s">
        <v>20</v>
      </c>
      <c r="L6" s="57" t="s">
        <v>21</v>
      </c>
      <c r="M6" s="59" t="s">
        <v>22</v>
      </c>
      <c r="N6" s="13"/>
      <c r="O6" s="14"/>
      <c r="P6" s="15"/>
      <c r="Q6" s="15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95" ht="12" customHeight="1">
      <c r="A7" s="9"/>
      <c r="B7" s="17"/>
      <c r="C7" s="17"/>
      <c r="D7" s="17"/>
      <c r="E7" s="17"/>
      <c r="F7" s="17"/>
      <c r="G7" s="17"/>
      <c r="H7" s="17"/>
      <c r="I7" s="17"/>
      <c r="J7" s="18"/>
      <c r="K7" s="17"/>
      <c r="L7" s="17"/>
      <c r="M7" s="18"/>
      <c r="N7" s="18"/>
      <c r="O7" s="19"/>
    </row>
    <row r="8" spans="1:95" ht="24.9" customHeight="1">
      <c r="A8" s="63" t="s">
        <v>23</v>
      </c>
      <c r="B8" s="20">
        <v>3</v>
      </c>
      <c r="C8" s="20">
        <v>3</v>
      </c>
      <c r="D8" s="20">
        <v>3</v>
      </c>
      <c r="E8" s="20">
        <v>2</v>
      </c>
      <c r="F8" s="20">
        <v>1</v>
      </c>
      <c r="G8" s="20">
        <v>0</v>
      </c>
      <c r="H8" s="20">
        <v>1</v>
      </c>
      <c r="I8" s="20">
        <v>3</v>
      </c>
      <c r="J8" s="21">
        <v>16</v>
      </c>
      <c r="K8" s="21">
        <v>3</v>
      </c>
      <c r="L8" s="21">
        <v>2</v>
      </c>
      <c r="M8" s="21">
        <v>21</v>
      </c>
      <c r="N8" s="21">
        <v>9608</v>
      </c>
      <c r="O8" s="22">
        <f>N8/N$16</f>
        <v>2.5331827696114038E-3</v>
      </c>
      <c r="P8" s="23"/>
      <c r="Q8" s="2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</row>
    <row r="9" spans="1:95" ht="24.9" customHeight="1">
      <c r="A9" s="63" t="s">
        <v>24</v>
      </c>
      <c r="B9" s="20">
        <v>370</v>
      </c>
      <c r="C9" s="20">
        <v>198</v>
      </c>
      <c r="D9" s="20">
        <v>272</v>
      </c>
      <c r="E9" s="20">
        <v>293</v>
      </c>
      <c r="F9" s="20">
        <v>159</v>
      </c>
      <c r="G9" s="20">
        <v>90</v>
      </c>
      <c r="H9" s="20">
        <v>85</v>
      </c>
      <c r="I9" s="20">
        <v>427</v>
      </c>
      <c r="J9" s="21">
        <v>1894</v>
      </c>
      <c r="K9" s="21">
        <v>7</v>
      </c>
      <c r="L9" s="21">
        <v>470</v>
      </c>
      <c r="M9" s="21">
        <v>2371</v>
      </c>
      <c r="N9" s="21">
        <v>1897225</v>
      </c>
      <c r="O9" s="22">
        <f t="shared" ref="O9:O16" si="0">N9/N$16</f>
        <v>0.50021000000790961</v>
      </c>
      <c r="P9" s="23"/>
      <c r="Q9" s="2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</row>
    <row r="10" spans="1:95" ht="24.9" customHeight="1">
      <c r="A10" s="63" t="s">
        <v>25</v>
      </c>
      <c r="B10" s="20">
        <v>2</v>
      </c>
      <c r="C10" s="20">
        <v>2</v>
      </c>
      <c r="D10" s="20">
        <v>3</v>
      </c>
      <c r="E10" s="20">
        <v>6</v>
      </c>
      <c r="F10" s="20">
        <v>2</v>
      </c>
      <c r="G10" s="20">
        <v>4</v>
      </c>
      <c r="H10" s="20">
        <v>0</v>
      </c>
      <c r="I10" s="20">
        <v>6</v>
      </c>
      <c r="J10" s="21">
        <v>25</v>
      </c>
      <c r="K10" s="24">
        <v>0</v>
      </c>
      <c r="L10" s="21">
        <v>3</v>
      </c>
      <c r="M10" s="21">
        <v>28</v>
      </c>
      <c r="N10" s="21">
        <v>23400</v>
      </c>
      <c r="O10" s="22">
        <f t="shared" si="0"/>
        <v>6.1694917577962997E-3</v>
      </c>
      <c r="P10" s="23"/>
      <c r="Q10" s="2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</row>
    <row r="11" spans="1:95" ht="24.9" customHeight="1">
      <c r="A11" s="63" t="s">
        <v>26</v>
      </c>
      <c r="B11" s="20">
        <v>28</v>
      </c>
      <c r="C11" s="20">
        <v>13</v>
      </c>
      <c r="D11" s="20">
        <v>8</v>
      </c>
      <c r="E11" s="20">
        <v>10</v>
      </c>
      <c r="F11" s="20">
        <v>5</v>
      </c>
      <c r="G11" s="20">
        <v>3</v>
      </c>
      <c r="H11" s="20">
        <v>0</v>
      </c>
      <c r="I11" s="20">
        <v>13</v>
      </c>
      <c r="J11" s="21">
        <v>80</v>
      </c>
      <c r="K11" s="25">
        <v>0</v>
      </c>
      <c r="L11" s="21">
        <v>23</v>
      </c>
      <c r="M11" s="21">
        <v>103</v>
      </c>
      <c r="N11" s="21">
        <v>61500</v>
      </c>
      <c r="O11" s="22">
        <f t="shared" si="0"/>
        <v>1.6214689876259507E-2</v>
      </c>
      <c r="P11" s="23"/>
      <c r="Q11" s="2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</row>
    <row r="12" spans="1:95" ht="24.9" customHeight="1">
      <c r="A12" s="63" t="s">
        <v>27</v>
      </c>
      <c r="B12" s="20">
        <v>19</v>
      </c>
      <c r="C12" s="20">
        <v>14</v>
      </c>
      <c r="D12" s="20">
        <v>13</v>
      </c>
      <c r="E12" s="20">
        <v>14</v>
      </c>
      <c r="F12" s="20">
        <v>12</v>
      </c>
      <c r="G12" s="20">
        <v>10</v>
      </c>
      <c r="H12" s="20">
        <v>7</v>
      </c>
      <c r="I12" s="20">
        <v>70</v>
      </c>
      <c r="J12" s="21">
        <v>159</v>
      </c>
      <c r="K12" s="21">
        <v>2</v>
      </c>
      <c r="L12" s="21">
        <v>48</v>
      </c>
      <c r="M12" s="21">
        <v>209</v>
      </c>
      <c r="N12" s="21">
        <v>504168</v>
      </c>
      <c r="O12" s="22">
        <f t="shared" si="0"/>
        <v>0.13292565472413012</v>
      </c>
      <c r="P12" s="23"/>
      <c r="Q12" s="2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</row>
    <row r="13" spans="1:95" ht="24.9" customHeight="1">
      <c r="A13" s="63" t="s">
        <v>28</v>
      </c>
      <c r="B13" s="20">
        <v>14</v>
      </c>
      <c r="C13" s="20">
        <v>8</v>
      </c>
      <c r="D13" s="20">
        <v>6</v>
      </c>
      <c r="E13" s="20">
        <v>17</v>
      </c>
      <c r="F13" s="20">
        <v>7</v>
      </c>
      <c r="G13" s="20">
        <v>2</v>
      </c>
      <c r="H13" s="20">
        <v>5</v>
      </c>
      <c r="I13" s="20">
        <v>43</v>
      </c>
      <c r="J13" s="21">
        <v>102</v>
      </c>
      <c r="K13" s="21">
        <v>0</v>
      </c>
      <c r="L13" s="21">
        <v>23</v>
      </c>
      <c r="M13" s="21">
        <v>125</v>
      </c>
      <c r="N13" s="21">
        <v>295451</v>
      </c>
      <c r="O13" s="22">
        <f t="shared" si="0"/>
        <v>7.7896688433020278E-2</v>
      </c>
      <c r="P13" s="23"/>
      <c r="Q13" s="2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</row>
    <row r="14" spans="1:95" ht="24.9" customHeight="1">
      <c r="A14" s="63" t="s">
        <v>29</v>
      </c>
      <c r="B14" s="20">
        <v>32</v>
      </c>
      <c r="C14" s="20">
        <v>15</v>
      </c>
      <c r="D14" s="20">
        <v>27</v>
      </c>
      <c r="E14" s="20">
        <v>31</v>
      </c>
      <c r="F14" s="20">
        <v>25</v>
      </c>
      <c r="G14" s="20">
        <v>19</v>
      </c>
      <c r="H14" s="20">
        <v>11</v>
      </c>
      <c r="I14" s="20">
        <v>93</v>
      </c>
      <c r="J14" s="26">
        <v>253</v>
      </c>
      <c r="K14" s="26">
        <v>2</v>
      </c>
      <c r="L14" s="26">
        <v>53</v>
      </c>
      <c r="M14" s="21">
        <v>308</v>
      </c>
      <c r="N14" s="26">
        <v>1001505</v>
      </c>
      <c r="O14" s="22">
        <f t="shared" si="0"/>
        <v>0.26405029243127276</v>
      </c>
      <c r="P14" s="23"/>
      <c r="Q14" s="2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</row>
    <row r="15" spans="1:95" ht="12" customHeight="1">
      <c r="A15" s="64"/>
      <c r="B15" s="27"/>
      <c r="C15" s="27"/>
      <c r="D15" s="27"/>
      <c r="E15" s="27"/>
      <c r="F15" s="27"/>
      <c r="G15" s="27"/>
      <c r="H15" s="27"/>
      <c r="I15" s="27"/>
      <c r="J15" s="28"/>
      <c r="K15" s="28"/>
      <c r="L15" s="28"/>
      <c r="M15" s="29"/>
      <c r="N15" s="30"/>
      <c r="O15" s="31"/>
      <c r="P15" s="23"/>
      <c r="Q15" s="2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</row>
    <row r="16" spans="1:95" ht="39.9" customHeight="1">
      <c r="A16" s="65" t="s">
        <v>8</v>
      </c>
      <c r="B16" s="32">
        <f>SUM(B8:B14)</f>
        <v>468</v>
      </c>
      <c r="C16" s="32">
        <f t="shared" ref="C16:I16" si="1">SUM(C8:C14)</f>
        <v>253</v>
      </c>
      <c r="D16" s="32">
        <f t="shared" si="1"/>
        <v>332</v>
      </c>
      <c r="E16" s="32">
        <f t="shared" si="1"/>
        <v>373</v>
      </c>
      <c r="F16" s="32">
        <f t="shared" si="1"/>
        <v>211</v>
      </c>
      <c r="G16" s="32">
        <f t="shared" si="1"/>
        <v>128</v>
      </c>
      <c r="H16" s="32">
        <f t="shared" si="1"/>
        <v>109</v>
      </c>
      <c r="I16" s="32">
        <f t="shared" si="1"/>
        <v>655</v>
      </c>
      <c r="J16" s="33">
        <f>SUM(J8:J14)</f>
        <v>2529</v>
      </c>
      <c r="K16" s="33">
        <f>SUM(K8:K14)</f>
        <v>14</v>
      </c>
      <c r="L16" s="33">
        <f>SUM(L8:L14)</f>
        <v>622</v>
      </c>
      <c r="M16" s="33">
        <f>SUM(M8:M14)</f>
        <v>3165</v>
      </c>
      <c r="N16" s="33">
        <f>SUM(N8:N14)</f>
        <v>3792857</v>
      </c>
      <c r="O16" s="34">
        <f t="shared" si="0"/>
        <v>1</v>
      </c>
      <c r="P16" s="35"/>
      <c r="Q16" s="35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</row>
    <row r="17" spans="1:94" ht="15.9" customHeight="1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8"/>
      <c r="N17" s="37"/>
      <c r="O17" s="39"/>
      <c r="P17" s="23"/>
      <c r="Q17" s="2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</row>
    <row r="18" spans="1:94" ht="15.9" customHeight="1">
      <c r="A18" s="66" t="s">
        <v>30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39"/>
      <c r="N18" s="39"/>
      <c r="O18" s="41"/>
      <c r="P18" s="23"/>
      <c r="Q18" s="2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</row>
    <row r="19" spans="1:94" ht="6.75" customHeight="1">
      <c r="A19" s="66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39"/>
      <c r="N19" s="40"/>
      <c r="O19" s="39"/>
      <c r="P19" s="23"/>
      <c r="Q19" s="2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</row>
    <row r="20" spans="1:94" ht="15.9" customHeight="1">
      <c r="A20" s="66" t="s">
        <v>31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39"/>
      <c r="M20" s="40"/>
      <c r="N20" s="40"/>
      <c r="O20" s="40"/>
      <c r="P20" s="23"/>
      <c r="Q20" s="2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</row>
    <row r="21" spans="1:94" ht="15.9" customHeight="1">
      <c r="A21" s="66" t="s">
        <v>32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23"/>
      <c r="Q21" s="2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</row>
    <row r="22" spans="1:94" ht="15.9" customHeight="1">
      <c r="A22" s="66" t="s">
        <v>33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23"/>
      <c r="Q22" s="2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</row>
  </sheetData>
  <mergeCells count="1">
    <mergeCell ref="K2:O3"/>
  </mergeCells>
  <phoneticPr fontId="3" type="noConversion"/>
  <pageMargins left="0.75" right="0.75" top="1" bottom="1" header="0.5" footer="0.5"/>
  <pageSetup paperSize="9" scale="6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19 Appendix A</vt:lpstr>
      <vt:lpstr>'Table 19 Appendix A'!Область_печати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2024-11-20T08:31:22Z</dcterms:created>
  <dcterms:modified xsi:type="dcterms:W3CDTF">2025-11-27T07:24:01Z</dcterms:modified>
</cp:coreProperties>
</file>