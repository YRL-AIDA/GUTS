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externalReferences>
    <externalReference r:id="rId2"/>
    <externalReference r:id="rId3"/>
  </externalReferences>
  <definedNames>
    <definedName name="Chosen_Scenario">[1]Intro!$AA$1</definedName>
    <definedName name="Country">[1]Intro!$B$3</definedName>
    <definedName name="Number_of_Patients">'[1]Detailed COVID Calculations - 1'!$C$5</definedName>
    <definedName name="Package_or_Individual2">'[1]2a. Coverage General Recovery'!$E$3</definedName>
    <definedName name="Percent_Prevalence_at_Beginning_of_Projection_Period">'[1]Detailed COVID Calculations - 1'!$C$7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0" i="1" l="1"/>
  <c r="H70" i="1"/>
  <c r="G70" i="1"/>
  <c r="F70" i="1"/>
  <c r="A70" i="1"/>
  <c r="I69" i="1"/>
  <c r="H69" i="1"/>
  <c r="G69" i="1"/>
  <c r="F69" i="1"/>
  <c r="A69" i="1"/>
  <c r="I68" i="1"/>
  <c r="H68" i="1"/>
  <c r="G68" i="1"/>
  <c r="F68" i="1"/>
  <c r="A68" i="1"/>
  <c r="I67" i="1"/>
  <c r="H67" i="1"/>
  <c r="G67" i="1"/>
  <c r="F67" i="1"/>
  <c r="A67" i="1"/>
  <c r="I66" i="1"/>
  <c r="H66" i="1"/>
  <c r="G66" i="1"/>
  <c r="F66" i="1"/>
  <c r="A66" i="1"/>
  <c r="I65" i="1"/>
  <c r="H65" i="1"/>
  <c r="G65" i="1"/>
  <c r="F65" i="1"/>
  <c r="A65" i="1"/>
  <c r="I64" i="1"/>
  <c r="H64" i="1"/>
  <c r="G64" i="1"/>
  <c r="F64" i="1"/>
  <c r="A64" i="1"/>
  <c r="I63" i="1"/>
  <c r="H63" i="1"/>
  <c r="G63" i="1"/>
  <c r="F63" i="1"/>
  <c r="A63" i="1"/>
  <c r="I62" i="1"/>
  <c r="H62" i="1"/>
  <c r="G62" i="1"/>
  <c r="F62" i="1"/>
  <c r="A62" i="1"/>
  <c r="I61" i="1"/>
  <c r="H61" i="1"/>
  <c r="G61" i="1"/>
  <c r="F61" i="1"/>
  <c r="A61" i="1"/>
  <c r="I60" i="1"/>
  <c r="H60" i="1"/>
  <c r="G60" i="1"/>
  <c r="F60" i="1"/>
  <c r="A60" i="1"/>
  <c r="I59" i="1"/>
  <c r="H59" i="1"/>
  <c r="G59" i="1"/>
  <c r="F59" i="1"/>
  <c r="A59" i="1"/>
  <c r="I58" i="1"/>
  <c r="H58" i="1"/>
  <c r="G58" i="1"/>
  <c r="F58" i="1"/>
  <c r="I57" i="1"/>
  <c r="H57" i="1"/>
  <c r="G57" i="1"/>
  <c r="F57" i="1"/>
  <c r="A57" i="1"/>
  <c r="I56" i="1"/>
  <c r="H56" i="1"/>
  <c r="G56" i="1"/>
  <c r="F56" i="1"/>
  <c r="A56" i="1"/>
  <c r="I55" i="1"/>
  <c r="H55" i="1"/>
  <c r="G55" i="1"/>
  <c r="F55" i="1"/>
  <c r="A55" i="1"/>
  <c r="I54" i="1"/>
  <c r="H54" i="1"/>
  <c r="G54" i="1"/>
  <c r="F54" i="1"/>
  <c r="A54" i="1"/>
  <c r="I53" i="1"/>
  <c r="H53" i="1"/>
  <c r="G53" i="1"/>
  <c r="F53" i="1"/>
  <c r="A53" i="1"/>
  <c r="I52" i="1"/>
  <c r="H52" i="1"/>
  <c r="G52" i="1"/>
  <c r="F52" i="1"/>
  <c r="A52" i="1"/>
  <c r="I50" i="1"/>
  <c r="H50" i="1"/>
  <c r="G50" i="1"/>
  <c r="F50" i="1"/>
  <c r="A50" i="1"/>
  <c r="I49" i="1"/>
  <c r="H49" i="1"/>
  <c r="G49" i="1"/>
  <c r="F49" i="1"/>
  <c r="A48" i="1"/>
  <c r="I47" i="1"/>
  <c r="H47" i="1"/>
  <c r="G47" i="1"/>
  <c r="F47" i="1"/>
  <c r="A47" i="1"/>
  <c r="I46" i="1"/>
  <c r="H46" i="1"/>
  <c r="G46" i="1"/>
  <c r="F46" i="1"/>
  <c r="A45" i="1"/>
  <c r="A44" i="1"/>
  <c r="A43" i="1"/>
  <c r="I42" i="1"/>
  <c r="H42" i="1"/>
  <c r="G42" i="1"/>
  <c r="F42" i="1"/>
  <c r="A42" i="1"/>
  <c r="A41" i="1"/>
  <c r="A40" i="1"/>
  <c r="I39" i="1"/>
  <c r="H39" i="1"/>
  <c r="G39" i="1"/>
  <c r="F39" i="1"/>
  <c r="A39" i="1"/>
  <c r="I38" i="1"/>
  <c r="H38" i="1"/>
  <c r="G38" i="1"/>
  <c r="F38" i="1"/>
  <c r="A38" i="1"/>
  <c r="I37" i="1"/>
  <c r="H37" i="1"/>
  <c r="G37" i="1"/>
  <c r="F37" i="1"/>
  <c r="A37" i="1"/>
  <c r="I36" i="1"/>
  <c r="H36" i="1"/>
  <c r="G36" i="1"/>
  <c r="F36" i="1"/>
  <c r="A36" i="1"/>
  <c r="I35" i="1"/>
  <c r="H35" i="1"/>
  <c r="G35" i="1"/>
  <c r="F35" i="1"/>
  <c r="A35" i="1"/>
  <c r="I34" i="1"/>
  <c r="H34" i="1"/>
  <c r="G34" i="1"/>
  <c r="F34" i="1"/>
  <c r="A34" i="1"/>
  <c r="I33" i="1"/>
  <c r="H33" i="1"/>
  <c r="G33" i="1"/>
  <c r="F33" i="1"/>
  <c r="A33" i="1"/>
  <c r="I32" i="1"/>
  <c r="H32" i="1"/>
  <c r="G32" i="1"/>
  <c r="F32" i="1"/>
  <c r="A32" i="1"/>
  <c r="I31" i="1"/>
  <c r="H31" i="1"/>
  <c r="G31" i="1"/>
  <c r="F31" i="1"/>
  <c r="A31" i="1"/>
  <c r="I30" i="1"/>
  <c r="H30" i="1"/>
  <c r="G30" i="1"/>
  <c r="F30" i="1"/>
  <c r="A30" i="1"/>
  <c r="I29" i="1"/>
  <c r="H29" i="1"/>
  <c r="G29" i="1"/>
  <c r="F29" i="1"/>
  <c r="A29" i="1"/>
  <c r="I28" i="1"/>
  <c r="H28" i="1"/>
  <c r="G28" i="1"/>
  <c r="F28" i="1"/>
  <c r="A28" i="1"/>
  <c r="I27" i="1"/>
  <c r="H27" i="1"/>
  <c r="G27" i="1"/>
  <c r="F27" i="1"/>
  <c r="A27" i="1"/>
  <c r="I26" i="1"/>
  <c r="H26" i="1"/>
  <c r="G26" i="1"/>
  <c r="F26" i="1"/>
  <c r="A26" i="1"/>
  <c r="I25" i="1"/>
  <c r="H25" i="1"/>
  <c r="G25" i="1"/>
  <c r="F25" i="1"/>
  <c r="I24" i="1"/>
  <c r="H24" i="1"/>
  <c r="G24" i="1"/>
  <c r="F24" i="1"/>
  <c r="A24" i="1"/>
  <c r="I23" i="1"/>
  <c r="H23" i="1"/>
  <c r="G23" i="1"/>
  <c r="F23" i="1"/>
  <c r="A23" i="1"/>
  <c r="I22" i="1"/>
  <c r="H22" i="1"/>
  <c r="G22" i="1"/>
  <c r="F22" i="1"/>
  <c r="A22" i="1"/>
  <c r="I21" i="1"/>
  <c r="H21" i="1"/>
  <c r="G21" i="1"/>
  <c r="F21" i="1"/>
  <c r="A21" i="1"/>
  <c r="I20" i="1"/>
  <c r="H20" i="1"/>
  <c r="G20" i="1"/>
  <c r="F20" i="1"/>
  <c r="A20" i="1"/>
  <c r="I19" i="1"/>
  <c r="H19" i="1"/>
  <c r="G19" i="1"/>
  <c r="F19" i="1"/>
  <c r="A19" i="1"/>
  <c r="I18" i="1"/>
  <c r="H18" i="1"/>
  <c r="G18" i="1"/>
  <c r="F18" i="1"/>
  <c r="I17" i="1"/>
  <c r="H17" i="1"/>
  <c r="G17" i="1"/>
  <c r="F17" i="1"/>
  <c r="A17" i="1"/>
  <c r="I16" i="1"/>
  <c r="H16" i="1"/>
  <c r="G16" i="1"/>
  <c r="F16" i="1"/>
  <c r="A16" i="1"/>
  <c r="I15" i="1"/>
  <c r="H15" i="1"/>
  <c r="G15" i="1"/>
  <c r="F15" i="1"/>
  <c r="A15" i="1"/>
  <c r="I14" i="1"/>
  <c r="H14" i="1"/>
  <c r="G14" i="1"/>
  <c r="F14" i="1"/>
  <c r="A14" i="1"/>
  <c r="I13" i="1"/>
  <c r="H13" i="1"/>
  <c r="G13" i="1"/>
  <c r="F13" i="1"/>
  <c r="A13" i="1"/>
  <c r="I12" i="1"/>
  <c r="H12" i="1"/>
  <c r="G12" i="1"/>
  <c r="F12" i="1"/>
  <c r="A12" i="1"/>
  <c r="I11" i="1"/>
  <c r="H11" i="1"/>
  <c r="G11" i="1"/>
  <c r="F11" i="1"/>
  <c r="A11" i="1"/>
  <c r="I10" i="1"/>
  <c r="H10" i="1"/>
  <c r="G10" i="1"/>
  <c r="F10" i="1"/>
  <c r="A10" i="1"/>
  <c r="I9" i="1"/>
  <c r="H9" i="1"/>
  <c r="G9" i="1"/>
  <c r="F9" i="1"/>
  <c r="A9" i="1"/>
  <c r="I8" i="1"/>
  <c r="H8" i="1"/>
  <c r="G8" i="1"/>
  <c r="F8" i="1"/>
  <c r="A8" i="1"/>
  <c r="I7" i="1"/>
  <c r="H7" i="1"/>
  <c r="G7" i="1"/>
  <c r="F7" i="1"/>
  <c r="A7" i="1"/>
  <c r="I6" i="1"/>
  <c r="H6" i="1"/>
  <c r="G6" i="1"/>
  <c r="F6" i="1"/>
  <c r="I5" i="1"/>
  <c r="H5" i="1"/>
  <c r="G5" i="1"/>
  <c r="F5" i="1"/>
  <c r="I4" i="1"/>
  <c r="H4" i="1"/>
  <c r="G4" i="1"/>
  <c r="F4" i="1"/>
</calcChain>
</file>

<file path=xl/sharedStrings.xml><?xml version="1.0" encoding="utf-8"?>
<sst xmlns="http://schemas.openxmlformats.org/spreadsheetml/2006/main" count="100" uniqueCount="94">
  <si>
    <t>Lives Saved Due to Mitigation Measures</t>
  </si>
  <si>
    <t>HIDDEN</t>
  </si>
  <si>
    <t>Selected</t>
  </si>
  <si>
    <t>Int#</t>
  </si>
  <si>
    <t>LiST#</t>
  </si>
  <si>
    <t>Newborn Lives Saved</t>
  </si>
  <si>
    <t>Child Lives Saved</t>
  </si>
  <si>
    <t>Maternal Lives Saved</t>
  </si>
  <si>
    <t>Total Lives Lost</t>
  </si>
  <si>
    <t>x</t>
  </si>
  <si>
    <t>Family Planning</t>
  </si>
  <si>
    <t>Contraceptive Use</t>
  </si>
  <si>
    <t>Includes Impacts of Maternal age and birth order and Birth Intervals</t>
  </si>
  <si>
    <t>Antenatal Care</t>
  </si>
  <si>
    <t>Antenatal care (at least 1 visit)</t>
  </si>
  <si>
    <t>Antenatal care (at least 4 visits)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</si>
  <si>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</si>
  <si>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</si>
  <si>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</si>
  <si>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</si>
  <si>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</si>
  <si>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</si>
  <si>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</si>
  <si>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</si>
  <si>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</si>
  <si>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</si>
  <si>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</si>
  <si>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Delivery Care</t>
  </si>
  <si>
    <t>Health Facility Delivery</t>
  </si>
  <si>
    <t>Clean birth environment</t>
  </si>
  <si>
    <t>Manual removal of placenta</t>
  </si>
  <si>
    <t>Parenteral administration of anti-convulsants</t>
  </si>
  <si>
    <t>Antibiotics for preterm or prolonged PROM</t>
  </si>
  <si>
    <t>Parenteral administration of antibiotics</t>
  </si>
  <si>
    <t>Assisted vaginal delivery</t>
  </si>
  <si>
    <t>Parenteral administration of uterotonics</t>
  </si>
  <si>
    <t>Removal of retained products of conception</t>
  </si>
  <si>
    <t>Induction of labor for pregnancies lasting 41+ weeks</t>
  </si>
  <si>
    <t>Antenatal corticosteroids for preterm labor</t>
  </si>
  <si>
    <t>Maternal sepsis case management</t>
  </si>
  <si>
    <t>Safe abortion services</t>
  </si>
  <si>
    <t>Post abortion case management</t>
  </si>
  <si>
    <t>Cesarean delivery</t>
  </si>
  <si>
    <t>Blood transfusion</t>
  </si>
  <si>
    <t>Ectopic pregnancy case management</t>
  </si>
  <si>
    <t>Newborn Care</t>
  </si>
  <si>
    <t>Immediate drying and additional stimulation</t>
  </si>
  <si>
    <t>Thermal protection</t>
  </si>
  <si>
    <t>Clean cord care</t>
  </si>
  <si>
    <t>Neonatal resuscitation</t>
  </si>
  <si>
    <t>43/44</t>
  </si>
  <si>
    <t>66/67</t>
  </si>
  <si>
    <t>Case management of premature babies</t>
  </si>
  <si>
    <t>Kangaroo-Mother Care (KMC)</t>
  </si>
  <si>
    <t>Shown combined with Full supportive care</t>
  </si>
  <si>
    <t>Full supportive care of prematurity</t>
  </si>
  <si>
    <t>Shown combined with KMC</t>
  </si>
  <si>
    <t>45/46/47</t>
  </si>
  <si>
    <t>68/69</t>
  </si>
  <si>
    <t>Case management of neonatal sepsis/pneumonia</t>
  </si>
  <si>
    <t>Oral antibiotics for neonatal sepsis</t>
  </si>
  <si>
    <t>Shown combined in line 50</t>
  </si>
  <si>
    <t>Injectable antibiotics for neonatal sepsis</t>
  </si>
  <si>
    <t>Full supportive care for neonatal sepsis/pneumonia</t>
  </si>
  <si>
    <t>Breastfeeding</t>
  </si>
  <si>
    <t>Complementary feeding - Education only</t>
  </si>
  <si>
    <t>Combines impact of Appropriate complementary feeding, reduction in stunting and wasting)</t>
  </si>
  <si>
    <t>Complementary feeding - Supplementary feeding + Education</t>
  </si>
  <si>
    <t>Vaccines</t>
  </si>
  <si>
    <t>BCG - Single dose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</si>
  <si>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</si>
  <si>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</si>
  <si>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</si>
  <si>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</si>
  <si>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</si>
  <si>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</si>
  <si>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</si>
  <si>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</si>
  <si>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</si>
  <si>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</si>
  <si>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Child Health</t>
  </si>
  <si>
    <t>Vitamin A supplementation</t>
  </si>
  <si>
    <t>Zinc supplementation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</si>
  <si>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</si>
  <si>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</si>
  <si>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</si>
  <si>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</si>
  <si>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</si>
  <si>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 - Artemisinin compounds for treatment of malaria</t>
  </si>
  <si>
    <t>Malnutrition</t>
  </si>
  <si>
    <t>SAM - treatment for severe acute malnutrition</t>
  </si>
  <si>
    <t>Includes Impact of Change in wasting prevalence</t>
  </si>
  <si>
    <t>MAM - treatment for moderate acute malnutrition</t>
  </si>
  <si>
    <t>ITN/IRS - Households protected from malaria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</si>
</sst>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#,##0;[Red]\(#,##0\);\-\-"/>
  </numFmts>
  <fonts count="13">
    <font>
      <sz val="11"/>
      <color theme="1"/>
      <name val="Calibri"/>
      <charset val="134"/>
      <scheme val="minor"/>
    </font>
    <font>
      <sz val="16"/>
      <color theme="1"/>
      <name val="Britannic Bold"/>
      <charset val="134"/>
    </font>
    <font>
      <sz val="9"/>
      <color rgb="FFC00000"/>
      <name val="Calibri"/>
      <charset val="134"/>
      <scheme val="minor"/>
    </font>
    <font>
      <b/>
      <sz val="8"/>
      <color theme="0"/>
      <name val="Century Gothic"/>
      <charset val="134"/>
    </font>
    <font>
      <sz val="10"/>
      <color theme="0"/>
      <name val="Century Gothic"/>
      <charset val="134"/>
    </font>
    <font>
      <i/>
      <sz val="10"/>
      <color theme="0"/>
      <name val="Century Gothic"/>
      <charset val="134"/>
    </font>
    <font>
      <sz val="10"/>
      <color theme="1"/>
      <name val="Century Gothic"/>
      <charset val="134"/>
    </font>
    <font>
      <b/>
      <sz val="10"/>
      <color theme="1"/>
      <name val="Century Gothic"/>
      <charset val="134"/>
    </font>
    <font>
      <sz val="10"/>
      <name val="Century Gothic"/>
      <charset val="134"/>
    </font>
    <font>
      <u/>
      <sz val="10"/>
      <color theme="1"/>
      <name val="Century Gothic"/>
      <charset val="134"/>
    </font>
    <font>
      <b/>
      <i/>
      <sz val="10"/>
      <color theme="1"/>
      <name val="Century Gothic"/>
      <charset val="134"/>
    </font>
    <font>
      <sz val="8"/>
      <color theme="1"/>
      <name val="Century Gothic"/>
      <charset val="134"/>
    </font>
    <font>
      <sz val="11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theme="9"/>
      </left>
      <right style="hair">
        <color theme="9"/>
      </right>
      <top style="hair">
        <color theme="9"/>
      </top>
      <bottom style="hair">
        <color theme="9"/>
      </bottom>
      <diagonal/>
    </border>
  </borders>
  <cellStyleXfs count="3">
    <xf numFmtId="0" fontId="0" fillId="0" borderId="0">
      <alignment vertical="center"/>
    </xf>
    <xf numFmtId="0" fontId="12" fillId="0" borderId="0"/>
    <xf numFmtId="0" fontId="6" fillId="0" borderId="0"/>
  </cellStyleXfs>
  <cellXfs count="44">
    <xf numFmtId="0" fontId="0" fillId="0" borderId="0" xfId="0">
      <alignment vertical="center"/>
    </xf>
    <xf numFmtId="0" fontId="0" fillId="0" borderId="0" xfId="0" applyFont="1" applyFill="1" applyAlignment="1"/>
    <xf numFmtId="0" fontId="2" fillId="0" borderId="0" xfId="0" applyFont="1" applyFill="1" applyAlignment="1">
      <alignment horizontal="centerContinuous"/>
    </xf>
    <xf numFmtId="168" fontId="0" fillId="0" borderId="0" xfId="0" applyNumberFormat="1" applyFont="1" applyFill="1" applyAlignment="1"/>
    <xf numFmtId="0" fontId="0" fillId="0" borderId="1" xfId="0" applyFont="1" applyFill="1" applyBorder="1" applyAlignment="1">
      <alignment horizontal="center"/>
    </xf>
    <xf numFmtId="168" fontId="6" fillId="0" borderId="1" xfId="0" applyNumberFormat="1" applyFont="1" applyFill="1" applyBorder="1" applyAlignment="1"/>
    <xf numFmtId="168" fontId="6" fillId="2" borderId="1" xfId="0" applyNumberFormat="1" applyFont="1" applyFill="1" applyBorder="1" applyAlignment="1"/>
    <xf numFmtId="168" fontId="6" fillId="0" borderId="2" xfId="0" applyNumberFormat="1" applyFont="1" applyFill="1" applyBorder="1" applyAlignment="1">
      <alignment horizontal="right" vertical="center"/>
    </xf>
    <xf numFmtId="168" fontId="6" fillId="0" borderId="5" xfId="0" applyNumberFormat="1" applyFont="1" applyFill="1" applyBorder="1" applyAlignment="1">
      <alignment horizontal="right" vertical="center"/>
    </xf>
    <xf numFmtId="0" fontId="1" fillId="5" borderId="0" xfId="0" applyFont="1" applyFill="1" applyAlignment="1"/>
    <xf numFmtId="0" fontId="4" fillId="0" borderId="1" xfId="0" applyFont="1" applyFill="1" applyBorder="1" applyAlignment="1"/>
    <xf numFmtId="0" fontId="5" fillId="0" borderId="1" xfId="0" applyFont="1" applyFill="1" applyBorder="1" applyAlignment="1">
      <alignment horizontal="center"/>
    </xf>
    <xf numFmtId="168" fontId="3" fillId="3" borderId="1" xfId="0" applyNumberFormat="1" applyFont="1" applyFill="1" applyBorder="1" applyAlignment="1">
      <alignment horizontal="center" wrapText="1"/>
    </xf>
    <xf numFmtId="168" fontId="3" fillId="3" borderId="2" xfId="0" applyNumberFormat="1" applyFont="1" applyFill="1" applyBorder="1" applyAlignment="1">
      <alignment horizontal="center" wrapText="1"/>
    </xf>
    <xf numFmtId="0" fontId="11" fillId="5" borderId="0" xfId="0" applyFont="1" applyFill="1" applyAlignment="1"/>
    <xf numFmtId="0" fontId="3" fillId="3" borderId="1" xfId="0" applyFont="1" applyFill="1" applyBorder="1" applyAlignment="1">
      <alignment horizontal="center" wrapText="1"/>
    </xf>
    <xf numFmtId="0" fontId="2" fillId="3" borderId="0" xfId="0" applyFont="1" applyFill="1" applyAlignment="1">
      <alignment horizontal="centerContinuous"/>
    </xf>
    <xf numFmtId="0" fontId="6" fillId="0" borderId="1" xfId="0" applyFont="1" applyFill="1" applyBorder="1" applyAlignment="1">
      <alignment vertical="center"/>
    </xf>
    <xf numFmtId="0" fontId="8" fillId="0" borderId="1" xfId="1" applyFont="1" applyFill="1" applyBorder="1"/>
    <xf numFmtId="0" fontId="8" fillId="0" borderId="4" xfId="1" applyFont="1" applyFill="1" applyBorder="1"/>
    <xf numFmtId="0" fontId="6" fillId="0" borderId="4" xfId="0" applyFont="1" applyFill="1" applyBorder="1" applyAlignment="1"/>
    <xf numFmtId="0" fontId="8" fillId="0" borderId="6" xfId="1" applyFont="1" applyFill="1" applyBorder="1"/>
    <xf numFmtId="0" fontId="7" fillId="0" borderId="1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left" vertical="center" wrapText="1"/>
    </xf>
    <xf numFmtId="0" fontId="11" fillId="5" borderId="2" xfId="0" applyFont="1" applyFill="1" applyBorder="1" applyAlignment="1">
      <alignment horizontal="left" vertical="center"/>
    </xf>
    <xf numFmtId="0" fontId="11" fillId="5" borderId="3" xfId="0" applyFont="1" applyFill="1" applyBorder="1" applyAlignment="1">
      <alignment horizontal="left" vertical="center"/>
    </xf>
    <xf numFmtId="0" fontId="11" fillId="5" borderId="5" xfId="0" applyFont="1" applyFill="1" applyBorder="1" applyAlignment="1">
      <alignment horizontal="left" vertical="center"/>
    </xf>
    <xf numFmtId="0" fontId="11" fillId="5" borderId="1" xfId="0" applyFont="1" applyFill="1" applyBorder="1" applyAlignment="1"/>
    <xf numFmtId="0" fontId="7" fillId="4" borderId="1" xfId="2" applyFont="1" applyFill="1" applyBorder="1" applyAlignment="1">
      <alignment horizontal="center" vertical="center"/>
    </xf>
    <xf numFmtId="0" fontId="6" fillId="4" borderId="1" xfId="0" applyFont="1" applyFill="1" applyBorder="1" applyAlignment="1">
      <alignment vertical="center"/>
    </xf>
    <xf numFmtId="0" fontId="7" fillId="4" borderId="1" xfId="2" applyFont="1" applyFill="1" applyBorder="1" applyAlignment="1">
      <alignment horizontal="center" vertical="center"/>
    </xf>
    <xf numFmtId="0" fontId="8" fillId="4" borderId="1" xfId="1" applyFont="1" applyFill="1" applyBorder="1"/>
    <xf numFmtId="0" fontId="7" fillId="4" borderId="2" xfId="2" applyFont="1" applyFill="1" applyBorder="1" applyAlignment="1">
      <alignment horizontal="center" vertical="center"/>
    </xf>
    <xf numFmtId="0" fontId="6" fillId="4" borderId="1" xfId="0" applyFont="1" applyFill="1" applyBorder="1" applyAlignment="1"/>
    <xf numFmtId="0" fontId="7" fillId="4" borderId="3" xfId="2" applyFont="1" applyFill="1" applyBorder="1" applyAlignment="1">
      <alignment horizontal="center" vertical="center"/>
    </xf>
    <xf numFmtId="0" fontId="6" fillId="4" borderId="4" xfId="0" applyFont="1" applyFill="1" applyBorder="1" applyAlignment="1"/>
    <xf numFmtId="0" fontId="7" fillId="4" borderId="5" xfId="2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/>
    </xf>
    <xf numFmtId="0" fontId="9" fillId="4" borderId="1" xfId="0" applyFont="1" applyFill="1" applyBorder="1" applyAlignment="1"/>
    <xf numFmtId="0" fontId="6" fillId="4" borderId="1" xfId="0" applyFont="1" applyFill="1" applyBorder="1" applyAlignment="1">
      <alignment horizontal="left" indent="1"/>
    </xf>
    <xf numFmtId="0" fontId="7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/>
    <xf numFmtId="0" fontId="7" fillId="4" borderId="1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left"/>
    </xf>
  </cellXfs>
  <cellStyles count="3">
    <cellStyle name="Normal 14" xfId="1"/>
    <cellStyle name="Normal 2" xfId="2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Afghanistan%20Benefit%20Risk%20Analysis%20Model%20-%20Jan%2026%20-%20For%20LiST%20Version%206.02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https:/d.docs.live.net/69b44a8e6705e396/Eva%20Documents/WHO%20Covid/Main%20Files/QA/Country%20Comparison/Morocco_Benefit%20Risk%20Analysis%20Model%20-%20Dec%2022%2020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mtg mesaure"/>
      <sheetName val="Interventions"/>
    </sheetNames>
    <sheetDataSet>
      <sheetData sheetId="0">
        <row r="1">
          <cell r="AA1" t="str">
            <v>Mitigation Impact Only</v>
          </cell>
        </row>
      </sheetData>
      <sheetData sheetId="1">
        <row r="6">
          <cell r="A6">
            <v>1</v>
          </cell>
          <cell r="B6" t="str">
            <v>Family Planning</v>
          </cell>
          <cell r="C6" t="str">
            <v>x</v>
          </cell>
          <cell r="D6" t="str">
            <v>FP - Pills</v>
          </cell>
          <cell r="E6" t="str">
            <v>x</v>
          </cell>
        </row>
        <row r="7">
          <cell r="A7">
            <v>2</v>
          </cell>
          <cell r="D7" t="str">
            <v>FP - Condoms</v>
          </cell>
          <cell r="E7" t="str">
            <v>x</v>
          </cell>
        </row>
        <row r="8">
          <cell r="A8">
            <v>3</v>
          </cell>
          <cell r="D8" t="str">
            <v>FP - Injectables</v>
          </cell>
          <cell r="E8" t="str">
            <v>x</v>
          </cell>
        </row>
        <row r="9">
          <cell r="A9">
            <v>4</v>
          </cell>
          <cell r="D9" t="str">
            <v>FP - Implants</v>
          </cell>
          <cell r="E9" t="str">
            <v>x</v>
          </cell>
        </row>
        <row r="10">
          <cell r="A10">
            <v>5</v>
          </cell>
          <cell r="D10" t="str">
            <v>FP - IUD</v>
          </cell>
          <cell r="E10" t="str">
            <v>x</v>
          </cell>
        </row>
        <row r="11">
          <cell r="A11">
            <v>6</v>
          </cell>
          <cell r="D11" t="str">
            <v>FP - Female Sterilization</v>
          </cell>
          <cell r="E11" t="str">
            <v>x</v>
          </cell>
        </row>
        <row r="12">
          <cell r="A12">
            <v>7</v>
          </cell>
          <cell r="D12" t="str">
            <v>FP - Male Sterilization</v>
          </cell>
        </row>
        <row r="13">
          <cell r="A13">
            <v>8</v>
          </cell>
          <cell r="D13" t="str">
            <v>FP - Traditional Methods</v>
          </cell>
          <cell r="E13" t="str">
            <v>x</v>
          </cell>
        </row>
        <row r="14">
          <cell r="A14">
            <v>11</v>
          </cell>
          <cell r="B14" t="str">
            <v>Antenatal Care</v>
          </cell>
          <cell r="C14" t="str">
            <v>x</v>
          </cell>
          <cell r="D14" t="str">
            <v>TT - Tetanus toxoid vaccination</v>
          </cell>
          <cell r="E14" t="str">
            <v>x</v>
          </cell>
        </row>
        <row r="15">
          <cell r="A15">
            <v>12</v>
          </cell>
          <cell r="D15" t="str">
            <v>IPTp - Intermittent preventive treatment of malaria during pregnancy</v>
          </cell>
        </row>
        <row r="16">
          <cell r="A16">
            <v>13</v>
          </cell>
          <cell r="D16" t="str">
            <v>Syphilis detection and treatment</v>
          </cell>
        </row>
        <row r="17">
          <cell r="A17">
            <v>14</v>
          </cell>
          <cell r="D17" t="str">
            <v>Calcium supplementation</v>
          </cell>
        </row>
        <row r="18">
          <cell r="A18">
            <v>15</v>
          </cell>
          <cell r="D18" t="str">
            <v>Iron and folate supplementation in pregnancy</v>
          </cell>
          <cell r="E18" t="str">
            <v>x</v>
          </cell>
        </row>
        <row r="19">
          <cell r="A19">
            <v>16</v>
          </cell>
          <cell r="D19" t="str">
            <v>Multiple micronutrient supplementation in pregnancy</v>
          </cell>
        </row>
        <row r="20">
          <cell r="A20">
            <v>17</v>
          </cell>
          <cell r="D20" t="str">
            <v>Balanced energy supplementation</v>
          </cell>
        </row>
        <row r="21">
          <cell r="A21">
            <v>18</v>
          </cell>
          <cell r="D21" t="str">
            <v>Hypertensive disorder case management</v>
          </cell>
        </row>
        <row r="22">
          <cell r="A22">
            <v>19</v>
          </cell>
          <cell r="D22" t="str">
            <v>Diabetes case management</v>
          </cell>
        </row>
        <row r="23">
          <cell r="A23">
            <v>20</v>
          </cell>
          <cell r="D23" t="str">
            <v>Malaria case management</v>
          </cell>
          <cell r="E23" t="str">
            <v>x</v>
          </cell>
        </row>
        <row r="24">
          <cell r="A24">
            <v>21</v>
          </cell>
          <cell r="D24" t="str">
            <v>MgSO4 management of pre-eclampsia</v>
          </cell>
          <cell r="E24" t="str">
            <v>x</v>
          </cell>
        </row>
        <row r="25">
          <cell r="A25">
            <v>22</v>
          </cell>
          <cell r="B25" t="str">
            <v>Delivery Care&amp;EmOC</v>
          </cell>
          <cell r="C25" t="str">
            <v>x</v>
          </cell>
          <cell r="D25" t="str">
            <v>Health Facility Delivery</v>
          </cell>
          <cell r="E25" t="str">
            <v>x</v>
          </cell>
        </row>
        <row r="26">
          <cell r="A26">
            <v>23</v>
          </cell>
          <cell r="D26" t="str">
            <v>Clean birth environment</v>
          </cell>
          <cell r="E26" t="str">
            <v>x</v>
          </cell>
        </row>
        <row r="27">
          <cell r="A27">
            <v>24</v>
          </cell>
          <cell r="D27" t="str">
            <v>Manual removal of placenta</v>
          </cell>
          <cell r="E27" t="str">
            <v>x</v>
          </cell>
        </row>
        <row r="28">
          <cell r="A28">
            <v>25</v>
          </cell>
          <cell r="D28" t="str">
            <v>MgSO4 management of eclampsia</v>
          </cell>
          <cell r="E28" t="str">
            <v>x</v>
          </cell>
        </row>
        <row r="29">
          <cell r="A29">
            <v>26</v>
          </cell>
          <cell r="D29" t="str">
            <v>Antibiotics for preterm or prolonged PROM</v>
          </cell>
          <cell r="E29" t="str">
            <v>x</v>
          </cell>
        </row>
        <row r="30">
          <cell r="A30">
            <v>27</v>
          </cell>
          <cell r="D30" t="str">
            <v>Parenteral administration of antibiotics</v>
          </cell>
        </row>
        <row r="31">
          <cell r="A31">
            <v>28</v>
          </cell>
          <cell r="D31" t="str">
            <v>Assisted vaginal delivery</v>
          </cell>
          <cell r="E31" t="str">
            <v>x</v>
          </cell>
        </row>
        <row r="32">
          <cell r="A32">
            <v>29</v>
          </cell>
          <cell r="D32" t="str">
            <v>Active management of third stage of labor (AMTSL)</v>
          </cell>
          <cell r="E32" t="str">
            <v>x</v>
          </cell>
        </row>
        <row r="33">
          <cell r="A33">
            <v>30</v>
          </cell>
          <cell r="D33" t="str">
            <v>Removal of retained products of conception</v>
          </cell>
          <cell r="E33" t="str">
            <v>x</v>
          </cell>
        </row>
        <row r="34">
          <cell r="A34">
            <v>31</v>
          </cell>
          <cell r="D34" t="str">
            <v>Induction of labor for pregnancies lasting 41+ weeks</v>
          </cell>
          <cell r="E34" t="str">
            <v>x</v>
          </cell>
        </row>
        <row r="35">
          <cell r="A35">
            <v>32</v>
          </cell>
          <cell r="D35" t="str">
            <v>Antenatal corticosteroids for preterm labor</v>
          </cell>
          <cell r="E35" t="str">
            <v>x</v>
          </cell>
        </row>
        <row r="36">
          <cell r="A36">
            <v>33</v>
          </cell>
          <cell r="D36" t="str">
            <v>Maternal sepsis case management</v>
          </cell>
          <cell r="E36" t="str">
            <v>x</v>
          </cell>
        </row>
        <row r="37">
          <cell r="A37">
            <v>34</v>
          </cell>
          <cell r="D37" t="str">
            <v>Safe abortion services</v>
          </cell>
          <cell r="E37" t="str">
            <v>x</v>
          </cell>
        </row>
        <row r="38">
          <cell r="A38">
            <v>35</v>
          </cell>
          <cell r="D38" t="str">
            <v>Post abortion case management</v>
          </cell>
          <cell r="E38" t="str">
            <v>x</v>
          </cell>
        </row>
        <row r="39">
          <cell r="A39">
            <v>36</v>
          </cell>
          <cell r="D39" t="str">
            <v>Cesarean delivery</v>
          </cell>
          <cell r="E39" t="str">
            <v>x</v>
          </cell>
        </row>
        <row r="40">
          <cell r="A40">
            <v>37</v>
          </cell>
          <cell r="D40" t="str">
            <v>Blood transfusion</v>
          </cell>
          <cell r="E40" t="str">
            <v>x</v>
          </cell>
        </row>
        <row r="41">
          <cell r="A41">
            <v>38</v>
          </cell>
          <cell r="D41" t="str">
            <v>Ectopic pregnancy case management</v>
          </cell>
          <cell r="E41" t="str">
            <v>x</v>
          </cell>
        </row>
        <row r="42">
          <cell r="A42">
            <v>39</v>
          </cell>
          <cell r="B42" t="str">
            <v>Newborn Care</v>
          </cell>
          <cell r="C42" t="str">
            <v>x</v>
          </cell>
          <cell r="D42" t="str">
            <v>Immediate drying and additional stimulation</v>
          </cell>
          <cell r="E42" t="str">
            <v>x</v>
          </cell>
        </row>
        <row r="43">
          <cell r="A43">
            <v>40</v>
          </cell>
          <cell r="D43" t="str">
            <v>Thermal protection</v>
          </cell>
          <cell r="E43" t="str">
            <v>x</v>
          </cell>
        </row>
        <row r="44">
          <cell r="A44">
            <v>41</v>
          </cell>
          <cell r="D44" t="str">
            <v>Clean cord care</v>
          </cell>
          <cell r="E44" t="str">
            <v>x</v>
          </cell>
        </row>
        <row r="45">
          <cell r="A45">
            <v>42</v>
          </cell>
          <cell r="D45" t="str">
            <v>Neonatal resuscitation</v>
          </cell>
          <cell r="E45" t="str">
            <v>x</v>
          </cell>
        </row>
        <row r="46">
          <cell r="D46" t="str">
            <v>Case management of premature babies</v>
          </cell>
        </row>
        <row r="47">
          <cell r="A47">
            <v>43</v>
          </cell>
          <cell r="D47" t="str">
            <v>Kangaroo-Mother Care (KMC)</v>
          </cell>
        </row>
        <row r="48">
          <cell r="A48">
            <v>44</v>
          </cell>
          <cell r="D48" t="str">
            <v>Full supportive care of prematurity</v>
          </cell>
        </row>
        <row r="49">
          <cell r="D49" t="str">
            <v>Case management of neonatal sepsis/pneumonia</v>
          </cell>
        </row>
        <row r="50">
          <cell r="A50">
            <v>45</v>
          </cell>
          <cell r="D50" t="str">
            <v>Oral antibiotics for neonatal sepsis</v>
          </cell>
          <cell r="E50" t="str">
            <v>x</v>
          </cell>
        </row>
        <row r="51">
          <cell r="A51">
            <v>46</v>
          </cell>
          <cell r="D51" t="str">
            <v>Injectable antibiotics for neonatal sepsis</v>
          </cell>
          <cell r="E51" t="str">
            <v>x</v>
          </cell>
        </row>
        <row r="52">
          <cell r="A52">
            <v>47</v>
          </cell>
          <cell r="D52" t="str">
            <v>Full supportive care for neonatal sepsis/pneumonia</v>
          </cell>
          <cell r="E52" t="str">
            <v>x</v>
          </cell>
        </row>
        <row r="53">
          <cell r="A53">
            <v>48</v>
          </cell>
          <cell r="B53" t="str">
            <v>Breastfeeding</v>
          </cell>
          <cell r="D53" t="str">
            <v>Early Initiation of Breastfeeding</v>
          </cell>
          <cell r="E53" t="str">
            <v>x</v>
          </cell>
        </row>
        <row r="54">
          <cell r="A54">
            <v>49</v>
          </cell>
          <cell r="D54" t="str">
            <v>Complementary feeding - Education only</v>
          </cell>
          <cell r="E54" t="str">
            <v>x</v>
          </cell>
        </row>
        <row r="55">
          <cell r="A55">
            <v>50</v>
          </cell>
          <cell r="D55" t="str">
            <v>Complementary feeding - Supplementary feeding + Education</v>
          </cell>
          <cell r="E55" t="str">
            <v>x</v>
          </cell>
        </row>
        <row r="56">
          <cell r="A56">
            <v>51</v>
          </cell>
          <cell r="B56" t="str">
            <v>Vaccines</v>
          </cell>
          <cell r="C56" t="str">
            <v>x</v>
          </cell>
          <cell r="D56" t="str">
            <v>BCG - Single dose</v>
          </cell>
          <cell r="E56" t="str">
            <v>x</v>
          </cell>
        </row>
        <row r="57">
          <cell r="A57">
            <v>52</v>
          </cell>
          <cell r="D57" t="str">
            <v>Polio - Three doses</v>
          </cell>
          <cell r="E57" t="str">
            <v>x</v>
          </cell>
        </row>
        <row r="58">
          <cell r="D58" t="str">
            <v>Pentavalent</v>
          </cell>
          <cell r="E58" t="str">
            <v>x</v>
          </cell>
        </row>
        <row r="59">
          <cell r="A59">
            <v>53</v>
          </cell>
          <cell r="D59" t="str">
            <v>DPT - Three doses</v>
          </cell>
          <cell r="E59" t="str">
            <v>x</v>
          </cell>
        </row>
        <row r="60">
          <cell r="A60">
            <v>54</v>
          </cell>
          <cell r="D60" t="str">
            <v>Hib - Three doses</v>
          </cell>
          <cell r="E60" t="str">
            <v>x</v>
          </cell>
        </row>
        <row r="61">
          <cell r="A61">
            <v>55</v>
          </cell>
          <cell r="D61" t="str">
            <v>HepB - Three doses</v>
          </cell>
          <cell r="E61" t="str">
            <v>x</v>
          </cell>
        </row>
        <row r="62">
          <cell r="A62">
            <v>56</v>
          </cell>
          <cell r="D62" t="str">
            <v>Pneumococcal - Three doses</v>
          </cell>
          <cell r="E62" t="str">
            <v>x</v>
          </cell>
        </row>
        <row r="63">
          <cell r="A63">
            <v>57</v>
          </cell>
          <cell r="D63" t="str">
            <v>Rotavirus - Two doses</v>
          </cell>
          <cell r="E63" t="str">
            <v>x</v>
          </cell>
        </row>
        <row r="64">
          <cell r="A64">
            <v>58</v>
          </cell>
          <cell r="D64" t="str">
            <v>Meningococcal A - Single dose</v>
          </cell>
        </row>
        <row r="65">
          <cell r="A65">
            <v>59</v>
          </cell>
          <cell r="D65" t="str">
            <v>Malaria vaccine - Three doses</v>
          </cell>
        </row>
        <row r="66">
          <cell r="A66">
            <v>60</v>
          </cell>
          <cell r="D66" t="str">
            <v>Measles - Single dose</v>
          </cell>
          <cell r="E66" t="str">
            <v>x</v>
          </cell>
        </row>
        <row r="67">
          <cell r="A67">
            <v>61</v>
          </cell>
          <cell r="B67" t="str">
            <v>Child Health</v>
          </cell>
          <cell r="C67" t="str">
            <v>x</v>
          </cell>
          <cell r="D67" t="str">
            <v>Vitamin A supplementation</v>
          </cell>
          <cell r="E67" t="str">
            <v>x</v>
          </cell>
        </row>
        <row r="68">
          <cell r="A68">
            <v>62</v>
          </cell>
          <cell r="D68" t="str">
            <v>Zinc supplementation</v>
          </cell>
          <cell r="E68" t="str">
            <v>x</v>
          </cell>
        </row>
        <row r="69">
          <cell r="A69">
            <v>63</v>
          </cell>
          <cell r="D69" t="str">
            <v>ORS - Oral Rehydration Solution</v>
          </cell>
          <cell r="E69" t="str">
            <v>x</v>
          </cell>
        </row>
        <row r="70">
          <cell r="A70">
            <v>64</v>
          </cell>
          <cell r="D70" t="str">
            <v>Antibiotics for treatment of dysentery</v>
          </cell>
          <cell r="E70" t="str">
            <v>x</v>
          </cell>
        </row>
        <row r="71">
          <cell r="A71">
            <v>65</v>
          </cell>
          <cell r="D71" t="str">
            <v>Zinc for treatment of diarrhea</v>
          </cell>
          <cell r="E71" t="str">
            <v>x</v>
          </cell>
        </row>
        <row r="72">
          <cell r="A72">
            <v>66</v>
          </cell>
          <cell r="D72" t="str">
            <v>Oral antibiotics for pneumonia</v>
          </cell>
          <cell r="E72" t="str">
            <v>x</v>
          </cell>
        </row>
        <row r="73">
          <cell r="A73">
            <v>67</v>
          </cell>
          <cell r="D73" t="str">
            <v>Vitamin A for treatment of measles</v>
          </cell>
          <cell r="E73" t="str">
            <v>x</v>
          </cell>
        </row>
        <row r="74">
          <cell r="A74">
            <v>68</v>
          </cell>
          <cell r="D74" t="str">
            <v>ACTs - Artemisinin compounds for treatment of malaria</v>
          </cell>
        </row>
        <row r="75">
          <cell r="A75">
            <v>69</v>
          </cell>
          <cell r="B75" t="str">
            <v>Malnutrition</v>
          </cell>
          <cell r="C75" t="str">
            <v>x</v>
          </cell>
          <cell r="D75" t="str">
            <v>SAM - treatment for severe acute malnutrition</v>
          </cell>
          <cell r="E75" t="str">
            <v>x</v>
          </cell>
        </row>
        <row r="76">
          <cell r="A76">
            <v>70</v>
          </cell>
          <cell r="D76" t="str">
            <v>MAM - treatment for moderate acute malnutrition</v>
          </cell>
          <cell r="E76" t="str">
            <v>x</v>
          </cell>
        </row>
        <row r="77">
          <cell r="A77">
            <v>71</v>
          </cell>
          <cell r="B77" t="str">
            <v>Other</v>
          </cell>
          <cell r="D77" t="str">
            <v>ITN/IRS - Households protected from malaria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4">
          <cell r="AA4">
            <v>0</v>
          </cell>
          <cell r="AB4">
            <v>0</v>
          </cell>
          <cell r="AC4" t="str">
            <v>Contraceptive Use</v>
          </cell>
          <cell r="AD4" t="str">
            <v>Contraceptive Use</v>
          </cell>
          <cell r="AE4">
            <v>0</v>
          </cell>
          <cell r="AF4">
            <v>0</v>
          </cell>
          <cell r="AG4">
            <v>-16</v>
          </cell>
          <cell r="AH4">
            <v>0</v>
          </cell>
          <cell r="AI4">
            <v>0</v>
          </cell>
          <cell r="AJ4">
            <v>8</v>
          </cell>
          <cell r="AK4">
            <v>0</v>
          </cell>
          <cell r="AL4">
            <v>0</v>
          </cell>
          <cell r="AM4">
            <v>-9</v>
          </cell>
        </row>
        <row r="5">
          <cell r="AD5" t="str">
            <v>Maternal age and birth order</v>
          </cell>
          <cell r="AE5">
            <v>-16</v>
          </cell>
          <cell r="AF5">
            <v>-16</v>
          </cell>
          <cell r="AH5">
            <v>7</v>
          </cell>
          <cell r="AI5">
            <v>7</v>
          </cell>
          <cell r="AK5">
            <v>-6</v>
          </cell>
          <cell r="AL5">
            <v>-6</v>
          </cell>
        </row>
        <row r="6">
          <cell r="AD6" t="str">
            <v>Birth intervals</v>
          </cell>
          <cell r="AE6">
            <v>1</v>
          </cell>
          <cell r="AF6">
            <v>1</v>
          </cell>
          <cell r="AH6">
            <v>-1</v>
          </cell>
          <cell r="AI6">
            <v>-1</v>
          </cell>
          <cell r="AK6">
            <v>0</v>
          </cell>
          <cell r="AL6">
            <v>0</v>
          </cell>
        </row>
        <row r="7">
          <cell r="AA7">
            <v>9</v>
          </cell>
          <cell r="AB7">
            <v>68</v>
          </cell>
          <cell r="AC7" t="str">
            <v>Folic acid supplementation/fortification</v>
          </cell>
          <cell r="AD7" t="str">
            <v>Folic acid fortification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</row>
        <row r="8">
          <cell r="AA8">
            <v>10</v>
          </cell>
          <cell r="AB8">
            <v>34</v>
          </cell>
          <cell r="AC8" t="str">
            <v>Safe abortion services</v>
          </cell>
          <cell r="AD8" t="str">
            <v>Safe abortion services</v>
          </cell>
          <cell r="AG8">
            <v>-12</v>
          </cell>
          <cell r="AJ8">
            <v>14</v>
          </cell>
          <cell r="AM8">
            <v>2</v>
          </cell>
        </row>
        <row r="9">
          <cell r="AA9">
            <v>11</v>
          </cell>
          <cell r="AB9">
            <v>35</v>
          </cell>
          <cell r="AC9" t="str">
            <v>Post abortion case management</v>
          </cell>
          <cell r="AD9" t="str">
            <v>Post abortion case management</v>
          </cell>
          <cell r="AG9">
            <v>0</v>
          </cell>
          <cell r="AJ9">
            <v>0</v>
          </cell>
          <cell r="AM9">
            <v>0</v>
          </cell>
        </row>
        <row r="10">
          <cell r="AA10">
            <v>12</v>
          </cell>
          <cell r="AB10">
            <v>38</v>
          </cell>
          <cell r="AC10" t="str">
            <v>Ectopic pregnancy case management</v>
          </cell>
          <cell r="AD10" t="str">
            <v>Ectopic pregnancy case management</v>
          </cell>
          <cell r="AG10">
            <v>0</v>
          </cell>
          <cell r="AJ10">
            <v>0</v>
          </cell>
          <cell r="AM10">
            <v>0</v>
          </cell>
        </row>
        <row r="11">
          <cell r="AA11">
            <v>13</v>
          </cell>
          <cell r="AB11">
            <v>72</v>
          </cell>
          <cell r="AC11" t="str">
            <v>Blanket iron supplementation/fortification</v>
          </cell>
          <cell r="AD11" t="str">
            <v>Iron fortification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</row>
        <row r="12">
          <cell r="AA12">
            <v>14</v>
          </cell>
          <cell r="AB12">
            <v>9</v>
          </cell>
          <cell r="AC12" t="str">
            <v>Antenatal care (at least 1 visit)</v>
          </cell>
          <cell r="AD12" t="str">
            <v>Antenatal care (at least 1 visit)</v>
          </cell>
        </row>
        <row r="13">
          <cell r="AA13">
            <v>15</v>
          </cell>
          <cell r="AB13">
            <v>10</v>
          </cell>
          <cell r="AC13" t="str">
            <v>Antenatal care (at least 4 visits)</v>
          </cell>
          <cell r="AD13" t="str">
            <v>Antenatal care (at least 4 visits)</v>
          </cell>
        </row>
        <row r="14">
          <cell r="AA14">
            <v>16</v>
          </cell>
          <cell r="AB14">
            <v>11</v>
          </cell>
          <cell r="AC14" t="str">
            <v>TT - Tetanus toxoid vaccination</v>
          </cell>
          <cell r="AD14" t="str">
            <v>TT - Tetanus toxoid vaccination</v>
          </cell>
          <cell r="AE14">
            <v>-397</v>
          </cell>
          <cell r="AF14">
            <v>-397</v>
          </cell>
          <cell r="AG14">
            <v>-2</v>
          </cell>
          <cell r="AH14">
            <v>257</v>
          </cell>
          <cell r="AI14">
            <v>257</v>
          </cell>
          <cell r="AJ14">
            <v>1</v>
          </cell>
          <cell r="AK14">
            <v>-153</v>
          </cell>
          <cell r="AL14">
            <v>-153</v>
          </cell>
          <cell r="AM14">
            <v>-1</v>
          </cell>
        </row>
        <row r="15">
          <cell r="AA15">
            <v>17</v>
          </cell>
          <cell r="AB15">
            <v>12</v>
          </cell>
          <cell r="AC15" t="str">
            <v>IPTp - Intermittent preventive treatment of malaria during pregnancy</v>
          </cell>
          <cell r="AD15" t="str">
            <v>Prevention of malaria in pregnancy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 t="e">
            <v>#N/A</v>
          </cell>
          <cell r="AL15" t="e">
            <v>#N/A</v>
          </cell>
          <cell r="AM15" t="e">
            <v>#N/A</v>
          </cell>
        </row>
        <row r="16">
          <cell r="AA16">
            <v>18</v>
          </cell>
          <cell r="AB16">
            <v>13</v>
          </cell>
          <cell r="AC16" t="str">
            <v>Syphilis detection and treatment</v>
          </cell>
          <cell r="AD16" t="str">
            <v>Syphilis detection and treatment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</row>
        <row r="17">
          <cell r="AA17">
            <v>19</v>
          </cell>
          <cell r="AB17">
            <v>14</v>
          </cell>
          <cell r="AC17" t="str">
            <v>Calcium supplementation</v>
          </cell>
          <cell r="AD17" t="str">
            <v>Calcium supplementation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</row>
        <row r="18">
          <cell r="AA18">
            <v>20</v>
          </cell>
          <cell r="AB18">
            <v>15</v>
          </cell>
          <cell r="AC18" t="str">
            <v>Iron supplementation in pregnancy</v>
          </cell>
          <cell r="AD18" t="str">
            <v>Micronutrient supplementation (iron and multiple micronutrients)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12</v>
          </cell>
          <cell r="AK18">
            <v>0</v>
          </cell>
          <cell r="AL18">
            <v>0</v>
          </cell>
          <cell r="AM18">
            <v>-6</v>
          </cell>
        </row>
        <row r="19">
          <cell r="AA19">
            <v>21</v>
          </cell>
          <cell r="AB19">
            <v>16</v>
          </cell>
          <cell r="AC19" t="str">
            <v>Multiple micronutrient supplementation in pregnancy</v>
          </cell>
          <cell r="AE19">
            <v>0</v>
          </cell>
          <cell r="AF19">
            <v>0</v>
          </cell>
          <cell r="AG19">
            <v>-18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</row>
        <row r="20">
          <cell r="AA20">
            <v>22</v>
          </cell>
          <cell r="AB20">
            <v>17</v>
          </cell>
          <cell r="AC20" t="str">
            <v>Balanced energy supplementation</v>
          </cell>
          <cell r="AD20" t="str">
            <v>Balanced energy supplementation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</row>
        <row r="21">
          <cell r="AA21">
            <v>23</v>
          </cell>
          <cell r="AB21">
            <v>18</v>
          </cell>
          <cell r="AC21" t="str">
            <v>Hypertensive disorder case management</v>
          </cell>
          <cell r="AD21" t="str">
            <v>Hypertensive disorder case management</v>
          </cell>
          <cell r="AE21">
            <v>0</v>
          </cell>
          <cell r="AF21">
            <v>0</v>
          </cell>
          <cell r="AG21">
            <v>-7</v>
          </cell>
          <cell r="AH21">
            <v>0</v>
          </cell>
          <cell r="AI21">
            <v>0</v>
          </cell>
          <cell r="AJ21">
            <v>4</v>
          </cell>
          <cell r="AK21">
            <v>0</v>
          </cell>
          <cell r="AL21">
            <v>0</v>
          </cell>
          <cell r="AM21">
            <v>-3</v>
          </cell>
        </row>
        <row r="22">
          <cell r="AA22">
            <v>24</v>
          </cell>
          <cell r="AB22">
            <v>19</v>
          </cell>
          <cell r="AC22" t="str">
            <v>Diabetes case management</v>
          </cell>
          <cell r="AD22" t="str">
            <v>Diabetes case management</v>
          </cell>
          <cell r="AG22">
            <v>0</v>
          </cell>
          <cell r="AJ22">
            <v>0</v>
          </cell>
          <cell r="AM22">
            <v>0</v>
          </cell>
        </row>
        <row r="23">
          <cell r="AA23">
            <v>25</v>
          </cell>
          <cell r="AB23">
            <v>20</v>
          </cell>
          <cell r="AC23" t="str">
            <v>Malaria case management</v>
          </cell>
          <cell r="AD23" t="str">
            <v>Malaria case management</v>
          </cell>
          <cell r="AG23">
            <v>0</v>
          </cell>
          <cell r="AJ23">
            <v>0</v>
          </cell>
          <cell r="AM23">
            <v>0</v>
          </cell>
        </row>
        <row r="24">
          <cell r="AA24">
            <v>26</v>
          </cell>
          <cell r="AB24">
            <v>21</v>
          </cell>
          <cell r="AC24" t="str">
            <v>MgSO4 management of pre-eclampsia</v>
          </cell>
          <cell r="AD24" t="str">
            <v>MgSO4 management of pre-eclampsia</v>
          </cell>
          <cell r="AK24" t="e">
            <v>#N/A</v>
          </cell>
          <cell r="AL24" t="e">
            <v>#N/A</v>
          </cell>
          <cell r="AM24" t="e">
            <v>#N/A</v>
          </cell>
        </row>
        <row r="25">
          <cell r="AA25">
            <v>27</v>
          </cell>
          <cell r="AB25">
            <v>22</v>
          </cell>
          <cell r="AC25" t="str">
            <v>Health Facility Delivery</v>
          </cell>
          <cell r="AD25" t="str">
            <v>Health Facility Delivery</v>
          </cell>
        </row>
        <row r="26">
          <cell r="AA26">
            <v>28</v>
          </cell>
          <cell r="AB26">
            <v>23</v>
          </cell>
          <cell r="AC26" t="str">
            <v>Clean birth environment</v>
          </cell>
          <cell r="AD26" t="str">
            <v>Clean birth environment</v>
          </cell>
          <cell r="AE26">
            <v>-164</v>
          </cell>
          <cell r="AF26">
            <v>-164</v>
          </cell>
          <cell r="AG26">
            <v>-21</v>
          </cell>
          <cell r="AH26">
            <v>190</v>
          </cell>
          <cell r="AI26">
            <v>190</v>
          </cell>
          <cell r="AJ26">
            <v>24</v>
          </cell>
          <cell r="AK26">
            <v>17</v>
          </cell>
          <cell r="AL26">
            <v>17</v>
          </cell>
          <cell r="AM26">
            <v>3</v>
          </cell>
        </row>
        <row r="27">
          <cell r="AA27">
            <v>29</v>
          </cell>
          <cell r="AB27">
            <v>39</v>
          </cell>
          <cell r="AC27" t="str">
            <v>Immediate drying and additional stimulation</v>
          </cell>
          <cell r="AD27" t="str">
            <v>Immediate drying and additional stimulation</v>
          </cell>
          <cell r="AE27">
            <v>-184</v>
          </cell>
          <cell r="AF27">
            <v>-184</v>
          </cell>
          <cell r="AH27">
            <v>213</v>
          </cell>
          <cell r="AI27">
            <v>213</v>
          </cell>
          <cell r="AK27">
            <v>18</v>
          </cell>
          <cell r="AL27">
            <v>18</v>
          </cell>
        </row>
        <row r="28">
          <cell r="AA28">
            <v>30</v>
          </cell>
          <cell r="AB28">
            <v>40</v>
          </cell>
          <cell r="AC28" t="str">
            <v>Thermal protection</v>
          </cell>
          <cell r="AD28" t="str">
            <v>Thermal protection</v>
          </cell>
          <cell r="AE28">
            <v>-278</v>
          </cell>
          <cell r="AF28">
            <v>-278</v>
          </cell>
          <cell r="AG28">
            <v>0</v>
          </cell>
          <cell r="AH28">
            <v>323</v>
          </cell>
          <cell r="AI28">
            <v>323</v>
          </cell>
          <cell r="AJ28">
            <v>0</v>
          </cell>
          <cell r="AK28">
            <v>27</v>
          </cell>
          <cell r="AL28">
            <v>27</v>
          </cell>
          <cell r="AM28">
            <v>0</v>
          </cell>
        </row>
        <row r="29">
          <cell r="AA29">
            <v>31</v>
          </cell>
          <cell r="AB29">
            <v>41</v>
          </cell>
          <cell r="AC29" t="str">
            <v>Clean cord care</v>
          </cell>
          <cell r="AD29" t="str">
            <v>Clean cord care</v>
          </cell>
          <cell r="AE29">
            <v>-288</v>
          </cell>
          <cell r="AF29">
            <v>-288</v>
          </cell>
          <cell r="AG29">
            <v>0</v>
          </cell>
          <cell r="AH29">
            <v>333</v>
          </cell>
          <cell r="AI29">
            <v>333</v>
          </cell>
          <cell r="AJ29">
            <v>0</v>
          </cell>
          <cell r="AK29">
            <v>27</v>
          </cell>
          <cell r="AL29">
            <v>27</v>
          </cell>
          <cell r="AM29">
            <v>0</v>
          </cell>
        </row>
        <row r="30">
          <cell r="AA30">
            <v>32</v>
          </cell>
          <cell r="AB30">
            <v>24</v>
          </cell>
          <cell r="AC30" t="str">
            <v>Manual removal of placenta</v>
          </cell>
          <cell r="AD30" t="str">
            <v>Manual removal of placenta</v>
          </cell>
          <cell r="AG30">
            <v>-29</v>
          </cell>
          <cell r="AJ30">
            <v>34</v>
          </cell>
          <cell r="AM30">
            <v>4</v>
          </cell>
        </row>
        <row r="31">
          <cell r="AA31">
            <v>33</v>
          </cell>
          <cell r="AB31">
            <v>25</v>
          </cell>
          <cell r="AC31" t="str">
            <v>Parenteral administration of anti-convulsants</v>
          </cell>
          <cell r="AD31" t="str">
            <v>MgSO4 for eclampsia</v>
          </cell>
          <cell r="AE31">
            <v>0</v>
          </cell>
          <cell r="AF31">
            <v>0</v>
          </cell>
          <cell r="AG31">
            <v>-49</v>
          </cell>
          <cell r="AH31">
            <v>0</v>
          </cell>
          <cell r="AI31">
            <v>0</v>
          </cell>
          <cell r="AJ31">
            <v>57</v>
          </cell>
          <cell r="AK31" t="e">
            <v>#N/A</v>
          </cell>
          <cell r="AL31" t="e">
            <v>#N/A</v>
          </cell>
          <cell r="AM31" t="e">
            <v>#N/A</v>
          </cell>
        </row>
        <row r="32">
          <cell r="AA32">
            <v>34</v>
          </cell>
          <cell r="AB32">
            <v>26</v>
          </cell>
          <cell r="AC32" t="str">
            <v>Antibiotics for preterm or prolonged PROM</v>
          </cell>
          <cell r="AD32" t="str">
            <v>Antibiotics for preterm or prolonged PROM</v>
          </cell>
          <cell r="AE32">
            <v>-64</v>
          </cell>
          <cell r="AF32">
            <v>-64</v>
          </cell>
          <cell r="AG32">
            <v>-9</v>
          </cell>
          <cell r="AH32">
            <v>75</v>
          </cell>
          <cell r="AI32">
            <v>75</v>
          </cell>
          <cell r="AJ32">
            <v>10</v>
          </cell>
          <cell r="AK32">
            <v>6</v>
          </cell>
          <cell r="AL32">
            <v>6</v>
          </cell>
          <cell r="AM32">
            <v>1</v>
          </cell>
        </row>
        <row r="33">
          <cell r="AA33">
            <v>35</v>
          </cell>
          <cell r="AB33">
            <v>27</v>
          </cell>
          <cell r="AC33" t="str">
            <v>Parenteral administration of antibiotics</v>
          </cell>
          <cell r="AD33" t="str">
            <v>Parenteral administration of antibiotics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-3</v>
          </cell>
          <cell r="AL33">
            <v>-3</v>
          </cell>
          <cell r="AM33">
            <v>-1</v>
          </cell>
        </row>
        <row r="34">
          <cell r="AA34">
            <v>36</v>
          </cell>
          <cell r="AB34">
            <v>28</v>
          </cell>
          <cell r="AC34" t="str">
            <v>Assisted vaginal delivery</v>
          </cell>
          <cell r="AD34" t="str">
            <v>Assisted vaginal delivery</v>
          </cell>
          <cell r="AE34">
            <v>-97</v>
          </cell>
          <cell r="AF34">
            <v>-97</v>
          </cell>
          <cell r="AG34">
            <v>-11</v>
          </cell>
          <cell r="AH34">
            <v>109</v>
          </cell>
          <cell r="AI34">
            <v>109</v>
          </cell>
          <cell r="AJ34">
            <v>12</v>
          </cell>
          <cell r="AK34">
            <v>6</v>
          </cell>
          <cell r="AL34">
            <v>6</v>
          </cell>
          <cell r="AM34">
            <v>1</v>
          </cell>
        </row>
        <row r="35">
          <cell r="AA35">
            <v>37</v>
          </cell>
          <cell r="AB35">
            <v>42</v>
          </cell>
          <cell r="AC35" t="str">
            <v>Neonatal resuscitation</v>
          </cell>
          <cell r="AD35" t="str">
            <v>Neonatal resuscitation</v>
          </cell>
          <cell r="AE35">
            <v>-216</v>
          </cell>
          <cell r="AF35">
            <v>-216</v>
          </cell>
          <cell r="AH35">
            <v>249</v>
          </cell>
          <cell r="AI35">
            <v>249</v>
          </cell>
          <cell r="AK35">
            <v>20</v>
          </cell>
          <cell r="AL35">
            <v>20</v>
          </cell>
        </row>
        <row r="36">
          <cell r="AA36">
            <v>38</v>
          </cell>
          <cell r="AB36">
            <v>29</v>
          </cell>
          <cell r="AC36" t="str">
            <v>Parenteral administration of uterotonics</v>
          </cell>
          <cell r="AD36" t="str">
            <v>Parenteral administration of uterotonics</v>
          </cell>
          <cell r="AE36">
            <v>0</v>
          </cell>
          <cell r="AF36">
            <v>0</v>
          </cell>
          <cell r="AG36">
            <v>-254</v>
          </cell>
          <cell r="AH36">
            <v>0</v>
          </cell>
          <cell r="AI36">
            <v>0</v>
          </cell>
          <cell r="AJ36">
            <v>295</v>
          </cell>
          <cell r="AK36">
            <v>0</v>
          </cell>
          <cell r="AL36">
            <v>0</v>
          </cell>
          <cell r="AM36">
            <v>33</v>
          </cell>
        </row>
        <row r="37">
          <cell r="AA37">
            <v>39</v>
          </cell>
          <cell r="AB37">
            <v>30</v>
          </cell>
          <cell r="AC37" t="str">
            <v>Removal of retained products of conception</v>
          </cell>
          <cell r="AD37" t="str">
            <v>Removal of retained products of conception</v>
          </cell>
          <cell r="AG37">
            <v>-25</v>
          </cell>
          <cell r="AJ37">
            <v>29</v>
          </cell>
          <cell r="AM37">
            <v>3</v>
          </cell>
        </row>
        <row r="38">
          <cell r="AA38">
            <v>40</v>
          </cell>
          <cell r="AB38">
            <v>31</v>
          </cell>
          <cell r="AC38" t="str">
            <v>Induction of labor for pregnancies lasting 41+ weeks</v>
          </cell>
          <cell r="AD38" t="str">
            <v>Induction of labor for pregnancies lasting 41+ weeks</v>
          </cell>
          <cell r="AG38">
            <v>0</v>
          </cell>
          <cell r="AJ38">
            <v>0</v>
          </cell>
          <cell r="AM38">
            <v>0</v>
          </cell>
        </row>
        <row r="39">
          <cell r="AA39">
            <v>41</v>
          </cell>
          <cell r="AB39">
            <v>32</v>
          </cell>
          <cell r="AC39" t="str">
            <v>Antenatal corticosteroids for preterm labor</v>
          </cell>
          <cell r="AD39" t="str">
            <v>Antenatal corticosteroids for preterm labor</v>
          </cell>
          <cell r="AE39">
            <v>0</v>
          </cell>
          <cell r="AF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</row>
        <row r="40">
          <cell r="AA40">
            <v>42</v>
          </cell>
          <cell r="AB40">
            <v>36</v>
          </cell>
          <cell r="AC40" t="str">
            <v>Cesarean delivery</v>
          </cell>
          <cell r="AD40" t="str">
            <v>Cesarean delivery</v>
          </cell>
          <cell r="AE40">
            <v>-241</v>
          </cell>
          <cell r="AF40">
            <v>-241</v>
          </cell>
          <cell r="AG40">
            <v>-70</v>
          </cell>
          <cell r="AH40">
            <v>279</v>
          </cell>
          <cell r="AI40">
            <v>279</v>
          </cell>
          <cell r="AJ40">
            <v>80</v>
          </cell>
          <cell r="AK40">
            <v>31</v>
          </cell>
          <cell r="AL40">
            <v>31</v>
          </cell>
          <cell r="AM40">
            <v>9</v>
          </cell>
        </row>
        <row r="41">
          <cell r="AA41">
            <v>43</v>
          </cell>
          <cell r="AB41">
            <v>37</v>
          </cell>
          <cell r="AC41" t="str">
            <v>Blood transfusion</v>
          </cell>
          <cell r="AD41" t="str">
            <v>Blood transfusion</v>
          </cell>
          <cell r="AG41">
            <v>0</v>
          </cell>
          <cell r="AJ41">
            <v>0</v>
          </cell>
          <cell r="AM41">
            <v>0</v>
          </cell>
        </row>
        <row r="42">
          <cell r="AA42">
            <v>44</v>
          </cell>
          <cell r="AB42">
            <v>48</v>
          </cell>
          <cell r="AC42" t="str">
            <v>Breastfeeding</v>
          </cell>
          <cell r="AD42" t="str">
            <v>Age-appropriate breastfeeding practices</v>
          </cell>
          <cell r="AE42">
            <v>-547</v>
          </cell>
          <cell r="AF42">
            <v>-1566</v>
          </cell>
          <cell r="AH42">
            <v>562</v>
          </cell>
          <cell r="AI42">
            <v>1613</v>
          </cell>
          <cell r="AK42">
            <v>-51</v>
          </cell>
          <cell r="AL42">
            <v>-105</v>
          </cell>
        </row>
        <row r="43">
          <cell r="AD43" t="str">
            <v>Prevalence of early initiation of breastfeeding</v>
          </cell>
          <cell r="AE43">
            <v>0</v>
          </cell>
          <cell r="AF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</row>
        <row r="44">
          <cell r="AA44">
            <v>46</v>
          </cell>
          <cell r="AB44">
            <v>49</v>
          </cell>
          <cell r="AC44" t="str">
            <v>Complementary feeding - Education only</v>
          </cell>
          <cell r="AD44" t="str">
            <v>Appropriate complementary feeding</v>
          </cell>
          <cell r="AE44">
            <v>0</v>
          </cell>
          <cell r="AF44">
            <v>0</v>
          </cell>
          <cell r="AH44">
            <v>0</v>
          </cell>
          <cell r="AI44">
            <v>0</v>
          </cell>
          <cell r="AK44">
            <v>0</v>
          </cell>
          <cell r="AL44">
            <v>0</v>
          </cell>
        </row>
        <row r="45">
          <cell r="AA45">
            <v>47</v>
          </cell>
          <cell r="AB45">
            <v>50</v>
          </cell>
          <cell r="AC45" t="str">
            <v>Complementary feeding - Supplementary feeding + Education</v>
          </cell>
        </row>
        <row r="46">
          <cell r="AD46" t="str">
            <v>Complementary feeding (via reduction in stunting)</v>
          </cell>
          <cell r="AE46">
            <v>0</v>
          </cell>
          <cell r="AF46">
            <v>-8</v>
          </cell>
          <cell r="AH46">
            <v>0</v>
          </cell>
          <cell r="AI46">
            <v>-11</v>
          </cell>
          <cell r="AK46">
            <v>0</v>
          </cell>
          <cell r="AL46">
            <v>-24</v>
          </cell>
        </row>
        <row r="47">
          <cell r="AD47" t="str">
            <v>Complementary feeding (via reduction in wasting)</v>
          </cell>
          <cell r="AE47">
            <v>0</v>
          </cell>
          <cell r="AF47">
            <v>-5</v>
          </cell>
          <cell r="AH47">
            <v>0</v>
          </cell>
          <cell r="AI47">
            <v>1</v>
          </cell>
          <cell r="AK47">
            <v>0</v>
          </cell>
          <cell r="AL47">
            <v>-5</v>
          </cell>
        </row>
        <row r="48">
          <cell r="AA48">
            <v>47</v>
          </cell>
          <cell r="AB48">
            <v>61</v>
          </cell>
          <cell r="AC48" t="str">
            <v>Vitamin A supplementation</v>
          </cell>
          <cell r="AD48" t="str">
            <v>Vitamin A supplementation</v>
          </cell>
          <cell r="AE48">
            <v>0</v>
          </cell>
          <cell r="AF48">
            <v>-49</v>
          </cell>
          <cell r="AH48">
            <v>0</v>
          </cell>
          <cell r="AI48">
            <v>65</v>
          </cell>
          <cell r="AK48">
            <v>0</v>
          </cell>
          <cell r="AL48">
            <v>11</v>
          </cell>
        </row>
        <row r="49">
          <cell r="AA49">
            <v>48</v>
          </cell>
          <cell r="AB49">
            <v>62</v>
          </cell>
          <cell r="AC49" t="str">
            <v>Zinc supplementation</v>
          </cell>
          <cell r="AD49" t="str">
            <v>Zinc supplementation</v>
          </cell>
          <cell r="AE49">
            <v>0</v>
          </cell>
          <cell r="AF49">
            <v>-534</v>
          </cell>
          <cell r="AH49">
            <v>0</v>
          </cell>
          <cell r="AI49">
            <v>640</v>
          </cell>
          <cell r="AK49">
            <v>0</v>
          </cell>
          <cell r="AL49">
            <v>77</v>
          </cell>
        </row>
        <row r="50">
          <cell r="AA50">
            <v>49</v>
          </cell>
          <cell r="AB50">
            <v>73</v>
          </cell>
          <cell r="AC50" t="str">
            <v>Basic sanitation</v>
          </cell>
          <cell r="AD50" t="str">
            <v>Basic sanitation</v>
          </cell>
          <cell r="AE50">
            <v>0</v>
          </cell>
          <cell r="AF50">
            <v>0</v>
          </cell>
          <cell r="AH50">
            <v>0</v>
          </cell>
          <cell r="AI50">
            <v>0</v>
          </cell>
          <cell r="AK50">
            <v>0</v>
          </cell>
          <cell r="AL50">
            <v>0</v>
          </cell>
        </row>
        <row r="51">
          <cell r="AA51">
            <v>50</v>
          </cell>
          <cell r="AB51">
            <v>74</v>
          </cell>
          <cell r="AC51" t="str">
            <v>Point-of-use filtered water</v>
          </cell>
          <cell r="AD51" t="str">
            <v>Point-of-use filtered water</v>
          </cell>
          <cell r="AE51">
            <v>0</v>
          </cell>
          <cell r="AF51">
            <v>0</v>
          </cell>
          <cell r="AH51">
            <v>0</v>
          </cell>
          <cell r="AI51">
            <v>0</v>
          </cell>
          <cell r="AK51">
            <v>0</v>
          </cell>
          <cell r="AL51">
            <v>0</v>
          </cell>
        </row>
        <row r="52">
          <cell r="AA52">
            <v>51</v>
          </cell>
          <cell r="AB52">
            <v>75</v>
          </cell>
          <cell r="AC52" t="str">
            <v>Piped water</v>
          </cell>
          <cell r="AD52" t="str">
            <v>Piped water</v>
          </cell>
          <cell r="AE52">
            <v>0</v>
          </cell>
          <cell r="AF52">
            <v>0</v>
          </cell>
          <cell r="AH52">
            <v>0</v>
          </cell>
          <cell r="AI52">
            <v>0</v>
          </cell>
          <cell r="AK52">
            <v>0</v>
          </cell>
          <cell r="AL52">
            <v>0</v>
          </cell>
        </row>
        <row r="53">
          <cell r="AA53">
            <v>52</v>
          </cell>
          <cell r="AB53">
            <v>76</v>
          </cell>
          <cell r="AC53" t="str">
            <v>Hand washing with soap</v>
          </cell>
          <cell r="AD53" t="str">
            <v>Hand washing with soap</v>
          </cell>
          <cell r="AE53">
            <v>0</v>
          </cell>
          <cell r="AF53">
            <v>0</v>
          </cell>
          <cell r="AH53">
            <v>0</v>
          </cell>
          <cell r="AI53">
            <v>0</v>
          </cell>
          <cell r="AK53">
            <v>0</v>
          </cell>
          <cell r="AL53">
            <v>0</v>
          </cell>
        </row>
        <row r="54">
          <cell r="AA54">
            <v>53</v>
          </cell>
          <cell r="AB54">
            <v>77</v>
          </cell>
          <cell r="AC54" t="str">
            <v>Hygienic disposal of children's stools</v>
          </cell>
          <cell r="AD54" t="str">
            <v>Hygienic disposal of children's stools</v>
          </cell>
          <cell r="AE54">
            <v>0</v>
          </cell>
          <cell r="AF54">
            <v>0</v>
          </cell>
          <cell r="AH54">
            <v>0</v>
          </cell>
          <cell r="AI54">
            <v>0</v>
          </cell>
          <cell r="AK54">
            <v>0</v>
          </cell>
          <cell r="AL54">
            <v>0</v>
          </cell>
        </row>
        <row r="55">
          <cell r="AA55">
            <v>54</v>
          </cell>
          <cell r="AB55">
            <v>71</v>
          </cell>
          <cell r="AC55" t="str">
            <v>ITN/IRS - Households protected from malaria</v>
          </cell>
          <cell r="AD55" t="str">
            <v>ITN/IRS - Households protected from malaria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</row>
        <row r="56">
          <cell r="AA56">
            <v>55</v>
          </cell>
          <cell r="AB56">
            <v>51</v>
          </cell>
          <cell r="AC56" t="str">
            <v>BCG - Single dose</v>
          </cell>
          <cell r="AD56" t="str">
            <v>BCG vaccine</v>
          </cell>
          <cell r="AE56">
            <v>0</v>
          </cell>
          <cell r="AF56">
            <v>0</v>
          </cell>
          <cell r="AH56">
            <v>0</v>
          </cell>
          <cell r="AI56">
            <v>0</v>
          </cell>
          <cell r="AK56">
            <v>0</v>
          </cell>
          <cell r="AL56">
            <v>0</v>
          </cell>
        </row>
        <row r="57">
          <cell r="AA57">
            <v>56</v>
          </cell>
          <cell r="AB57">
            <v>52</v>
          </cell>
          <cell r="AC57" t="str">
            <v>Polio - Three doses</v>
          </cell>
          <cell r="AD57" t="str">
            <v>Polio vaccine</v>
          </cell>
          <cell r="AE57">
            <v>0</v>
          </cell>
          <cell r="AF57">
            <v>0</v>
          </cell>
          <cell r="AH57">
            <v>0</v>
          </cell>
          <cell r="AI57">
            <v>0</v>
          </cell>
          <cell r="AK57">
            <v>0</v>
          </cell>
          <cell r="AL57">
            <v>0</v>
          </cell>
        </row>
        <row r="58">
          <cell r="AA58">
            <v>57</v>
          </cell>
          <cell r="AB58">
            <v>53</v>
          </cell>
          <cell r="AC58" t="str">
            <v>DPT - Three doses</v>
          </cell>
          <cell r="AD58" t="str">
            <v>DPT vaccine</v>
          </cell>
          <cell r="AE58">
            <v>0</v>
          </cell>
          <cell r="AF58">
            <v>-59</v>
          </cell>
          <cell r="AH58">
            <v>0</v>
          </cell>
          <cell r="AI58">
            <v>62</v>
          </cell>
          <cell r="AK58">
            <v>0</v>
          </cell>
          <cell r="AL58">
            <v>-68</v>
          </cell>
        </row>
        <row r="59">
          <cell r="AA59">
            <v>58</v>
          </cell>
          <cell r="AB59">
            <v>54</v>
          </cell>
          <cell r="AC59" t="str">
            <v>Hib - Three doses</v>
          </cell>
          <cell r="AD59" t="str">
            <v>H. influenzae b vaccine</v>
          </cell>
          <cell r="AE59">
            <v>0</v>
          </cell>
          <cell r="AF59">
            <v>-181</v>
          </cell>
          <cell r="AH59">
            <v>0</v>
          </cell>
          <cell r="AI59">
            <v>218</v>
          </cell>
          <cell r="AK59">
            <v>0</v>
          </cell>
          <cell r="AL59">
            <v>-313</v>
          </cell>
        </row>
        <row r="60">
          <cell r="AA60">
            <v>59</v>
          </cell>
          <cell r="AB60">
            <v>55</v>
          </cell>
          <cell r="AC60" t="str">
            <v>HepB - Three doses</v>
          </cell>
          <cell r="AD60" t="str">
            <v>HepB vaccine</v>
          </cell>
          <cell r="AE60">
            <v>0</v>
          </cell>
          <cell r="AF60">
            <v>0</v>
          </cell>
          <cell r="AH60">
            <v>0</v>
          </cell>
          <cell r="AI60">
            <v>0</v>
          </cell>
          <cell r="AK60">
            <v>0</v>
          </cell>
          <cell r="AL60">
            <v>0</v>
          </cell>
        </row>
        <row r="61">
          <cell r="AA61">
            <v>60</v>
          </cell>
          <cell r="AB61">
            <v>56</v>
          </cell>
          <cell r="AC61" t="str">
            <v>Pneumococcal - Three doses</v>
          </cell>
          <cell r="AD61" t="str">
            <v>Pneumococcal vaccine</v>
          </cell>
          <cell r="AE61">
            <v>0</v>
          </cell>
          <cell r="AF61">
            <v>-161</v>
          </cell>
          <cell r="AH61">
            <v>0</v>
          </cell>
          <cell r="AI61">
            <v>173</v>
          </cell>
          <cell r="AK61">
            <v>0</v>
          </cell>
          <cell r="AL61">
            <v>-119</v>
          </cell>
        </row>
        <row r="62">
          <cell r="AA62">
            <v>61</v>
          </cell>
          <cell r="AB62">
            <v>57</v>
          </cell>
          <cell r="AC62" t="str">
            <v>Rotavirus - Two doses</v>
          </cell>
          <cell r="AD62" t="str">
            <v>Rotavirus vaccine</v>
          </cell>
          <cell r="AE62">
            <v>0</v>
          </cell>
          <cell r="AF62">
            <v>39</v>
          </cell>
          <cell r="AH62">
            <v>0</v>
          </cell>
          <cell r="AI62">
            <v>63</v>
          </cell>
          <cell r="AK62">
            <v>0</v>
          </cell>
          <cell r="AL62">
            <v>154</v>
          </cell>
        </row>
        <row r="63">
          <cell r="AA63">
            <v>62</v>
          </cell>
          <cell r="AB63">
            <v>58</v>
          </cell>
          <cell r="AC63" t="str">
            <v>Meningococcal A - Single dose</v>
          </cell>
          <cell r="AD63" t="str">
            <v>Meningococcal A</v>
          </cell>
          <cell r="AE63">
            <v>0</v>
          </cell>
          <cell r="AF63">
            <v>0</v>
          </cell>
          <cell r="AH63">
            <v>0</v>
          </cell>
          <cell r="AI63">
            <v>0</v>
          </cell>
          <cell r="AK63">
            <v>0</v>
          </cell>
          <cell r="AL63">
            <v>0</v>
          </cell>
        </row>
        <row r="64">
          <cell r="AA64">
            <v>63</v>
          </cell>
          <cell r="AB64">
            <v>59</v>
          </cell>
          <cell r="AC64" t="str">
            <v>Malaria vaccine - Three doses</v>
          </cell>
          <cell r="AD64" t="str">
            <v>Malaria vaccine</v>
          </cell>
          <cell r="AE64">
            <v>0</v>
          </cell>
          <cell r="AF64">
            <v>0</v>
          </cell>
          <cell r="AH64">
            <v>0</v>
          </cell>
          <cell r="AI64">
            <v>0</v>
          </cell>
          <cell r="AK64">
            <v>0</v>
          </cell>
          <cell r="AL64">
            <v>0</v>
          </cell>
        </row>
        <row r="65">
          <cell r="AA65">
            <v>64</v>
          </cell>
          <cell r="AB65">
            <v>60</v>
          </cell>
          <cell r="AC65" t="str">
            <v>Measles - Single dose</v>
          </cell>
          <cell r="AD65" t="str">
            <v>Measles vaccine</v>
          </cell>
          <cell r="AE65">
            <v>0</v>
          </cell>
          <cell r="AF65">
            <v>-63</v>
          </cell>
          <cell r="AH65">
            <v>0</v>
          </cell>
          <cell r="AI65">
            <v>84</v>
          </cell>
          <cell r="AK65">
            <v>0</v>
          </cell>
          <cell r="AL65">
            <v>-98</v>
          </cell>
        </row>
        <row r="66">
          <cell r="AA66">
            <v>65</v>
          </cell>
          <cell r="AB66">
            <v>33</v>
          </cell>
          <cell r="AC66" t="str">
            <v>Maternal sepsis case management</v>
          </cell>
          <cell r="AD66" t="str">
            <v>Maternal sepsis case management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</row>
        <row r="67">
          <cell r="AA67" t="str">
            <v>66/67</v>
          </cell>
          <cell r="AC67" t="str">
            <v>Case management of premature babies</v>
          </cell>
          <cell r="AD67" t="str">
            <v>Case management of premature babies</v>
          </cell>
          <cell r="AE67">
            <v>0</v>
          </cell>
          <cell r="AF67">
            <v>0</v>
          </cell>
          <cell r="AH67">
            <v>0</v>
          </cell>
          <cell r="AI67">
            <v>0</v>
          </cell>
          <cell r="AK67">
            <v>0</v>
          </cell>
          <cell r="AL67">
            <v>0</v>
          </cell>
        </row>
        <row r="68">
          <cell r="AA68">
            <v>66</v>
          </cell>
          <cell r="AB68">
            <v>43</v>
          </cell>
          <cell r="AC68" t="str">
            <v>Kangaroo-Mother Care (KMC)</v>
          </cell>
          <cell r="AD68" t="str">
            <v>Kangaroo-Mother Care (KMC)</v>
          </cell>
        </row>
        <row r="69">
          <cell r="AA69">
            <v>67</v>
          </cell>
          <cell r="AB69">
            <v>44</v>
          </cell>
          <cell r="AC69" t="str">
            <v>Full supportive care of prematurity</v>
          </cell>
          <cell r="AD69" t="str">
            <v>Full supportive care of prematurity</v>
          </cell>
        </row>
        <row r="70">
          <cell r="AA70" t="str">
            <v>68/69</v>
          </cell>
          <cell r="AC70" t="str">
            <v>Case management of neonatal sepsis/pneumonia</v>
          </cell>
          <cell r="AD70" t="str">
            <v>Case management of neonatal sepsis/pneumonia</v>
          </cell>
          <cell r="AE70">
            <v>-756</v>
          </cell>
          <cell r="AF70">
            <v>-756</v>
          </cell>
          <cell r="AH70">
            <v>877</v>
          </cell>
          <cell r="AI70">
            <v>877</v>
          </cell>
          <cell r="AK70">
            <v>65</v>
          </cell>
          <cell r="AL70">
            <v>65</v>
          </cell>
        </row>
        <row r="71">
          <cell r="AA71">
            <v>68</v>
          </cell>
          <cell r="AB71">
            <v>45</v>
          </cell>
          <cell r="AC71" t="str">
            <v>Oral antibiotics for neonatal sepsis</v>
          </cell>
          <cell r="AD71" t="str">
            <v>Oral antibiotics for neonatal sepsis</v>
          </cell>
        </row>
        <row r="72">
          <cell r="AA72">
            <v>69</v>
          </cell>
          <cell r="AB72">
            <v>46</v>
          </cell>
          <cell r="AC72" t="str">
            <v>Injectable antibiotics for neonatal sepsis</v>
          </cell>
          <cell r="AD72" t="str">
            <v>Injectable antibiotics for neonatal sepsis</v>
          </cell>
        </row>
        <row r="73">
          <cell r="AA73">
            <v>70</v>
          </cell>
          <cell r="AB73">
            <v>47</v>
          </cell>
          <cell r="AC73" t="str">
            <v>Full supportive care for neonatal sepsis/pneumonia</v>
          </cell>
          <cell r="AD73" t="str">
            <v>Full supportive care for neonatal sepsis/pneumonia</v>
          </cell>
        </row>
        <row r="74">
          <cell r="AA74">
            <v>71</v>
          </cell>
          <cell r="AB74">
            <v>63</v>
          </cell>
          <cell r="AC74" t="str">
            <v>ORS - Oral Rehydration Solution</v>
          </cell>
          <cell r="AD74" t="str">
            <v>ORS - Oral Rehydration Solution</v>
          </cell>
          <cell r="AE74">
            <v>-51</v>
          </cell>
          <cell r="AF74">
            <v>-590</v>
          </cell>
          <cell r="AH74">
            <v>59</v>
          </cell>
          <cell r="AI74">
            <v>691</v>
          </cell>
          <cell r="AK74">
            <v>7</v>
          </cell>
          <cell r="AL74">
            <v>69</v>
          </cell>
        </row>
        <row r="75">
          <cell r="AA75">
            <v>72</v>
          </cell>
          <cell r="AB75">
            <v>64</v>
          </cell>
          <cell r="AC75" t="str">
            <v>Antibiotics for treatment of dysentery</v>
          </cell>
          <cell r="AD75" t="str">
            <v>Antibiotics for treatment of dysentery</v>
          </cell>
          <cell r="AE75">
            <v>-1</v>
          </cell>
          <cell r="AF75">
            <v>-8</v>
          </cell>
          <cell r="AH75">
            <v>1</v>
          </cell>
          <cell r="AI75">
            <v>9</v>
          </cell>
          <cell r="AK75">
            <v>0</v>
          </cell>
          <cell r="AL75">
            <v>1</v>
          </cell>
        </row>
        <row r="76">
          <cell r="AA76">
            <v>73</v>
          </cell>
          <cell r="AB76">
            <v>65</v>
          </cell>
          <cell r="AC76" t="str">
            <v>Zinc for treatment of diarrhea</v>
          </cell>
          <cell r="AD76" t="str">
            <v>Zinc for treatment of diarrhea</v>
          </cell>
          <cell r="AE76">
            <v>-2</v>
          </cell>
          <cell r="AF76">
            <v>-20</v>
          </cell>
          <cell r="AH76">
            <v>2</v>
          </cell>
          <cell r="AI76">
            <v>24</v>
          </cell>
          <cell r="AK76">
            <v>0</v>
          </cell>
          <cell r="AL76">
            <v>3</v>
          </cell>
        </row>
        <row r="77">
          <cell r="AA77">
            <v>74</v>
          </cell>
          <cell r="AB77">
            <v>66</v>
          </cell>
          <cell r="AC77" t="str">
            <v>Oral antibiotics for pneumonia</v>
          </cell>
          <cell r="AD77" t="str">
            <v>Oral antibiotics for pneumonia</v>
          </cell>
          <cell r="AE77">
            <v>0</v>
          </cell>
          <cell r="AF77">
            <v>-949</v>
          </cell>
          <cell r="AH77">
            <v>0</v>
          </cell>
          <cell r="AI77">
            <v>1139</v>
          </cell>
          <cell r="AK77">
            <v>0</v>
          </cell>
          <cell r="AL77">
            <v>121</v>
          </cell>
        </row>
        <row r="78">
          <cell r="AA78">
            <v>75</v>
          </cell>
          <cell r="AB78">
            <v>67</v>
          </cell>
          <cell r="AC78" t="str">
            <v>Vitamin A for treatment of measles</v>
          </cell>
          <cell r="AD78" t="str">
            <v>Vitamin A for treatment of measles</v>
          </cell>
          <cell r="AE78">
            <v>0</v>
          </cell>
          <cell r="AF78">
            <v>-274</v>
          </cell>
          <cell r="AH78">
            <v>0</v>
          </cell>
          <cell r="AI78">
            <v>350</v>
          </cell>
          <cell r="AK78">
            <v>0</v>
          </cell>
          <cell r="AL78">
            <v>40</v>
          </cell>
        </row>
        <row r="79">
          <cell r="AA79">
            <v>76</v>
          </cell>
          <cell r="AB79">
            <v>68</v>
          </cell>
          <cell r="AC79" t="str">
            <v>ACTs - Artemisinin compounds for treatment of malaria</v>
          </cell>
          <cell r="AD79" t="str">
            <v>ACTs- Artemisinin compounds for treatment of malaria</v>
          </cell>
          <cell r="AE79">
            <v>0</v>
          </cell>
          <cell r="AF79">
            <v>0</v>
          </cell>
          <cell r="AH79">
            <v>0</v>
          </cell>
          <cell r="AI79">
            <v>0</v>
          </cell>
          <cell r="AK79">
            <v>0</v>
          </cell>
          <cell r="AL79">
            <v>0</v>
          </cell>
        </row>
        <row r="80">
          <cell r="AA80">
            <v>77</v>
          </cell>
          <cell r="AB80">
            <v>69</v>
          </cell>
          <cell r="AC80" t="str">
            <v>SAM - treatment for severe acute malnutrition</v>
          </cell>
          <cell r="AD80" t="str">
            <v>SAM - treatment for severe acute malnutrition</v>
          </cell>
          <cell r="AE80">
            <v>0</v>
          </cell>
          <cell r="AF80">
            <v>-15</v>
          </cell>
          <cell r="AH80">
            <v>0</v>
          </cell>
          <cell r="AI80">
            <v>19</v>
          </cell>
          <cell r="AK80">
            <v>0</v>
          </cell>
          <cell r="AL80">
            <v>3</v>
          </cell>
        </row>
        <row r="81">
          <cell r="AD81" t="str">
            <v>Change in wasting prevalence</v>
          </cell>
          <cell r="AE81">
            <v>0</v>
          </cell>
          <cell r="AF81">
            <v>0</v>
          </cell>
          <cell r="AH81">
            <v>0</v>
          </cell>
          <cell r="AI81">
            <v>0</v>
          </cell>
          <cell r="AK81">
            <v>0</v>
          </cell>
          <cell r="AL81">
            <v>0</v>
          </cell>
        </row>
        <row r="82">
          <cell r="AA82">
            <v>78</v>
          </cell>
          <cell r="AB82">
            <v>70</v>
          </cell>
          <cell r="AC82" t="str">
            <v>MAM - treatment for moderate acute malnutrition</v>
          </cell>
          <cell r="AD82" t="str">
            <v>MAM - treatment for moderate acute malnutrition</v>
          </cell>
          <cell r="AE82">
            <v>0</v>
          </cell>
          <cell r="AF82">
            <v>0</v>
          </cell>
          <cell r="AH82">
            <v>0</v>
          </cell>
          <cell r="AI82">
            <v>0</v>
          </cell>
          <cell r="AK82">
            <v>0</v>
          </cell>
          <cell r="AL82">
            <v>0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0"/>
  <sheetViews>
    <sheetView tabSelected="1" workbookViewId="0">
      <selection activeCell="E70" sqref="E70"/>
    </sheetView>
  </sheetViews>
  <sheetFormatPr defaultColWidth="9.90625" defaultRowHeight="14.5"/>
  <cols>
    <col min="1" max="1" width="5.54296875" style="1" customWidth="1"/>
    <col min="2" max="2" width="9.1796875" style="1" customWidth="1"/>
    <col min="3" max="3" width="6.36328125" style="1" customWidth="1"/>
    <col min="4" max="4" width="16.1796875" style="1" customWidth="1"/>
    <col min="5" max="5" width="69.26953125" style="1" customWidth="1"/>
    <col min="6" max="6" width="8.7265625" style="1" customWidth="1"/>
    <col min="7" max="7" width="8" style="1" customWidth="1"/>
    <col min="8" max="8" width="8.7265625" style="1" customWidth="1"/>
    <col min="9" max="9" width="7.54296875" style="1" customWidth="1"/>
    <col min="10" max="10" width="66.81640625" style="1" customWidth="1"/>
    <col min="11" max="16384" width="9.90625" style="1"/>
  </cols>
  <sheetData>
    <row r="1" spans="1:10" ht="20">
      <c r="E1" s="9" t="s">
        <v>0</v>
      </c>
    </row>
    <row r="2" spans="1:10">
      <c r="A2" s="2" t="s">
        <v>1</v>
      </c>
      <c r="B2" s="16"/>
      <c r="C2" s="2"/>
      <c r="F2" s="3"/>
      <c r="G2" s="3"/>
      <c r="H2" s="3"/>
      <c r="I2" s="3"/>
    </row>
    <row r="3" spans="1:10" ht="31.5">
      <c r="A3" s="15" t="s">
        <v>2</v>
      </c>
      <c r="B3" s="15" t="s">
        <v>3</v>
      </c>
      <c r="C3" s="15" t="s">
        <v>4</v>
      </c>
      <c r="D3" s="10"/>
      <c r="E3" s="11"/>
      <c r="F3" s="12" t="s">
        <v>5</v>
      </c>
      <c r="G3" s="12" t="s">
        <v>6</v>
      </c>
      <c r="H3" s="12" t="s">
        <v>7</v>
      </c>
      <c r="I3" s="13" t="s">
        <v>8</v>
      </c>
    </row>
    <row r="4" spans="1:10">
      <c r="A4" s="4" t="s">
        <v>9</v>
      </c>
      <c r="B4" s="17">
        <v>0</v>
      </c>
      <c r="C4" s="17">
        <v>0</v>
      </c>
      <c r="D4" s="28" t="s">
        <v>10</v>
      </c>
      <c r="E4" s="29" t="s">
        <v>11</v>
      </c>
      <c r="F4" s="5">
        <f>IF(Chosen_Scenario="Mitigation Impact Only",VLOOKUP($C4,'[1]LiST Outputs WITH M.'!$AA$4:$AM$82,8,FALSE)+'[1]LiST Outputs WITH M.'!AH5+'[1]LiST Outputs WITH M.'!AH6,VLOOKUP($C4,'[1]LiST Outputs WITH M.'!$AA$4:$AM$82,11,FALSE)+'[1]LiST Outputs WITH M.'!AK5+'[1]LiST Outputs WITH M.'!AK6)</f>
        <v>6</v>
      </c>
      <c r="G4" s="5">
        <f>IF(Chosen_Scenario="Mitigation Impact Only",VLOOKUP($C4,'[1]LiST Outputs WITH M.'!$AA$4:$AM$82,9,FALSE)+'[1]LiST Outputs WITH M.'!AI5+'[1]LiST Outputs WITH M.'!AI6,VLOOKUP($C4,'[1]LiST Outputs WITH M.'!$AA$4:$AM$82,12,FALSE)+'[1]LiST Outputs WITH M.'!AL5+'[1]LiST Outputs WITH M.'!AL6)</f>
        <v>6</v>
      </c>
      <c r="H4" s="5">
        <f>IF(Chosen_Scenario="Mitigation Impact Only",VLOOKUP($C4,'[1]LiST Outputs WITH M.'!$AA$4:$AM$82,10,FALSE)+'[1]LiST Outputs WITH M.'!AJ5+'[1]LiST Outputs WITH M.'!AJ6,VLOOKUP($C4,'[1]LiST Outputs WITH M.'!$AA$4:$AM$82,13,FALSE)+'[1]LiST Outputs WITH M.'!AM5+'[1]LiST Outputs WITH M.'!AM6)</f>
        <v>8</v>
      </c>
      <c r="I4" s="5">
        <f t="shared" ref="I4:I39" si="0">SUM(G4:H4)</f>
        <v>14</v>
      </c>
      <c r="J4" s="14" t="s">
        <v>12</v>
      </c>
    </row>
    <row r="5" spans="1:10">
      <c r="A5" s="4" t="s">
        <v>9</v>
      </c>
      <c r="B5" s="18">
        <v>9</v>
      </c>
      <c r="C5" s="18">
        <v>14</v>
      </c>
      <c r="D5" s="30" t="s">
        <v>13</v>
      </c>
      <c r="E5" s="31" t="s">
        <v>14</v>
      </c>
      <c r="F5" s="5">
        <f>IF(Chosen_Scenario="Mitigation Impact Only",VLOOKUP($C5,'[1]LiST Outputs WITH M.'!$AA$4:$AM$82,8,FALSE),VLOOKUP($C5,'[1]LiST Outputs WITH M.'!$AA$4:$AM$82,11,FALSE))</f>
        <v>0</v>
      </c>
      <c r="G5" s="5">
        <f>IF(Chosen_Scenario="Mitigation Impact Only",VLOOKUP($C5,'[1]LiST Outputs WITH M.'!$AA$4:$AM$82,9,FALSE),VLOOKUP($C5,'[1]LiST Outputs WITH M.'!$AA$4:$AM$82,12,FALSE))</f>
        <v>0</v>
      </c>
      <c r="H5" s="5">
        <f>IF(Chosen_Scenario="Mitigation Impact Only",VLOOKUP($C5,'[1]LiST Outputs WITH M.'!$AA$4:$AM$82,10,FALSE),VLOOKUP($C5,'[1]LiST Outputs WITH M.'!$AA$4:$AM$82,13,FALSE))</f>
        <v>0</v>
      </c>
      <c r="I5" s="5">
        <f t="shared" si="0"/>
        <v>0</v>
      </c>
    </row>
    <row r="6" spans="1:10">
      <c r="A6" s="4" t="s">
        <v>9</v>
      </c>
      <c r="B6" s="18">
        <v>10</v>
      </c>
      <c r="C6" s="18">
        <v>15</v>
      </c>
      <c r="D6" s="30"/>
      <c r="E6" s="31" t="s">
        <v>15</v>
      </c>
      <c r="F6" s="5">
        <f>IF(Chosen_Scenario="Mitigation Impact Only",VLOOKUP($C6,'[1]LiST Outputs WITH M.'!$AA$4:$AM$82,8,FALSE),VLOOKUP($C6,'[1]LiST Outputs WITH M.'!$AA$4:$AM$82,11,FALSE))</f>
        <v>0</v>
      </c>
      <c r="G6" s="5">
        <f>IF(Chosen_Scenario="Mitigation Impact Only",VLOOKUP($C6,'[1]LiST Outputs WITH M.'!$AA$4:$AM$82,9,FALSE),VLOOKUP($C6,'[1]LiST Outputs WITH M.'!$AA$4:$AM$82,12,FALSE))</f>
        <v>0</v>
      </c>
      <c r="H6" s="5">
        <f>IF(Chosen_Scenario="Mitigation Impact Only",VLOOKUP($C6,'[1]LiST Outputs WITH M.'!$AA$4:$AM$82,10,FALSE),VLOOKUP($C6,'[1]LiST Outputs WITH M.'!$AA$4:$AM$82,13,FALSE))</f>
        <v>0</v>
      </c>
      <c r="I6" s="5">
        <f t="shared" si="0"/>
        <v>0</v>
      </c>
    </row>
    <row r="7" spans="1:10">
      <c r="A7" s="4" t="str">
        <f>IF(VLOOKUP(B7,'[1]1. Select Services'!$A$6:$E$77,5,FALSE)="x","x","")</f>
        <v>x</v>
      </c>
      <c r="B7" s="18">
        <v>11</v>
      </c>
      <c r="C7" s="18">
        <v>16</v>
      </c>
      <c r="D7" s="30"/>
      <c r="E7" s="31" t="s">
        <v>16</v>
      </c>
      <c r="F7" s="5">
        <f>IF(Chosen_Scenario="Mitigation Impact Only",VLOOKUP($C7,'[1]LiST Outputs WITH M.'!$AA$4:$AM$82,8,FALSE),VLOOKUP($C7,'[1]LiST Outputs WITH M.'!$AA$4:$AM$82,11,FALSE))</f>
        <v>257</v>
      </c>
      <c r="G7" s="5">
        <f>IF(Chosen_Scenario="Mitigation Impact Only",VLOOKUP($C7,'[1]LiST Outputs WITH M.'!$AA$4:$AM$82,9,FALSE),VLOOKUP($C7,'[1]LiST Outputs WITH M.'!$AA$4:$AM$82,12,FALSE))</f>
        <v>257</v>
      </c>
      <c r="H7" s="5">
        <f>IF(Chosen_Scenario="Mitigation Impact Only",VLOOKUP($C7,'[1]LiST Outputs WITH M.'!$AA$4:$AM$82,10,FALSE),VLOOKUP($C7,'[1]LiST Outputs WITH M.'!$AA$4:$AM$82,13,FALSE))</f>
        <v>1</v>
      </c>
      <c r="I7" s="5">
        <f t="shared" si="0"/>
        <v>258</v>
      </c>
    </row>
    <row r="8" spans="1:10">
      <c r="A8" s="4" t="str">
        <f>IF(VLOOKUP(B8,'[1]1. Select Services'!$A$6:$E$77,5,FALSE)="x","x","")</f>
        <v/>
      </c>
      <c r="B8" s="18">
        <v>12</v>
      </c>
      <c r="C8" s="18">
        <v>17</v>
      </c>
      <c r="D8" s="30"/>
      <c r="E8" s="31" t="s">
        <v>17</v>
      </c>
      <c r="F8" s="5">
        <f>IF(Chosen_Scenario="Mitigation Impact Only",VLOOKUP($C8,'[1]LiST Outputs WITH M.'!$AA$4:$AM$82,8,FALSE),VLOOKUP($C8,'[1]LiST Outputs WITH M.'!$AA$4:$AM$82,11,FALSE))</f>
        <v>0</v>
      </c>
      <c r="G8" s="5">
        <f>IF(Chosen_Scenario="Mitigation Impact Only",VLOOKUP($C8,'[1]LiST Outputs WITH M.'!$AA$4:$AM$82,9,FALSE),VLOOKUP($C8,'[1]LiST Outputs WITH M.'!$AA$4:$AM$82,12,FALSE))</f>
        <v>0</v>
      </c>
      <c r="H8" s="5">
        <f>IF(Chosen_Scenario="Mitigation Impact Only",VLOOKUP($C8,'[1]LiST Outputs WITH M.'!$AA$4:$AM$82,10,FALSE),VLOOKUP($C8,'[1]LiST Outputs WITH M.'!$AA$4:$AM$82,13,FALSE))</f>
        <v>0</v>
      </c>
      <c r="I8" s="5">
        <f t="shared" si="0"/>
        <v>0</v>
      </c>
    </row>
    <row r="9" spans="1:10">
      <c r="A9" s="4" t="str">
        <f>IF(VLOOKUP(B9,'[1]1. Select Services'!$A$6:$E$77,5,FALSE)="x","x","")</f>
        <v/>
      </c>
      <c r="B9" s="18">
        <v>13</v>
      </c>
      <c r="C9" s="18">
        <v>18</v>
      </c>
      <c r="D9" s="30"/>
      <c r="E9" s="31" t="s">
        <v>18</v>
      </c>
      <c r="F9" s="5">
        <f>IF(Chosen_Scenario="Mitigation Impact Only",VLOOKUP($C9,'[1]LiST Outputs WITH M.'!$AA$4:$AM$82,8,FALSE),VLOOKUP($C9,'[1]LiST Outputs WITH M.'!$AA$4:$AM$82,11,FALSE))</f>
        <v>0</v>
      </c>
      <c r="G9" s="5">
        <f>IF(Chosen_Scenario="Mitigation Impact Only",VLOOKUP($C9,'[1]LiST Outputs WITH M.'!$AA$4:$AM$82,9,FALSE),VLOOKUP($C9,'[1]LiST Outputs WITH M.'!$AA$4:$AM$82,12,FALSE))</f>
        <v>0</v>
      </c>
      <c r="H9" s="5">
        <f>IF(Chosen_Scenario="Mitigation Impact Only",VLOOKUP($C9,'[1]LiST Outputs WITH M.'!$AA$4:$AM$82,10,FALSE),VLOOKUP($C9,'[1]LiST Outputs WITH M.'!$AA$4:$AM$82,13,FALSE))</f>
        <v>0</v>
      </c>
      <c r="I9" s="5">
        <f t="shared" si="0"/>
        <v>0</v>
      </c>
    </row>
    <row r="10" spans="1:10">
      <c r="A10" s="4" t="str">
        <f>IF(VLOOKUP(B10,'[1]1. Select Services'!$A$6:$E$77,5,FALSE)="x","x","")</f>
        <v/>
      </c>
      <c r="B10" s="18">
        <v>14</v>
      </c>
      <c r="C10" s="18">
        <v>19</v>
      </c>
      <c r="D10" s="30"/>
      <c r="E10" s="31" t="s">
        <v>19</v>
      </c>
      <c r="F10" s="5">
        <f>IF(Chosen_Scenario="Mitigation Impact Only",VLOOKUP($C10,'[1]LiST Outputs WITH M.'!$AA$4:$AM$82,8,FALSE),VLOOKUP($C10,'[1]LiST Outputs WITH M.'!$AA$4:$AM$82,11,FALSE))</f>
        <v>0</v>
      </c>
      <c r="G10" s="5">
        <f>IF(Chosen_Scenario="Mitigation Impact Only",VLOOKUP($C10,'[1]LiST Outputs WITH M.'!$AA$4:$AM$82,9,FALSE),VLOOKUP($C10,'[1]LiST Outputs WITH M.'!$AA$4:$AM$82,12,FALSE))</f>
        <v>0</v>
      </c>
      <c r="H10" s="5">
        <f>IF(Chosen_Scenario="Mitigation Impact Only",VLOOKUP($C10,'[1]LiST Outputs WITH M.'!$AA$4:$AM$82,10,FALSE),VLOOKUP($C10,'[1]LiST Outputs WITH M.'!$AA$4:$AM$82,13,FALSE))</f>
        <v>0</v>
      </c>
      <c r="I10" s="5">
        <f t="shared" si="0"/>
        <v>0</v>
      </c>
    </row>
    <row r="11" spans="1:10">
      <c r="A11" s="4" t="str">
        <f>IF(VLOOKUP(B11,'[1]1. Select Services'!$A$6:$E$77,5,FALSE)="x","x","")</f>
        <v>x</v>
      </c>
      <c r="B11" s="18">
        <v>15</v>
      </c>
      <c r="C11" s="18">
        <v>20</v>
      </c>
      <c r="D11" s="30"/>
      <c r="E11" s="31" t="s">
        <v>20</v>
      </c>
      <c r="F11" s="5">
        <f>IF(Chosen_Scenario="Mitigation Impact Only",VLOOKUP($C11,'[1]LiST Outputs WITH M.'!$AA$4:$AM$82,8,FALSE),VLOOKUP($C11,'[1]LiST Outputs WITH M.'!$AA$4:$AM$82,11,FALSE))</f>
        <v>0</v>
      </c>
      <c r="G11" s="5">
        <f>IF(Chosen_Scenario="Mitigation Impact Only",VLOOKUP($C11,'[1]LiST Outputs WITH M.'!$AA$4:$AM$82,9,FALSE),VLOOKUP($C11,'[1]LiST Outputs WITH M.'!$AA$4:$AM$82,12,FALSE))</f>
        <v>0</v>
      </c>
      <c r="H11" s="5">
        <f>IF(Chosen_Scenario="Mitigation Impact Only",VLOOKUP($C11,'[1]LiST Outputs WITH M.'!$AA$4:$AM$82,10,FALSE),VLOOKUP($C11,'[1]LiST Outputs WITH M.'!$AA$4:$AM$82,13,FALSE))</f>
        <v>12</v>
      </c>
      <c r="I11" s="5">
        <f t="shared" si="0"/>
        <v>12</v>
      </c>
    </row>
    <row r="12" spans="1:10">
      <c r="A12" s="4" t="str">
        <f>IF(VLOOKUP(B12,'[1]1. Select Services'!$A$6:$E$77,5,FALSE)="x","x","")</f>
        <v/>
      </c>
      <c r="B12" s="18">
        <v>16</v>
      </c>
      <c r="C12" s="18">
        <v>21</v>
      </c>
      <c r="D12" s="30"/>
      <c r="E12" s="31" t="s">
        <v>21</v>
      </c>
      <c r="F12" s="5">
        <f>IF(Chosen_Scenario="Mitigation Impact Only",VLOOKUP($C12,'[1]LiST Outputs WITH M.'!$AA$4:$AM$82,8,FALSE),VLOOKUP($C12,'[1]LiST Outputs WITH M.'!$AA$4:$AM$82,11,FALSE))</f>
        <v>0</v>
      </c>
      <c r="G12" s="5">
        <f>IF(Chosen_Scenario="Mitigation Impact Only",VLOOKUP($C12,'[1]LiST Outputs WITH M.'!$AA$4:$AM$82,9,FALSE),VLOOKUP($C12,'[1]LiST Outputs WITH M.'!$AA$4:$AM$82,12,FALSE))</f>
        <v>0</v>
      </c>
      <c r="H12" s="5">
        <f>IF(Chosen_Scenario="Mitigation Impact Only",VLOOKUP($C12,'[1]LiST Outputs WITH M.'!$AA$4:$AM$82,10,FALSE),VLOOKUP($C12,'[1]LiST Outputs WITH M.'!$AA$4:$AM$82,13,FALSE))</f>
        <v>0</v>
      </c>
      <c r="I12" s="5">
        <f t="shared" si="0"/>
        <v>0</v>
      </c>
    </row>
    <row r="13" spans="1:10">
      <c r="A13" s="4" t="str">
        <f>IF(VLOOKUP(B13,'[1]1. Select Services'!$A$6:$E$77,5,FALSE)="x","x","")</f>
        <v/>
      </c>
      <c r="B13" s="18">
        <v>17</v>
      </c>
      <c r="C13" s="18">
        <v>22</v>
      </c>
      <c r="D13" s="30"/>
      <c r="E13" s="31" t="s">
        <v>22</v>
      </c>
      <c r="F13" s="5">
        <f>IF(Chosen_Scenario="Mitigation Impact Only",VLOOKUP($C13,'[1]LiST Outputs WITH M.'!$AA$4:$AM$82,8,FALSE),VLOOKUP($C13,'[1]LiST Outputs WITH M.'!$AA$4:$AM$82,11,FALSE))</f>
        <v>0</v>
      </c>
      <c r="G13" s="5">
        <f>IF(Chosen_Scenario="Mitigation Impact Only",VLOOKUP($C13,'[1]LiST Outputs WITH M.'!$AA$4:$AM$82,9,FALSE),VLOOKUP($C13,'[1]LiST Outputs WITH M.'!$AA$4:$AM$82,12,FALSE))</f>
        <v>0</v>
      </c>
      <c r="H13" s="5">
        <f>IF(Chosen_Scenario="Mitigation Impact Only",VLOOKUP($C13,'[1]LiST Outputs WITH M.'!$AA$4:$AM$82,10,FALSE),VLOOKUP($C13,'[1]LiST Outputs WITH M.'!$AA$4:$AM$82,13,FALSE))</f>
        <v>0</v>
      </c>
      <c r="I13" s="5">
        <f t="shared" si="0"/>
        <v>0</v>
      </c>
    </row>
    <row r="14" spans="1:10">
      <c r="A14" s="4" t="str">
        <f>IF(VLOOKUP(B14,'[1]1. Select Services'!$A$6:$E$77,5,FALSE)="x","x","")</f>
        <v/>
      </c>
      <c r="B14" s="18">
        <v>18</v>
      </c>
      <c r="C14" s="18">
        <v>23</v>
      </c>
      <c r="D14" s="30"/>
      <c r="E14" s="31" t="s">
        <v>23</v>
      </c>
      <c r="F14" s="5">
        <f>IF(Chosen_Scenario="Mitigation Impact Only",VLOOKUP($C14,'[1]LiST Outputs WITH M.'!$AA$4:$AM$82,8,FALSE),VLOOKUP($C14,'[1]LiST Outputs WITH M.'!$AA$4:$AM$82,11,FALSE))</f>
        <v>0</v>
      </c>
      <c r="G14" s="5">
        <f>IF(Chosen_Scenario="Mitigation Impact Only",VLOOKUP($C14,'[1]LiST Outputs WITH M.'!$AA$4:$AM$82,9,FALSE),VLOOKUP($C14,'[1]LiST Outputs WITH M.'!$AA$4:$AM$82,12,FALSE))</f>
        <v>0</v>
      </c>
      <c r="H14" s="5">
        <f>IF(Chosen_Scenario="Mitigation Impact Only",VLOOKUP($C14,'[1]LiST Outputs WITH M.'!$AA$4:$AM$82,10,FALSE),VLOOKUP($C14,'[1]LiST Outputs WITH M.'!$AA$4:$AM$82,13,FALSE))</f>
        <v>4</v>
      </c>
      <c r="I14" s="5">
        <f t="shared" si="0"/>
        <v>4</v>
      </c>
    </row>
    <row r="15" spans="1:10">
      <c r="A15" s="4" t="str">
        <f>IF(VLOOKUP(B15,'[1]1. Select Services'!$A$6:$E$77,5,FALSE)="x","x","")</f>
        <v/>
      </c>
      <c r="B15" s="18">
        <v>19</v>
      </c>
      <c r="C15" s="18">
        <v>24</v>
      </c>
      <c r="D15" s="30"/>
      <c r="E15" s="31" t="s">
        <v>24</v>
      </c>
      <c r="F15" s="5">
        <f>IF(Chosen_Scenario="Mitigation Impact Only",VLOOKUP($C15,'[1]LiST Outputs WITH M.'!$AA$4:$AM$82,8,FALSE),VLOOKUP($C15,'[1]LiST Outputs WITH M.'!$AA$4:$AM$82,11,FALSE))</f>
        <v>0</v>
      </c>
      <c r="G15" s="5">
        <f>IF(Chosen_Scenario="Mitigation Impact Only",VLOOKUP($C15,'[1]LiST Outputs WITH M.'!$AA$4:$AM$82,9,FALSE),VLOOKUP($C15,'[1]LiST Outputs WITH M.'!$AA$4:$AM$82,12,FALSE))</f>
        <v>0</v>
      </c>
      <c r="H15" s="5">
        <f>IF(Chosen_Scenario="Mitigation Impact Only",VLOOKUP($C15,'[1]LiST Outputs WITH M.'!$AA$4:$AM$82,10,FALSE),VLOOKUP($C15,'[1]LiST Outputs WITH M.'!$AA$4:$AM$82,13,FALSE))</f>
        <v>0</v>
      </c>
      <c r="I15" s="5">
        <f t="shared" si="0"/>
        <v>0</v>
      </c>
    </row>
    <row r="16" spans="1:10">
      <c r="A16" s="4" t="str">
        <f>IF(VLOOKUP(B16,'[1]1. Select Services'!$A$6:$E$77,5,FALSE)="x","x","")</f>
        <v>x</v>
      </c>
      <c r="B16" s="18">
        <v>20</v>
      </c>
      <c r="C16" s="18">
        <v>25</v>
      </c>
      <c r="D16" s="30"/>
      <c r="E16" s="31" t="s">
        <v>25</v>
      </c>
      <c r="F16" s="5">
        <f>IF(Chosen_Scenario="Mitigation Impact Only",VLOOKUP($C16,'[1]LiST Outputs WITH M.'!$AA$4:$AM$82,8,FALSE),VLOOKUP($C16,'[1]LiST Outputs WITH M.'!$AA$4:$AM$82,11,FALSE))</f>
        <v>0</v>
      </c>
      <c r="G16" s="5">
        <f>IF(Chosen_Scenario="Mitigation Impact Only",VLOOKUP($C16,'[1]LiST Outputs WITH M.'!$AA$4:$AM$82,9,FALSE),VLOOKUP($C16,'[1]LiST Outputs WITH M.'!$AA$4:$AM$82,12,FALSE))</f>
        <v>0</v>
      </c>
      <c r="H16" s="5">
        <f>IF(Chosen_Scenario="Mitigation Impact Only",VLOOKUP($C16,'[1]LiST Outputs WITH M.'!$AA$4:$AM$82,10,FALSE),VLOOKUP($C16,'[1]LiST Outputs WITH M.'!$AA$4:$AM$82,13,FALSE))</f>
        <v>0</v>
      </c>
      <c r="I16" s="5">
        <f t="shared" si="0"/>
        <v>0</v>
      </c>
    </row>
    <row r="17" spans="1:9">
      <c r="A17" s="4" t="str">
        <f>IF(VLOOKUP(B17,'[1]1. Select Services'!$A$6:$E$77,5,FALSE)="x","x","")</f>
        <v>x</v>
      </c>
      <c r="B17" s="18">
        <v>21</v>
      </c>
      <c r="C17" s="18">
        <v>26</v>
      </c>
      <c r="D17" s="30"/>
      <c r="E17" s="31" t="s">
        <v>26</v>
      </c>
      <c r="F17" s="5">
        <f>IF(Chosen_Scenario="Mitigation Impact Only",VLOOKUP($C17,'[1]LiST Outputs WITH M.'!$AA$4:$AM$82,8,FALSE),VLOOKUP($C17,'[1]LiST Outputs WITH M.'!$AA$4:$AM$82,11,FALSE))</f>
        <v>0</v>
      </c>
      <c r="G17" s="5">
        <f>IF(Chosen_Scenario="Mitigation Impact Only",VLOOKUP($C17,'[1]LiST Outputs WITH M.'!$AA$4:$AM$82,9,FALSE),VLOOKUP($C17,'[1]LiST Outputs WITH M.'!$AA$4:$AM$82,12,FALSE))</f>
        <v>0</v>
      </c>
      <c r="H17" s="5">
        <f>IF(Chosen_Scenario="Mitigation Impact Only",VLOOKUP($C17,'[1]LiST Outputs WITH M.'!$AA$4:$AM$82,10,FALSE),VLOOKUP($C17,'[1]LiST Outputs WITH M.'!$AA$4:$AM$82,13,FALSE))</f>
        <v>0</v>
      </c>
      <c r="I17" s="5">
        <f t="shared" si="0"/>
        <v>0</v>
      </c>
    </row>
    <row r="18" spans="1:9">
      <c r="A18" s="4" t="s">
        <v>9</v>
      </c>
      <c r="B18" s="18">
        <v>22</v>
      </c>
      <c r="C18" s="18">
        <v>27</v>
      </c>
      <c r="D18" s="32" t="s">
        <v>27</v>
      </c>
      <c r="E18" s="33" t="s">
        <v>28</v>
      </c>
      <c r="F18" s="5">
        <f>IF(Chosen_Scenario="Mitigation Impact Only",VLOOKUP($C18,'[1]LiST Outputs WITH M.'!$AA$4:$AM$82,8,FALSE),VLOOKUP($C18,'[1]LiST Outputs WITH M.'!$AA$4:$AM$82,11,FALSE))</f>
        <v>0</v>
      </c>
      <c r="G18" s="5">
        <f>IF(Chosen_Scenario="Mitigation Impact Only",VLOOKUP($C18,'[1]LiST Outputs WITH M.'!$AA$4:$AM$82,9,FALSE),VLOOKUP($C18,'[1]LiST Outputs WITH M.'!$AA$4:$AM$82,12,FALSE))</f>
        <v>0</v>
      </c>
      <c r="H18" s="5">
        <f>IF(Chosen_Scenario="Mitigation Impact Only",VLOOKUP($C18,'[1]LiST Outputs WITH M.'!$AA$4:$AM$82,10,FALSE),VLOOKUP($C18,'[1]LiST Outputs WITH M.'!$AA$4:$AM$82,13,FALSE))</f>
        <v>0</v>
      </c>
      <c r="I18" s="5">
        <f t="shared" si="0"/>
        <v>0</v>
      </c>
    </row>
    <row r="19" spans="1:9">
      <c r="A19" s="4" t="str">
        <f>IF(VLOOKUP(B19,'[1]1. Select Services'!$A$6:$E$77,5,FALSE)="x","x","")</f>
        <v>x</v>
      </c>
      <c r="B19" s="18">
        <v>23</v>
      </c>
      <c r="C19" s="18">
        <v>28</v>
      </c>
      <c r="D19" s="34"/>
      <c r="E19" s="33" t="s">
        <v>29</v>
      </c>
      <c r="F19" s="5">
        <f>IF(Chosen_Scenario="Mitigation Impact Only",VLOOKUP($C19,'[1]LiST Outputs WITH M.'!$AA$4:$AM$82,8,FALSE),VLOOKUP($C19,'[1]LiST Outputs WITH M.'!$AA$4:$AM$82,11,FALSE))</f>
        <v>190</v>
      </c>
      <c r="G19" s="5">
        <f>IF(Chosen_Scenario="Mitigation Impact Only",VLOOKUP($C19,'[1]LiST Outputs WITH M.'!$AA$4:$AM$82,9,FALSE),VLOOKUP($C19,'[1]LiST Outputs WITH M.'!$AA$4:$AM$82,12,FALSE))</f>
        <v>190</v>
      </c>
      <c r="H19" s="5">
        <f>IF(Chosen_Scenario="Mitigation Impact Only",VLOOKUP($C19,'[1]LiST Outputs WITH M.'!$AA$4:$AM$82,10,FALSE),VLOOKUP($C19,'[1]LiST Outputs WITH M.'!$AA$4:$AM$82,13,FALSE))</f>
        <v>24</v>
      </c>
      <c r="I19" s="5">
        <f t="shared" si="0"/>
        <v>214</v>
      </c>
    </row>
    <row r="20" spans="1:9">
      <c r="A20" s="4" t="str">
        <f>IF(VLOOKUP(B20,'[1]1. Select Services'!$A$6:$E$77,5,FALSE)="x","x","")</f>
        <v>x</v>
      </c>
      <c r="B20" s="18">
        <v>24</v>
      </c>
      <c r="C20" s="18">
        <v>32</v>
      </c>
      <c r="D20" s="34"/>
      <c r="E20" s="33" t="s">
        <v>30</v>
      </c>
      <c r="F20" s="5">
        <f>IF(Chosen_Scenario="Mitigation Impact Only",VLOOKUP($C20,'[1]LiST Outputs WITH M.'!$AA$4:$AM$82,8,FALSE),VLOOKUP($C20,'[1]LiST Outputs WITH M.'!$AA$4:$AM$82,11,FALSE))</f>
        <v>0</v>
      </c>
      <c r="G20" s="5">
        <f>IF(Chosen_Scenario="Mitigation Impact Only",VLOOKUP($C20,'[1]LiST Outputs WITH M.'!$AA$4:$AM$82,9,FALSE),VLOOKUP($C20,'[1]LiST Outputs WITH M.'!$AA$4:$AM$82,12,FALSE))</f>
        <v>0</v>
      </c>
      <c r="H20" s="5">
        <f>IF(Chosen_Scenario="Mitigation Impact Only",VLOOKUP($C20,'[1]LiST Outputs WITH M.'!$AA$4:$AM$82,10,FALSE),VLOOKUP($C20,'[1]LiST Outputs WITH M.'!$AA$4:$AM$82,13,FALSE))</f>
        <v>34</v>
      </c>
      <c r="I20" s="5">
        <f t="shared" si="0"/>
        <v>34</v>
      </c>
    </row>
    <row r="21" spans="1:9">
      <c r="A21" s="4" t="str">
        <f>IF(VLOOKUP(B21,'[1]1. Select Services'!$A$6:$E$77,5,FALSE)="x","x","")</f>
        <v>x</v>
      </c>
      <c r="B21" s="18">
        <v>25</v>
      </c>
      <c r="C21" s="18">
        <v>33</v>
      </c>
      <c r="D21" s="34"/>
      <c r="E21" s="33" t="s">
        <v>31</v>
      </c>
      <c r="F21" s="5">
        <f>IF(Chosen_Scenario="Mitigation Impact Only",VLOOKUP($C21,'[1]LiST Outputs WITH M.'!$AA$4:$AM$82,8,FALSE),VLOOKUP($C21,'[1]LiST Outputs WITH M.'!$AA$4:$AM$82,11,FALSE))</f>
        <v>0</v>
      </c>
      <c r="G21" s="5">
        <f>IF(Chosen_Scenario="Mitigation Impact Only",VLOOKUP($C21,'[1]LiST Outputs WITH M.'!$AA$4:$AM$82,9,FALSE),VLOOKUP($C21,'[1]LiST Outputs WITH M.'!$AA$4:$AM$82,12,FALSE))</f>
        <v>0</v>
      </c>
      <c r="H21" s="5">
        <f>IF(Chosen_Scenario="Mitigation Impact Only",VLOOKUP($C21,'[1]LiST Outputs WITH M.'!$AA$4:$AM$82,10,FALSE),VLOOKUP($C21,'[1]LiST Outputs WITH M.'!$AA$4:$AM$82,13,FALSE))</f>
        <v>57</v>
      </c>
      <c r="I21" s="5">
        <f t="shared" si="0"/>
        <v>57</v>
      </c>
    </row>
    <row r="22" spans="1:9">
      <c r="A22" s="4" t="str">
        <f>IF(VLOOKUP(B22,'[1]1. Select Services'!$A$6:$E$77,5,FALSE)="x","x","")</f>
        <v>x</v>
      </c>
      <c r="B22" s="18">
        <v>26</v>
      </c>
      <c r="C22" s="18">
        <v>34</v>
      </c>
      <c r="D22" s="34"/>
      <c r="E22" s="33" t="s">
        <v>32</v>
      </c>
      <c r="F22" s="5">
        <f>IF(Chosen_Scenario="Mitigation Impact Only",VLOOKUP($C22,'[1]LiST Outputs WITH M.'!$AA$4:$AM$82,8,FALSE),VLOOKUP($C22,'[1]LiST Outputs WITH M.'!$AA$4:$AM$82,11,FALSE))</f>
        <v>75</v>
      </c>
      <c r="G22" s="5">
        <f>IF(Chosen_Scenario="Mitigation Impact Only",VLOOKUP($C22,'[1]LiST Outputs WITH M.'!$AA$4:$AM$82,9,FALSE),VLOOKUP($C22,'[1]LiST Outputs WITH M.'!$AA$4:$AM$82,12,FALSE))</f>
        <v>75</v>
      </c>
      <c r="H22" s="5">
        <f>IF(Chosen_Scenario="Mitigation Impact Only",VLOOKUP($C22,'[1]LiST Outputs WITH M.'!$AA$4:$AM$82,10,FALSE),VLOOKUP($C22,'[1]LiST Outputs WITH M.'!$AA$4:$AM$82,13,FALSE))</f>
        <v>10</v>
      </c>
      <c r="I22" s="5">
        <f t="shared" si="0"/>
        <v>85</v>
      </c>
    </row>
    <row r="23" spans="1:9">
      <c r="A23" s="4" t="str">
        <f>IF(VLOOKUP(B23,'[1]1. Select Services'!$A$6:$E$77,5,FALSE)="x","x","")</f>
        <v/>
      </c>
      <c r="B23" s="18">
        <v>27</v>
      </c>
      <c r="C23" s="18">
        <v>35</v>
      </c>
      <c r="D23" s="34"/>
      <c r="E23" s="33" t="s">
        <v>33</v>
      </c>
      <c r="F23" s="5">
        <f>IF(Chosen_Scenario="Mitigation Impact Only",VLOOKUP($C23,'[1]LiST Outputs WITH M.'!$AA$4:$AM$82,8,FALSE),VLOOKUP($C23,'[1]LiST Outputs WITH M.'!$AA$4:$AM$82,11,FALSE))</f>
        <v>0</v>
      </c>
      <c r="G23" s="5">
        <f>IF(Chosen_Scenario="Mitigation Impact Only",VLOOKUP($C23,'[1]LiST Outputs WITH M.'!$AA$4:$AM$82,9,FALSE),VLOOKUP($C23,'[1]LiST Outputs WITH M.'!$AA$4:$AM$82,12,FALSE))</f>
        <v>0</v>
      </c>
      <c r="H23" s="5">
        <f>IF(Chosen_Scenario="Mitigation Impact Only",VLOOKUP($C23,'[1]LiST Outputs WITH M.'!$AA$4:$AM$82,10,FALSE),VLOOKUP($C23,'[1]LiST Outputs WITH M.'!$AA$4:$AM$82,13,FALSE))</f>
        <v>0</v>
      </c>
      <c r="I23" s="5">
        <f t="shared" si="0"/>
        <v>0</v>
      </c>
    </row>
    <row r="24" spans="1:9">
      <c r="A24" s="4" t="str">
        <f>IF(VLOOKUP(B24,'[1]1. Select Services'!$A$6:$E$77,5,FALSE)="x","x","")</f>
        <v>x</v>
      </c>
      <c r="B24" s="18">
        <v>28</v>
      </c>
      <c r="C24" s="18">
        <v>36</v>
      </c>
      <c r="D24" s="34"/>
      <c r="E24" s="33" t="s">
        <v>34</v>
      </c>
      <c r="F24" s="5">
        <f>IF(Chosen_Scenario="Mitigation Impact Only",VLOOKUP($C24,'[1]LiST Outputs WITH M.'!$AA$4:$AM$82,8,FALSE),VLOOKUP($C24,'[1]LiST Outputs WITH M.'!$AA$4:$AM$82,11,FALSE))</f>
        <v>109</v>
      </c>
      <c r="G24" s="5">
        <f>IF(Chosen_Scenario="Mitigation Impact Only",VLOOKUP($C24,'[1]LiST Outputs WITH M.'!$AA$4:$AM$82,9,FALSE),VLOOKUP($C24,'[1]LiST Outputs WITH M.'!$AA$4:$AM$82,12,FALSE))</f>
        <v>109</v>
      </c>
      <c r="H24" s="5">
        <f>IF(Chosen_Scenario="Mitigation Impact Only",VLOOKUP($C24,'[1]LiST Outputs WITH M.'!$AA$4:$AM$82,10,FALSE),VLOOKUP($C24,'[1]LiST Outputs WITH M.'!$AA$4:$AM$82,13,FALSE))</f>
        <v>12</v>
      </c>
      <c r="I24" s="5">
        <f t="shared" si="0"/>
        <v>121</v>
      </c>
    </row>
    <row r="25" spans="1:9">
      <c r="A25" s="4" t="s">
        <v>9</v>
      </c>
      <c r="B25" s="18">
        <v>29</v>
      </c>
      <c r="C25" s="18">
        <v>38</v>
      </c>
      <c r="D25" s="34"/>
      <c r="E25" s="33" t="s">
        <v>35</v>
      </c>
      <c r="F25" s="5">
        <f>IF(Chosen_Scenario="Mitigation Impact Only",VLOOKUP($C25,'[1]LiST Outputs WITH M.'!$AA$4:$AM$82,8,FALSE),VLOOKUP($C25,'[1]LiST Outputs WITH M.'!$AA$4:$AM$82,11,FALSE))</f>
        <v>0</v>
      </c>
      <c r="G25" s="5">
        <f>IF(Chosen_Scenario="Mitigation Impact Only",VLOOKUP($C25,'[1]LiST Outputs WITH M.'!$AA$4:$AM$82,9,FALSE),VLOOKUP($C25,'[1]LiST Outputs WITH M.'!$AA$4:$AM$82,12,FALSE))</f>
        <v>0</v>
      </c>
      <c r="H25" s="5">
        <f>IF(Chosen_Scenario="Mitigation Impact Only",VLOOKUP($C25,'[1]LiST Outputs WITH M.'!$AA$4:$AM$82,10,FALSE),VLOOKUP($C25,'[1]LiST Outputs WITH M.'!$AA$4:$AM$82,13,FALSE))</f>
        <v>295</v>
      </c>
      <c r="I25" s="5">
        <f t="shared" si="0"/>
        <v>295</v>
      </c>
    </row>
    <row r="26" spans="1:9">
      <c r="A26" s="4" t="str">
        <f>IF(VLOOKUP(B26,'[1]1. Select Services'!$A$6:$E$77,5,FALSE)="x","x","")</f>
        <v>x</v>
      </c>
      <c r="B26" s="18">
        <v>30</v>
      </c>
      <c r="C26" s="18">
        <v>39</v>
      </c>
      <c r="D26" s="34"/>
      <c r="E26" s="33" t="s">
        <v>36</v>
      </c>
      <c r="F26" s="5">
        <f>IF(Chosen_Scenario="Mitigation Impact Only",VLOOKUP($C26,'[1]LiST Outputs WITH M.'!$AA$4:$AM$82,8,FALSE),VLOOKUP($C26,'[1]LiST Outputs WITH M.'!$AA$4:$AM$82,11,FALSE))</f>
        <v>0</v>
      </c>
      <c r="G26" s="5">
        <f>IF(Chosen_Scenario="Mitigation Impact Only",VLOOKUP($C26,'[1]LiST Outputs WITH M.'!$AA$4:$AM$82,9,FALSE),VLOOKUP($C26,'[1]LiST Outputs WITH M.'!$AA$4:$AM$82,12,FALSE))</f>
        <v>0</v>
      </c>
      <c r="H26" s="5">
        <f>IF(Chosen_Scenario="Mitigation Impact Only",VLOOKUP($C26,'[1]LiST Outputs WITH M.'!$AA$4:$AM$82,10,FALSE),VLOOKUP($C26,'[1]LiST Outputs WITH M.'!$AA$4:$AM$82,13,FALSE))</f>
        <v>29</v>
      </c>
      <c r="I26" s="5">
        <f t="shared" si="0"/>
        <v>29</v>
      </c>
    </row>
    <row r="27" spans="1:9">
      <c r="A27" s="4" t="str">
        <f>IF(VLOOKUP(B27,'[1]1. Select Services'!$A$6:$E$77,5,FALSE)="x","x","")</f>
        <v>x</v>
      </c>
      <c r="B27" s="18">
        <v>31</v>
      </c>
      <c r="C27" s="18">
        <v>40</v>
      </c>
      <c r="D27" s="34"/>
      <c r="E27" s="33" t="s">
        <v>37</v>
      </c>
      <c r="F27" s="5">
        <f>IF(Chosen_Scenario="Mitigation Impact Only",VLOOKUP($C27,'[1]LiST Outputs WITH M.'!$AA$4:$AM$82,8,FALSE),VLOOKUP($C27,'[1]LiST Outputs WITH M.'!$AA$4:$AM$82,11,FALSE))</f>
        <v>0</v>
      </c>
      <c r="G27" s="5">
        <f>IF(Chosen_Scenario="Mitigation Impact Only",VLOOKUP($C27,'[1]LiST Outputs WITH M.'!$AA$4:$AM$82,9,FALSE),VLOOKUP($C27,'[1]LiST Outputs WITH M.'!$AA$4:$AM$82,12,FALSE))</f>
        <v>0</v>
      </c>
      <c r="H27" s="5">
        <f>IF(Chosen_Scenario="Mitigation Impact Only",VLOOKUP($C27,'[1]LiST Outputs WITH M.'!$AA$4:$AM$82,10,FALSE),VLOOKUP($C27,'[1]LiST Outputs WITH M.'!$AA$4:$AM$82,13,FALSE))</f>
        <v>0</v>
      </c>
      <c r="I27" s="5">
        <f t="shared" si="0"/>
        <v>0</v>
      </c>
    </row>
    <row r="28" spans="1:9">
      <c r="A28" s="4" t="str">
        <f>IF(VLOOKUP(B28,'[1]1. Select Services'!$A$6:$E$77,5,FALSE)="x","x","")</f>
        <v>x</v>
      </c>
      <c r="B28" s="18">
        <v>32</v>
      </c>
      <c r="C28" s="18">
        <v>41</v>
      </c>
      <c r="D28" s="34"/>
      <c r="E28" s="33" t="s">
        <v>38</v>
      </c>
      <c r="F28" s="5">
        <f>IF(Chosen_Scenario="Mitigation Impact Only",VLOOKUP($C28,'[1]LiST Outputs WITH M.'!$AA$4:$AM$82,8,FALSE),VLOOKUP($C28,'[1]LiST Outputs WITH M.'!$AA$4:$AM$82,11,FALSE))</f>
        <v>0</v>
      </c>
      <c r="G28" s="5">
        <f>IF(Chosen_Scenario="Mitigation Impact Only",VLOOKUP($C28,'[1]LiST Outputs WITH M.'!$AA$4:$AM$82,9,FALSE),VLOOKUP($C28,'[1]LiST Outputs WITH M.'!$AA$4:$AM$82,12,FALSE))</f>
        <v>0</v>
      </c>
      <c r="H28" s="5">
        <f>IF(Chosen_Scenario="Mitigation Impact Only",VLOOKUP($C28,'[1]LiST Outputs WITH M.'!$AA$4:$AM$82,10,FALSE),VLOOKUP($C28,'[1]LiST Outputs WITH M.'!$AA$4:$AM$82,13,FALSE))</f>
        <v>0</v>
      </c>
      <c r="I28" s="5">
        <f t="shared" si="0"/>
        <v>0</v>
      </c>
    </row>
    <row r="29" spans="1:9">
      <c r="A29" s="4" t="str">
        <f>IF(VLOOKUP(B29,'[1]1. Select Services'!$A$6:$E$77,5,FALSE)="x","x","")</f>
        <v>x</v>
      </c>
      <c r="B29" s="18">
        <v>33</v>
      </c>
      <c r="C29" s="19">
        <v>65</v>
      </c>
      <c r="D29" s="34"/>
      <c r="E29" s="33" t="s">
        <v>39</v>
      </c>
      <c r="F29" s="5">
        <f>IF(Chosen_Scenario="Mitigation Impact Only",VLOOKUP($C29,'[1]LiST Outputs WITH M.'!$AA$4:$AM$82,8,FALSE),VLOOKUP($C29,'[1]LiST Outputs WITH M.'!$AA$4:$AM$82,11,FALSE))</f>
        <v>0</v>
      </c>
      <c r="G29" s="5">
        <f>IF(Chosen_Scenario="Mitigation Impact Only",VLOOKUP($C29,'[1]LiST Outputs WITH M.'!$AA$4:$AM$82,9,FALSE),VLOOKUP($C29,'[1]LiST Outputs WITH M.'!$AA$4:$AM$82,12,FALSE))</f>
        <v>0</v>
      </c>
      <c r="H29" s="5">
        <f>IF(Chosen_Scenario="Mitigation Impact Only",VLOOKUP($C29,'[1]LiST Outputs WITH M.'!$AA$4:$AM$82,10,FALSE),VLOOKUP($C29,'[1]LiST Outputs WITH M.'!$AA$4:$AM$82,13,FALSE))</f>
        <v>0</v>
      </c>
      <c r="I29" s="5">
        <f t="shared" si="0"/>
        <v>0</v>
      </c>
    </row>
    <row r="30" spans="1:9">
      <c r="A30" s="4" t="str">
        <f>IF(VLOOKUP(B30,'[1]1. Select Services'!$A$6:$E$77,5,FALSE)="x","x","")</f>
        <v>x</v>
      </c>
      <c r="B30" s="19">
        <v>34</v>
      </c>
      <c r="C30" s="19">
        <v>10</v>
      </c>
      <c r="D30" s="34"/>
      <c r="E30" s="35" t="s">
        <v>40</v>
      </c>
      <c r="F30" s="5">
        <f>IF(Chosen_Scenario="Mitigation Impact Only",VLOOKUP($C30,'[1]LiST Outputs WITH M.'!$AA$4:$AM$82,8,FALSE),VLOOKUP($C30,'[1]LiST Outputs WITH M.'!$AA$4:$AM$82,11,FALSE))</f>
        <v>0</v>
      </c>
      <c r="G30" s="5">
        <f>IF(Chosen_Scenario="Mitigation Impact Only",VLOOKUP($C30,'[1]LiST Outputs WITH M.'!$AA$4:$AM$82,9,FALSE),VLOOKUP($C30,'[1]LiST Outputs WITH M.'!$AA$4:$AM$82,12,FALSE))</f>
        <v>0</v>
      </c>
      <c r="H30" s="5">
        <f>IF(Chosen_Scenario="Mitigation Impact Only",VLOOKUP($C30,'[1]LiST Outputs WITH M.'!$AA$4:$AM$82,10,FALSE),VLOOKUP($C30,'[1]LiST Outputs WITH M.'!$AA$4:$AM$82,13,FALSE))</f>
        <v>14</v>
      </c>
      <c r="I30" s="5">
        <f t="shared" si="0"/>
        <v>14</v>
      </c>
    </row>
    <row r="31" spans="1:9">
      <c r="A31" s="4" t="str">
        <f>IF(VLOOKUP(B31,'[1]1. Select Services'!$A$6:$E$77,5,FALSE)="x","x","")</f>
        <v>x</v>
      </c>
      <c r="B31" s="19">
        <v>35</v>
      </c>
      <c r="C31" s="19">
        <v>11</v>
      </c>
      <c r="D31" s="34"/>
      <c r="E31" s="35" t="s">
        <v>41</v>
      </c>
      <c r="F31" s="5">
        <f>IF(Chosen_Scenario="Mitigation Impact Only",VLOOKUP($C31,'[1]LiST Outputs WITH M.'!$AA$4:$AM$82,8,FALSE),VLOOKUP($C31,'[1]LiST Outputs WITH M.'!$AA$4:$AM$82,11,FALSE))</f>
        <v>0</v>
      </c>
      <c r="G31" s="5">
        <f>IF(Chosen_Scenario="Mitigation Impact Only",VLOOKUP($C31,'[1]LiST Outputs WITH M.'!$AA$4:$AM$82,9,FALSE),VLOOKUP($C31,'[1]LiST Outputs WITH M.'!$AA$4:$AM$82,12,FALSE))</f>
        <v>0</v>
      </c>
      <c r="H31" s="5">
        <f>IF(Chosen_Scenario="Mitigation Impact Only",VLOOKUP($C31,'[1]LiST Outputs WITH M.'!$AA$4:$AM$82,10,FALSE),VLOOKUP($C31,'[1]LiST Outputs WITH M.'!$AA$4:$AM$82,13,FALSE))</f>
        <v>0</v>
      </c>
      <c r="I31" s="5">
        <f t="shared" si="0"/>
        <v>0</v>
      </c>
    </row>
    <row r="32" spans="1:9">
      <c r="A32" s="4" t="str">
        <f>IF(VLOOKUP(B32,'[1]1. Select Services'!$A$6:$E$77,5,FALSE)="x","x","")</f>
        <v>x</v>
      </c>
      <c r="B32" s="19">
        <v>36</v>
      </c>
      <c r="C32" s="19">
        <v>42</v>
      </c>
      <c r="D32" s="34"/>
      <c r="E32" s="35" t="s">
        <v>42</v>
      </c>
      <c r="F32" s="5">
        <f>IF(Chosen_Scenario="Mitigation Impact Only",VLOOKUP($C32,'[1]LiST Outputs WITH M.'!$AA$4:$AM$82,8,FALSE),VLOOKUP($C32,'[1]LiST Outputs WITH M.'!$AA$4:$AM$82,11,FALSE))</f>
        <v>279</v>
      </c>
      <c r="G32" s="5">
        <f>IF(Chosen_Scenario="Mitigation Impact Only",VLOOKUP($C32,'[1]LiST Outputs WITH M.'!$AA$4:$AM$82,9,FALSE),VLOOKUP($C32,'[1]LiST Outputs WITH M.'!$AA$4:$AM$82,12,FALSE))</f>
        <v>279</v>
      </c>
      <c r="H32" s="5">
        <f>IF(Chosen_Scenario="Mitigation Impact Only",VLOOKUP($C32,'[1]LiST Outputs WITH M.'!$AA$4:$AM$82,10,FALSE),VLOOKUP($C32,'[1]LiST Outputs WITH M.'!$AA$4:$AM$82,13,FALSE))</f>
        <v>80</v>
      </c>
      <c r="I32" s="5">
        <f t="shared" si="0"/>
        <v>359</v>
      </c>
    </row>
    <row r="33" spans="1:10">
      <c r="A33" s="4" t="str">
        <f>IF(VLOOKUP(B33,'[1]1. Select Services'!$A$6:$E$77,5,FALSE)="x","x","")</f>
        <v>x</v>
      </c>
      <c r="B33" s="19">
        <v>37</v>
      </c>
      <c r="C33" s="19">
        <v>43</v>
      </c>
      <c r="D33" s="34"/>
      <c r="E33" s="35" t="s">
        <v>43</v>
      </c>
      <c r="F33" s="5">
        <f>IF(Chosen_Scenario="Mitigation Impact Only",VLOOKUP($C33,'[1]LiST Outputs WITH M.'!$AA$4:$AM$82,8,FALSE),VLOOKUP($C33,'[1]LiST Outputs WITH M.'!$AA$4:$AM$82,11,FALSE))</f>
        <v>0</v>
      </c>
      <c r="G33" s="5">
        <f>IF(Chosen_Scenario="Mitigation Impact Only",VLOOKUP($C33,'[1]LiST Outputs WITH M.'!$AA$4:$AM$82,9,FALSE),VLOOKUP($C33,'[1]LiST Outputs WITH M.'!$AA$4:$AM$82,12,FALSE))</f>
        <v>0</v>
      </c>
      <c r="H33" s="5">
        <f>IF(Chosen_Scenario="Mitigation Impact Only",VLOOKUP($C33,'[1]LiST Outputs WITH M.'!$AA$4:$AM$82,10,FALSE),VLOOKUP($C33,'[1]LiST Outputs WITH M.'!$AA$4:$AM$82,13,FALSE))</f>
        <v>0</v>
      </c>
      <c r="I33" s="5">
        <f t="shared" si="0"/>
        <v>0</v>
      </c>
    </row>
    <row r="34" spans="1:10">
      <c r="A34" s="4" t="str">
        <f>IF(VLOOKUP(B34,'[1]1. Select Services'!$A$6:$E$77,5,FALSE)="x","x","")</f>
        <v>x</v>
      </c>
      <c r="B34" s="19">
        <v>38</v>
      </c>
      <c r="C34" s="19">
        <v>12</v>
      </c>
      <c r="D34" s="36"/>
      <c r="E34" s="35" t="s">
        <v>44</v>
      </c>
      <c r="F34" s="5">
        <f>IF(Chosen_Scenario="Mitigation Impact Only",VLOOKUP($C34,'[1]LiST Outputs WITH M.'!$AA$4:$AM$82,8,FALSE),VLOOKUP($C34,'[1]LiST Outputs WITH M.'!$AA$4:$AM$82,11,FALSE))</f>
        <v>0</v>
      </c>
      <c r="G34" s="5">
        <f>IF(Chosen_Scenario="Mitigation Impact Only",VLOOKUP($C34,'[1]LiST Outputs WITH M.'!$AA$4:$AM$82,9,FALSE),VLOOKUP($C34,'[1]LiST Outputs WITH M.'!$AA$4:$AM$82,12,FALSE))</f>
        <v>0</v>
      </c>
      <c r="H34" s="5">
        <f>IF(Chosen_Scenario="Mitigation Impact Only",VLOOKUP($C34,'[1]LiST Outputs WITH M.'!$AA$4:$AM$82,10,FALSE),VLOOKUP($C34,'[1]LiST Outputs WITH M.'!$AA$4:$AM$82,13,FALSE))</f>
        <v>0</v>
      </c>
      <c r="I34" s="5">
        <f t="shared" si="0"/>
        <v>0</v>
      </c>
    </row>
    <row r="35" spans="1:10">
      <c r="A35" s="4" t="str">
        <f>IF(VLOOKUP(B35,'[1]1. Select Services'!$A$6:$E$77,5,FALSE)="x","x","")</f>
        <v>x</v>
      </c>
      <c r="B35" s="20">
        <v>39</v>
      </c>
      <c r="C35" s="19">
        <v>29</v>
      </c>
      <c r="D35" s="30" t="s">
        <v>45</v>
      </c>
      <c r="E35" s="37" t="s">
        <v>46</v>
      </c>
      <c r="F35" s="5">
        <f>IF(Chosen_Scenario="Mitigation Impact Only",VLOOKUP($C35,'[1]LiST Outputs WITH M.'!$AA$4:$AM$82,8,FALSE),VLOOKUP($C35,'[1]LiST Outputs WITH M.'!$AA$4:$AM$82,11,FALSE))</f>
        <v>213</v>
      </c>
      <c r="G35" s="5">
        <f>IF(Chosen_Scenario="Mitigation Impact Only",VLOOKUP($C35,'[1]LiST Outputs WITH M.'!$AA$4:$AM$82,9,FALSE),VLOOKUP($C35,'[1]LiST Outputs WITH M.'!$AA$4:$AM$82,12,FALSE))</f>
        <v>213</v>
      </c>
      <c r="H35" s="5">
        <f>IF(Chosen_Scenario="Mitigation Impact Only",VLOOKUP($C35,'[1]LiST Outputs WITH M.'!$AA$4:$AM$82,10,FALSE),VLOOKUP($C35,'[1]LiST Outputs WITH M.'!$AA$4:$AM$82,13,FALSE))</f>
        <v>0</v>
      </c>
      <c r="I35" s="5">
        <f t="shared" si="0"/>
        <v>213</v>
      </c>
    </row>
    <row r="36" spans="1:10">
      <c r="A36" s="4" t="str">
        <f>IF(VLOOKUP(B36,'[1]1. Select Services'!$A$6:$E$77,5,FALSE)="x","x","")</f>
        <v>x</v>
      </c>
      <c r="B36" s="20">
        <v>40</v>
      </c>
      <c r="C36" s="19">
        <v>30</v>
      </c>
      <c r="D36" s="30"/>
      <c r="E36" s="37" t="s">
        <v>47</v>
      </c>
      <c r="F36" s="5">
        <f>IF(Chosen_Scenario="Mitigation Impact Only",VLOOKUP($C36,'[1]LiST Outputs WITH M.'!$AA$4:$AM$82,8,FALSE),VLOOKUP($C36,'[1]LiST Outputs WITH M.'!$AA$4:$AM$82,11,FALSE))</f>
        <v>323</v>
      </c>
      <c r="G36" s="5">
        <f>IF(Chosen_Scenario="Mitigation Impact Only",VLOOKUP($C36,'[1]LiST Outputs WITH M.'!$AA$4:$AM$82,9,FALSE),VLOOKUP($C36,'[1]LiST Outputs WITH M.'!$AA$4:$AM$82,12,FALSE))</f>
        <v>323</v>
      </c>
      <c r="H36" s="5">
        <f>IF(Chosen_Scenario="Mitigation Impact Only",VLOOKUP($C36,'[1]LiST Outputs WITH M.'!$AA$4:$AM$82,10,FALSE),VLOOKUP($C36,'[1]LiST Outputs WITH M.'!$AA$4:$AM$82,13,FALSE))</f>
        <v>0</v>
      </c>
      <c r="I36" s="5">
        <f t="shared" si="0"/>
        <v>323</v>
      </c>
    </row>
    <row r="37" spans="1:10">
      <c r="A37" s="4" t="str">
        <f>IF(VLOOKUP(B37,'[1]1. Select Services'!$A$6:$E$77,5,FALSE)="x","x","")</f>
        <v>x</v>
      </c>
      <c r="B37" s="20">
        <v>41</v>
      </c>
      <c r="C37" s="19">
        <v>31</v>
      </c>
      <c r="D37" s="30"/>
      <c r="E37" s="37" t="s">
        <v>48</v>
      </c>
      <c r="F37" s="5">
        <f>IF(Chosen_Scenario="Mitigation Impact Only",VLOOKUP($C37,'[1]LiST Outputs WITH M.'!$AA$4:$AM$82,8,FALSE),VLOOKUP($C37,'[1]LiST Outputs WITH M.'!$AA$4:$AM$82,11,FALSE))</f>
        <v>333</v>
      </c>
      <c r="G37" s="5">
        <f>IF(Chosen_Scenario="Mitigation Impact Only",VLOOKUP($C37,'[1]LiST Outputs WITH M.'!$AA$4:$AM$82,9,FALSE),VLOOKUP($C37,'[1]LiST Outputs WITH M.'!$AA$4:$AM$82,12,FALSE))</f>
        <v>333</v>
      </c>
      <c r="H37" s="5">
        <f>IF(Chosen_Scenario="Mitigation Impact Only",VLOOKUP($C37,'[1]LiST Outputs WITH M.'!$AA$4:$AM$82,10,FALSE),VLOOKUP($C37,'[1]LiST Outputs WITH M.'!$AA$4:$AM$82,13,FALSE))</f>
        <v>0</v>
      </c>
      <c r="I37" s="5">
        <f t="shared" si="0"/>
        <v>333</v>
      </c>
    </row>
    <row r="38" spans="1:10">
      <c r="A38" s="4" t="str">
        <f>IF(VLOOKUP(B38,'[1]1. Select Services'!$A$6:$E$77,5,FALSE)="x","x","")</f>
        <v>x</v>
      </c>
      <c r="B38" s="20">
        <v>42</v>
      </c>
      <c r="C38" s="19">
        <v>37</v>
      </c>
      <c r="D38" s="30"/>
      <c r="E38" s="37" t="s">
        <v>49</v>
      </c>
      <c r="F38" s="5">
        <f>IF(Chosen_Scenario="Mitigation Impact Only",VLOOKUP($C38,'[1]LiST Outputs WITH M.'!$AA$4:$AM$82,8,FALSE),VLOOKUP($C38,'[1]LiST Outputs WITH M.'!$AA$4:$AM$82,11,FALSE))</f>
        <v>249</v>
      </c>
      <c r="G38" s="5">
        <f>IF(Chosen_Scenario="Mitigation Impact Only",VLOOKUP($C38,'[1]LiST Outputs WITH M.'!$AA$4:$AM$82,9,FALSE),VLOOKUP($C38,'[1]LiST Outputs WITH M.'!$AA$4:$AM$82,12,FALSE))</f>
        <v>249</v>
      </c>
      <c r="H38" s="5">
        <f>IF(Chosen_Scenario="Mitigation Impact Only",VLOOKUP($C38,'[1]LiST Outputs WITH M.'!$AA$4:$AM$82,10,FALSE),VLOOKUP($C38,'[1]LiST Outputs WITH M.'!$AA$4:$AM$82,13,FALSE))</f>
        <v>0</v>
      </c>
      <c r="I38" s="5">
        <f t="shared" si="0"/>
        <v>249</v>
      </c>
    </row>
    <row r="39" spans="1:10">
      <c r="A39" s="4" t="e">
        <f>IF(OR(A40="x",A41="x"),"x","")</f>
        <v>#N/A</v>
      </c>
      <c r="B39" s="20" t="s">
        <v>50</v>
      </c>
      <c r="C39" s="20" t="s">
        <v>51</v>
      </c>
      <c r="D39" s="30"/>
      <c r="E39" s="38" t="s">
        <v>52</v>
      </c>
      <c r="F39" s="5">
        <f>IF(Chosen_Scenario="Mitigation Impact Only",VLOOKUP($C39,'[1]LiST Outputs WITH M.'!$AA$4:$AM$82,8,FALSE),VLOOKUP($C39,'[1]LiST Outputs WITH M.'!$AA$4:$AM$82,11,FALSE))</f>
        <v>0</v>
      </c>
      <c r="G39" s="5">
        <f>IF(Chosen_Scenario="Mitigation Impact Only",VLOOKUP($C39,'[1]LiST Outputs WITH M.'!$AA$4:$AM$82,9,FALSE),VLOOKUP($C39,'[1]LiST Outputs WITH M.'!$AA$4:$AM$82,12,FALSE))</f>
        <v>0</v>
      </c>
      <c r="H39" s="5">
        <f>IF(Chosen_Scenario="Mitigation Impact Only",VLOOKUP($C39,'[1]LiST Outputs WITH M.'!$AA$4:$AM$82,10,FALSE),VLOOKUP($C39,'[1]LiST Outputs WITH M.'!$AA$4:$AM$82,13,FALSE))</f>
        <v>0</v>
      </c>
      <c r="I39" s="5">
        <f t="shared" si="0"/>
        <v>0</v>
      </c>
    </row>
    <row r="40" spans="1:10">
      <c r="A40" s="4" t="e">
        <f>IF(VLOOKUP(B40,'[2]1. Select Services'!$A$6:$E$77,5,FALSE)="x","x","")</f>
        <v>#N/A</v>
      </c>
      <c r="B40" s="20">
        <v>43</v>
      </c>
      <c r="C40" s="20">
        <v>66</v>
      </c>
      <c r="D40" s="30"/>
      <c r="E40" s="39" t="s">
        <v>53</v>
      </c>
      <c r="F40" s="6"/>
      <c r="G40" s="6"/>
      <c r="H40" s="6"/>
      <c r="I40" s="6"/>
      <c r="J40" s="27" t="s">
        <v>54</v>
      </c>
    </row>
    <row r="41" spans="1:10">
      <c r="A41" s="4" t="e">
        <f>IF(VLOOKUP(B41,'[2]1. Select Services'!$A$6:$E$77,5,FALSE)="x","x","")</f>
        <v>#N/A</v>
      </c>
      <c r="B41" s="20">
        <v>44</v>
      </c>
      <c r="C41" s="20">
        <v>67</v>
      </c>
      <c r="D41" s="30"/>
      <c r="E41" s="39" t="s">
        <v>55</v>
      </c>
      <c r="F41" s="6"/>
      <c r="G41" s="6"/>
      <c r="H41" s="6"/>
      <c r="I41" s="6"/>
      <c r="J41" s="27" t="s">
        <v>56</v>
      </c>
    </row>
    <row r="42" spans="1:10">
      <c r="A42" s="4" t="e">
        <f>IF(OR(A43="x",A44="x",A45="x"),"x","")</f>
        <v>#N/A</v>
      </c>
      <c r="B42" s="20" t="s">
        <v>57</v>
      </c>
      <c r="C42" s="20" t="s">
        <v>58</v>
      </c>
      <c r="D42" s="30"/>
      <c r="E42" s="38" t="s">
        <v>59</v>
      </c>
      <c r="F42" s="5">
        <f>IF(Chosen_Scenario="Mitigation Impact Only",VLOOKUP($C42,'[1]LiST Outputs WITH M.'!$AA$4:$AM$82,8,FALSE),VLOOKUP($C42,'[1]LiST Outputs WITH M.'!$AA$4:$AM$82,11,FALSE))</f>
        <v>877</v>
      </c>
      <c r="G42" s="5">
        <f>IF(Chosen_Scenario="Mitigation Impact Only",VLOOKUP($C42,'[1]LiST Outputs WITH M.'!$AA$4:$AM$82,9,FALSE),VLOOKUP($C42,'[1]LiST Outputs WITH M.'!$AA$4:$AM$82,12,FALSE))</f>
        <v>877</v>
      </c>
      <c r="H42" s="5">
        <f>IF(Chosen_Scenario="Mitigation Impact Only",VLOOKUP($C42,'[1]LiST Outputs WITH M.'!$AA$4:$AM$82,10,FALSE),VLOOKUP($C42,'[1]LiST Outputs WITH M.'!$AA$4:$AM$82,13,FALSE))</f>
        <v>0</v>
      </c>
      <c r="I42" s="5">
        <f t="shared" ref="I42:I47" si="1">SUM(G42:H42)</f>
        <v>877</v>
      </c>
    </row>
    <row r="43" spans="1:10">
      <c r="A43" s="4" t="e">
        <f>IF(VLOOKUP(B43,'[2]1. Select Services'!$A$6:$E$77,5,FALSE)="x","x","")</f>
        <v>#N/A</v>
      </c>
      <c r="B43" s="20">
        <v>45</v>
      </c>
      <c r="C43" s="20">
        <v>68</v>
      </c>
      <c r="D43" s="30"/>
      <c r="E43" s="39" t="s">
        <v>60</v>
      </c>
      <c r="F43" s="6"/>
      <c r="G43" s="6"/>
      <c r="H43" s="6"/>
      <c r="I43" s="6"/>
      <c r="J43" s="24" t="s">
        <v>61</v>
      </c>
    </row>
    <row r="44" spans="1:10">
      <c r="A44" s="4" t="e">
        <f>IF(VLOOKUP(B44,'[2]1. Select Services'!$A$6:$E$77,5,FALSE)="x","x","")</f>
        <v>#N/A</v>
      </c>
      <c r="B44" s="20">
        <v>46</v>
      </c>
      <c r="C44" s="20">
        <v>69</v>
      </c>
      <c r="D44" s="30"/>
      <c r="E44" s="39" t="s">
        <v>62</v>
      </c>
      <c r="F44" s="6"/>
      <c r="G44" s="6"/>
      <c r="H44" s="6"/>
      <c r="I44" s="6"/>
      <c r="J44" s="25"/>
    </row>
    <row r="45" spans="1:10">
      <c r="A45" s="4" t="str">
        <f>IF(VLOOKUP(B45,'[1]1. Select Services'!$A$6:$E$77,5,FALSE)="x","x","")</f>
        <v>x</v>
      </c>
      <c r="B45" s="20">
        <v>47</v>
      </c>
      <c r="C45" s="20">
        <v>70</v>
      </c>
      <c r="D45" s="30"/>
      <c r="E45" s="39" t="s">
        <v>63</v>
      </c>
      <c r="F45" s="6"/>
      <c r="G45" s="6"/>
      <c r="H45" s="6"/>
      <c r="I45" s="6"/>
      <c r="J45" s="26"/>
    </row>
    <row r="46" spans="1:10">
      <c r="A46" s="4" t="s">
        <v>9</v>
      </c>
      <c r="B46" s="21">
        <v>48</v>
      </c>
      <c r="C46" s="21">
        <v>44</v>
      </c>
      <c r="D46" s="40" t="s">
        <v>64</v>
      </c>
      <c r="E46" s="31" t="s">
        <v>64</v>
      </c>
      <c r="F46" s="5">
        <f>IF(Chosen_Scenario="Mitigation Impact Only",VLOOKUP($C46,'[1]LiST Outputs WITH M.'!$AA$4:$AM$82,8,FALSE),VLOOKUP($C46,'[1]LiST Outputs WITH M.'!$AA$4:$AM$82,11,FALSE))</f>
        <v>562</v>
      </c>
      <c r="G46" s="5">
        <f>IF(Chosen_Scenario="Mitigation Impact Only",VLOOKUP($C46,'[1]LiST Outputs WITH M.'!$AA$4:$AM$82,9,FALSE),VLOOKUP($C46,'[1]LiST Outputs WITH M.'!$AA$4:$AM$82,12,FALSE))</f>
        <v>1613</v>
      </c>
      <c r="H46" s="5">
        <f>IF(Chosen_Scenario="Mitigation Impact Only",VLOOKUP($C46,'[1]LiST Outputs WITH M.'!$AA$4:$AM$82,10,FALSE),VLOOKUP($C46,'[1]LiST Outputs WITH M.'!$AA$4:$AM$82,13,FALSE))</f>
        <v>0</v>
      </c>
      <c r="I46" s="5">
        <f t="shared" si="1"/>
        <v>1613</v>
      </c>
    </row>
    <row r="47" spans="1:10">
      <c r="A47" s="4" t="str">
        <f>IF(VLOOKUP(B47,'[1]1. Select Services'!$A$6:$E$77,5,FALSE)="x","x","")</f>
        <v>x</v>
      </c>
      <c r="B47" s="20">
        <v>49</v>
      </c>
      <c r="C47" s="20">
        <v>45</v>
      </c>
      <c r="D47" s="40"/>
      <c r="E47" s="33" t="s">
        <v>65</v>
      </c>
      <c r="F47" s="7">
        <f>IF(Chosen_Scenario="Mitigation Impact Only",SUM('[1]LiST Outputs WITH M.'!$AH$44:$AH$47),SUM('[1]LiST Outputs WITH M.'!$AK$44:$AK$47))</f>
        <v>0</v>
      </c>
      <c r="G47" s="7">
        <f>IF(Chosen_Scenario="Mitigation Impact Only",SUM('[1]LiST Outputs WITH M.'!$AI$44:$AI$47),SUM('[1]LiST Outputs WITH M.'!$AL$44:$AL$47))</f>
        <v>-10</v>
      </c>
      <c r="H47" s="7">
        <f>IF(Chosen_Scenario="Mitigation Impact Only",SUM('[1]LiST Outputs WITH M.'!$AJ$44:$AJ$47),SUM('[1]LiST Outputs WITH M.'!$AM$44:$AM$47))</f>
        <v>0</v>
      </c>
      <c r="I47" s="7">
        <f t="shared" si="1"/>
        <v>-10</v>
      </c>
      <c r="J47" s="23" t="s">
        <v>66</v>
      </c>
    </row>
    <row r="48" spans="1:10">
      <c r="A48" s="4" t="str">
        <f>IF(VLOOKUP(B48,'[1]1. Select Services'!$A$6:$E$77,5,FALSE)="x","x","")</f>
        <v>x</v>
      </c>
      <c r="B48" s="20">
        <v>50</v>
      </c>
      <c r="C48" s="20">
        <v>46</v>
      </c>
      <c r="D48" s="40"/>
      <c r="E48" s="33" t="s">
        <v>67</v>
      </c>
      <c r="F48" s="8"/>
      <c r="G48" s="8"/>
      <c r="H48" s="8"/>
      <c r="I48" s="8"/>
      <c r="J48" s="23"/>
    </row>
    <row r="49" spans="1:9" ht="14.9" customHeight="1">
      <c r="A49" s="4"/>
      <c r="B49" s="20">
        <v>51</v>
      </c>
      <c r="C49" s="20">
        <v>55</v>
      </c>
      <c r="D49" s="40" t="s">
        <v>68</v>
      </c>
      <c r="E49" s="33" t="s">
        <v>69</v>
      </c>
      <c r="F49" s="5">
        <f>IF(Chosen_Scenario="Mitigation Impact Only",VLOOKUP($C49,'[1]LiST Outputs WITH M.'!$AA$4:$AM$82,8,FALSE),VLOOKUP($C49,'[1]LiST Outputs WITH M.'!$AA$4:$AM$82,11,FALSE))</f>
        <v>0</v>
      </c>
      <c r="G49" s="5">
        <f>IF(Chosen_Scenario="Mitigation Impact Only",VLOOKUP($C49,'[1]LiST Outputs WITH M.'!$AA$4:$AM$82,9,FALSE),VLOOKUP($C49,'[1]LiST Outputs WITH M.'!$AA$4:$AM$82,12,FALSE))</f>
        <v>0</v>
      </c>
      <c r="H49" s="5">
        <f>IF(Chosen_Scenario="Mitigation Impact Only",VLOOKUP($C49,'[1]LiST Outputs WITH M.'!$AA$4:$AM$82,10,FALSE),VLOOKUP($C49,'[1]LiST Outputs WITH M.'!$AA$4:$AM$82,13,FALSE))</f>
        <v>0</v>
      </c>
      <c r="I49" s="5">
        <f t="shared" ref="I49:I70" si="2">SUM(G49:H49)</f>
        <v>0</v>
      </c>
    </row>
    <row r="50" spans="1:9">
      <c r="A50" s="4" t="str">
        <f>IF(VLOOKUP(B50,'[1]1. Select Services'!$A$6:$E$77,5,FALSE)="x","x","")</f>
        <v>x</v>
      </c>
      <c r="B50" s="20">
        <v>52</v>
      </c>
      <c r="C50" s="20">
        <v>56</v>
      </c>
      <c r="D50" s="40"/>
      <c r="E50" s="33" t="s">
        <v>70</v>
      </c>
      <c r="F50" s="5">
        <f>IF(Chosen_Scenario="Mitigation Impact Only",VLOOKUP($C50,'[1]LiST Outputs WITH M.'!$AA$4:$AM$82,8,FALSE),VLOOKUP($C50,'[1]LiST Outputs WITH M.'!$AA$4:$AM$82,11,FALSE))</f>
        <v>0</v>
      </c>
      <c r="G50" s="5">
        <f>IF(Chosen_Scenario="Mitigation Impact Only",VLOOKUP($C50,'[1]LiST Outputs WITH M.'!$AA$4:$AM$82,9,FALSE),VLOOKUP($C50,'[1]LiST Outputs WITH M.'!$AA$4:$AM$82,12,FALSE))</f>
        <v>0</v>
      </c>
      <c r="H50" s="5">
        <f>IF(Chosen_Scenario="Mitigation Impact Only",VLOOKUP($C50,'[1]LiST Outputs WITH M.'!$AA$4:$AM$82,10,FALSE),VLOOKUP($C50,'[1]LiST Outputs WITH M.'!$AA$4:$AM$82,13,FALSE))</f>
        <v>0</v>
      </c>
      <c r="I50" s="5">
        <f t="shared" si="2"/>
        <v>0</v>
      </c>
    </row>
    <row r="51" spans="1:9" ht="14.9" customHeight="1">
      <c r="A51" s="4"/>
      <c r="B51" s="20"/>
      <c r="C51" s="20"/>
      <c r="D51" s="40"/>
      <c r="E51" s="41" t="s">
        <v>71</v>
      </c>
      <c r="F51" s="5"/>
      <c r="G51" s="5"/>
      <c r="H51" s="5"/>
      <c r="I51" s="5"/>
    </row>
    <row r="52" spans="1:9">
      <c r="A52" s="4" t="str">
        <f>IF(VLOOKUP(B52,'[1]1. Select Services'!$A$6:$E$77,5,FALSE)="x","x","")</f>
        <v>x</v>
      </c>
      <c r="B52" s="20">
        <v>53</v>
      </c>
      <c r="C52" s="20">
        <v>57</v>
      </c>
      <c r="D52" s="40"/>
      <c r="E52" s="39" t="s">
        <v>72</v>
      </c>
      <c r="F52" s="5">
        <f>IF(Chosen_Scenario="Mitigation Impact Only",VLOOKUP($C52,'[1]LiST Outputs WITH M.'!$AA$4:$AM$82,8,FALSE),VLOOKUP($C52,'[1]LiST Outputs WITH M.'!$AA$4:$AM$82,11,FALSE))</f>
        <v>0</v>
      </c>
      <c r="G52" s="5">
        <f>IF(Chosen_Scenario="Mitigation Impact Only",VLOOKUP($C52,'[1]LiST Outputs WITH M.'!$AA$4:$AM$82,9,FALSE),VLOOKUP($C52,'[1]LiST Outputs WITH M.'!$AA$4:$AM$82,12,FALSE))</f>
        <v>62</v>
      </c>
      <c r="H52" s="5">
        <f>IF(Chosen_Scenario="Mitigation Impact Only",VLOOKUP($C52,'[1]LiST Outputs WITH M.'!$AA$4:$AM$82,10,FALSE),VLOOKUP($C52,'[1]LiST Outputs WITH M.'!$AA$4:$AM$82,13,FALSE))</f>
        <v>0</v>
      </c>
      <c r="I52" s="5">
        <f t="shared" si="2"/>
        <v>62</v>
      </c>
    </row>
    <row r="53" spans="1:9">
      <c r="A53" s="4" t="str">
        <f>IF(VLOOKUP(B53,'[1]1. Select Services'!$A$6:$E$77,5,FALSE)="x","x","")</f>
        <v>x</v>
      </c>
      <c r="B53" s="20">
        <v>54</v>
      </c>
      <c r="C53" s="20">
        <v>58</v>
      </c>
      <c r="D53" s="40"/>
      <c r="E53" s="39" t="s">
        <v>73</v>
      </c>
      <c r="F53" s="5">
        <f>IF(Chosen_Scenario="Mitigation Impact Only",VLOOKUP($C53,'[1]LiST Outputs WITH M.'!$AA$4:$AM$82,8,FALSE),VLOOKUP($C53,'[1]LiST Outputs WITH M.'!$AA$4:$AM$82,11,FALSE))</f>
        <v>0</v>
      </c>
      <c r="G53" s="5">
        <f>IF(Chosen_Scenario="Mitigation Impact Only",VLOOKUP($C53,'[1]LiST Outputs WITH M.'!$AA$4:$AM$82,9,FALSE),VLOOKUP($C53,'[1]LiST Outputs WITH M.'!$AA$4:$AM$82,12,FALSE))</f>
        <v>218</v>
      </c>
      <c r="H53" s="5">
        <f>IF(Chosen_Scenario="Mitigation Impact Only",VLOOKUP($C53,'[1]LiST Outputs WITH M.'!$AA$4:$AM$82,10,FALSE),VLOOKUP($C53,'[1]LiST Outputs WITH M.'!$AA$4:$AM$82,13,FALSE))</f>
        <v>0</v>
      </c>
      <c r="I53" s="5">
        <f t="shared" si="2"/>
        <v>218</v>
      </c>
    </row>
    <row r="54" spans="1:9">
      <c r="A54" s="4" t="str">
        <f>IF(VLOOKUP(B54,'[1]1. Select Services'!$A$6:$E$77,5,FALSE)="x","x","")</f>
        <v>x</v>
      </c>
      <c r="B54" s="20">
        <v>55</v>
      </c>
      <c r="C54" s="20">
        <v>59</v>
      </c>
      <c r="D54" s="40"/>
      <c r="E54" s="39" t="s">
        <v>74</v>
      </c>
      <c r="F54" s="5">
        <f>IF(Chosen_Scenario="Mitigation Impact Only",VLOOKUP($C54,'[1]LiST Outputs WITH M.'!$AA$4:$AM$82,8,FALSE),VLOOKUP($C54,'[1]LiST Outputs WITH M.'!$AA$4:$AM$82,11,FALSE))</f>
        <v>0</v>
      </c>
      <c r="G54" s="5">
        <f>IF(Chosen_Scenario="Mitigation Impact Only",VLOOKUP($C54,'[1]LiST Outputs WITH M.'!$AA$4:$AM$82,9,FALSE),VLOOKUP($C54,'[1]LiST Outputs WITH M.'!$AA$4:$AM$82,12,FALSE))</f>
        <v>0</v>
      </c>
      <c r="H54" s="5">
        <f>IF(Chosen_Scenario="Mitigation Impact Only",VLOOKUP($C54,'[1]LiST Outputs WITH M.'!$AA$4:$AM$82,10,FALSE),VLOOKUP($C54,'[1]LiST Outputs WITH M.'!$AA$4:$AM$82,13,FALSE))</f>
        <v>0</v>
      </c>
      <c r="I54" s="5">
        <f t="shared" si="2"/>
        <v>0</v>
      </c>
    </row>
    <row r="55" spans="1:9">
      <c r="A55" s="4" t="str">
        <f>IF(VLOOKUP(B55,'[1]1. Select Services'!$A$6:$E$77,5,FALSE)="x","x","")</f>
        <v>x</v>
      </c>
      <c r="B55" s="20">
        <v>56</v>
      </c>
      <c r="C55" s="20">
        <v>60</v>
      </c>
      <c r="D55" s="40"/>
      <c r="E55" s="33" t="s">
        <v>75</v>
      </c>
      <c r="F55" s="5">
        <f>IF(Chosen_Scenario="Mitigation Impact Only",VLOOKUP($C55,'[1]LiST Outputs WITH M.'!$AA$4:$AM$82,8,FALSE),VLOOKUP($C55,'[1]LiST Outputs WITH M.'!$AA$4:$AM$82,11,FALSE))</f>
        <v>0</v>
      </c>
      <c r="G55" s="5">
        <f>IF(Chosen_Scenario="Mitigation Impact Only",VLOOKUP($C55,'[1]LiST Outputs WITH M.'!$AA$4:$AM$82,9,FALSE),VLOOKUP($C55,'[1]LiST Outputs WITH M.'!$AA$4:$AM$82,12,FALSE))</f>
        <v>173</v>
      </c>
      <c r="H55" s="5">
        <f>IF(Chosen_Scenario="Mitigation Impact Only",VLOOKUP($C55,'[1]LiST Outputs WITH M.'!$AA$4:$AM$82,10,FALSE),VLOOKUP($C55,'[1]LiST Outputs WITH M.'!$AA$4:$AM$82,13,FALSE))</f>
        <v>0</v>
      </c>
      <c r="I55" s="5">
        <f t="shared" si="2"/>
        <v>173</v>
      </c>
    </row>
    <row r="56" spans="1:9">
      <c r="A56" s="4" t="str">
        <f>IF(VLOOKUP(B56,'[1]1. Select Services'!$A$6:$E$77,5,FALSE)="x","x","")</f>
        <v>x</v>
      </c>
      <c r="B56" s="20">
        <v>57</v>
      </c>
      <c r="C56" s="20">
        <v>61</v>
      </c>
      <c r="D56" s="40"/>
      <c r="E56" s="33" t="s">
        <v>76</v>
      </c>
      <c r="F56" s="5">
        <f>IF(Chosen_Scenario="Mitigation Impact Only",VLOOKUP($C56,'[1]LiST Outputs WITH M.'!$AA$4:$AM$82,8,FALSE),VLOOKUP($C56,'[1]LiST Outputs WITH M.'!$AA$4:$AM$82,11,FALSE))</f>
        <v>0</v>
      </c>
      <c r="G56" s="5">
        <f>IF(Chosen_Scenario="Mitigation Impact Only",VLOOKUP($C56,'[1]LiST Outputs WITH M.'!$AA$4:$AM$82,9,FALSE),VLOOKUP($C56,'[1]LiST Outputs WITH M.'!$AA$4:$AM$82,12,FALSE))</f>
        <v>63</v>
      </c>
      <c r="H56" s="5">
        <f>IF(Chosen_Scenario="Mitigation Impact Only",VLOOKUP($C56,'[1]LiST Outputs WITH M.'!$AA$4:$AM$82,10,FALSE),VLOOKUP($C56,'[1]LiST Outputs WITH M.'!$AA$4:$AM$82,13,FALSE))</f>
        <v>0</v>
      </c>
      <c r="I56" s="5">
        <f t="shared" si="2"/>
        <v>63</v>
      </c>
    </row>
    <row r="57" spans="1:9">
      <c r="A57" s="4" t="str">
        <f>IF(VLOOKUP(B57,'[1]1. Select Services'!$A$6:$E$77,5,FALSE)="x","x","")</f>
        <v/>
      </c>
      <c r="B57" s="20">
        <v>58</v>
      </c>
      <c r="C57" s="20">
        <v>62</v>
      </c>
      <c r="D57" s="40"/>
      <c r="E57" s="33" t="s">
        <v>77</v>
      </c>
      <c r="F57" s="5">
        <f>IF(Chosen_Scenario="Mitigation Impact Only",VLOOKUP($C57,'[1]LiST Outputs WITH M.'!$AA$4:$AM$82,8,FALSE),VLOOKUP($C57,'[1]LiST Outputs WITH M.'!$AA$4:$AM$82,11,FALSE))</f>
        <v>0</v>
      </c>
      <c r="G57" s="5">
        <f>IF(Chosen_Scenario="Mitigation Impact Only",VLOOKUP($C57,'[1]LiST Outputs WITH M.'!$AA$4:$AM$82,9,FALSE),VLOOKUP($C57,'[1]LiST Outputs WITH M.'!$AA$4:$AM$82,12,FALSE))</f>
        <v>0</v>
      </c>
      <c r="H57" s="5">
        <f>IF(Chosen_Scenario="Mitigation Impact Only",VLOOKUP($C57,'[1]LiST Outputs WITH M.'!$AA$4:$AM$82,10,FALSE),VLOOKUP($C57,'[1]LiST Outputs WITH M.'!$AA$4:$AM$82,13,FALSE))</f>
        <v>0</v>
      </c>
      <c r="I57" s="5">
        <f t="shared" si="2"/>
        <v>0</v>
      </c>
    </row>
    <row r="58" spans="1:9" ht="14.9" customHeight="1">
      <c r="A58" s="4"/>
      <c r="B58" s="20">
        <v>59</v>
      </c>
      <c r="C58" s="20">
        <v>63</v>
      </c>
      <c r="D58" s="40"/>
      <c r="E58" s="33" t="s">
        <v>78</v>
      </c>
      <c r="F58" s="5">
        <f>IF(Chosen_Scenario="Mitigation Impact Only",VLOOKUP($C58,'[1]LiST Outputs WITH M.'!$AA$4:$AM$82,8,FALSE),VLOOKUP($C58,'[1]LiST Outputs WITH M.'!$AA$4:$AM$82,11,FALSE))</f>
        <v>0</v>
      </c>
      <c r="G58" s="5">
        <f>IF(Chosen_Scenario="Mitigation Impact Only",VLOOKUP($C58,'[1]LiST Outputs WITH M.'!$AA$4:$AM$82,9,FALSE),VLOOKUP($C58,'[1]LiST Outputs WITH M.'!$AA$4:$AM$82,12,FALSE))</f>
        <v>0</v>
      </c>
      <c r="H58" s="5">
        <f>IF(Chosen_Scenario="Mitigation Impact Only",VLOOKUP($C58,'[1]LiST Outputs WITH M.'!$AA$4:$AM$82,10,FALSE),VLOOKUP($C58,'[1]LiST Outputs WITH M.'!$AA$4:$AM$82,13,FALSE))</f>
        <v>0</v>
      </c>
      <c r="I58" s="5">
        <f t="shared" si="2"/>
        <v>0</v>
      </c>
    </row>
    <row r="59" spans="1:9">
      <c r="A59" s="4" t="str">
        <f>IF(VLOOKUP(B59,'[1]1. Select Services'!$A$6:$E$77,5,FALSE)="x","x","")</f>
        <v>x</v>
      </c>
      <c r="B59" s="20">
        <v>60</v>
      </c>
      <c r="C59" s="20">
        <v>64</v>
      </c>
      <c r="D59" s="40"/>
      <c r="E59" s="33" t="s">
        <v>79</v>
      </c>
      <c r="F59" s="5">
        <f>IF(Chosen_Scenario="Mitigation Impact Only",VLOOKUP($C59,'[1]LiST Outputs WITH M.'!$AA$4:$AM$82,8,FALSE),VLOOKUP($C59,'[1]LiST Outputs WITH M.'!$AA$4:$AM$82,11,FALSE))</f>
        <v>0</v>
      </c>
      <c r="G59" s="5">
        <f>IF(Chosen_Scenario="Mitigation Impact Only",VLOOKUP($C59,'[1]LiST Outputs WITH M.'!$AA$4:$AM$82,9,FALSE),VLOOKUP($C59,'[1]LiST Outputs WITH M.'!$AA$4:$AM$82,12,FALSE))</f>
        <v>84</v>
      </c>
      <c r="H59" s="5">
        <f>IF(Chosen_Scenario="Mitigation Impact Only",VLOOKUP($C59,'[1]LiST Outputs WITH M.'!$AA$4:$AM$82,10,FALSE),VLOOKUP($C59,'[1]LiST Outputs WITH M.'!$AA$4:$AM$82,13,FALSE))</f>
        <v>0</v>
      </c>
      <c r="I59" s="5">
        <f t="shared" si="2"/>
        <v>84</v>
      </c>
    </row>
    <row r="60" spans="1:9">
      <c r="A60" s="4" t="str">
        <f>IF(VLOOKUP(B60,'[1]1. Select Services'!$A$6:$E$77,5,FALSE)="x","x","")</f>
        <v>x</v>
      </c>
      <c r="B60" s="20">
        <v>61</v>
      </c>
      <c r="C60" s="20">
        <v>47</v>
      </c>
      <c r="D60" s="40" t="s">
        <v>80</v>
      </c>
      <c r="E60" s="37" t="s">
        <v>81</v>
      </c>
      <c r="F60" s="5">
        <f>IF(Chosen_Scenario="Mitigation Impact Only",VLOOKUP($C60,'[1]LiST Outputs WITH M.'!$AA$4:$AM$82,8,FALSE),VLOOKUP($C60,'[1]LiST Outputs WITH M.'!$AA$4:$AM$82,11,FALSE))</f>
        <v>0</v>
      </c>
      <c r="G60" s="5">
        <f>IF(Chosen_Scenario="Mitigation Impact Only",VLOOKUP($C60,'[1]LiST Outputs WITH M.'!$AA$4:$AM$82,9,FALSE),VLOOKUP($C60,'[1]LiST Outputs WITH M.'!$AA$4:$AM$82,12,FALSE))</f>
        <v>0</v>
      </c>
      <c r="H60" s="5">
        <f>IF(Chosen_Scenario="Mitigation Impact Only",VLOOKUP($C60,'[1]LiST Outputs WITH M.'!$AA$4:$AM$82,10,FALSE),VLOOKUP($C60,'[1]LiST Outputs WITH M.'!$AA$4:$AM$82,13,FALSE))</f>
        <v>0</v>
      </c>
      <c r="I60" s="5">
        <f t="shared" si="2"/>
        <v>0</v>
      </c>
    </row>
    <row r="61" spans="1:9">
      <c r="A61" s="4" t="str">
        <f>IF(VLOOKUP(B61,'[1]1. Select Services'!$A$6:$E$77,5,FALSE)="x","x","")</f>
        <v>x</v>
      </c>
      <c r="B61" s="20">
        <v>62</v>
      </c>
      <c r="C61" s="20">
        <v>48</v>
      </c>
      <c r="D61" s="40"/>
      <c r="E61" s="37" t="s">
        <v>82</v>
      </c>
      <c r="F61" s="5">
        <f>IF(Chosen_Scenario="Mitigation Impact Only",VLOOKUP($C61,'[1]LiST Outputs WITH M.'!$AA$4:$AM$82,8,FALSE),VLOOKUP($C61,'[1]LiST Outputs WITH M.'!$AA$4:$AM$82,11,FALSE))</f>
        <v>0</v>
      </c>
      <c r="G61" s="5">
        <f>IF(Chosen_Scenario="Mitigation Impact Only",VLOOKUP($C61,'[1]LiST Outputs WITH M.'!$AA$4:$AM$82,9,FALSE),VLOOKUP($C61,'[1]LiST Outputs WITH M.'!$AA$4:$AM$82,12,FALSE))</f>
        <v>640</v>
      </c>
      <c r="H61" s="5">
        <f>IF(Chosen_Scenario="Mitigation Impact Only",VLOOKUP($C61,'[1]LiST Outputs WITH M.'!$AA$4:$AM$82,10,FALSE),VLOOKUP($C61,'[1]LiST Outputs WITH M.'!$AA$4:$AM$82,13,FALSE))</f>
        <v>0</v>
      </c>
      <c r="I61" s="5">
        <f t="shared" si="2"/>
        <v>640</v>
      </c>
    </row>
    <row r="62" spans="1:9">
      <c r="A62" s="4" t="str">
        <f>IF(VLOOKUP(B62,'[1]1. Select Services'!$A$6:$E$77,5,FALSE)="x","x","")</f>
        <v>x</v>
      </c>
      <c r="B62" s="20">
        <v>63</v>
      </c>
      <c r="C62" s="20">
        <v>71</v>
      </c>
      <c r="D62" s="40"/>
      <c r="E62" s="37" t="s">
        <v>83</v>
      </c>
      <c r="F62" s="5">
        <f>IF(Chosen_Scenario="Mitigation Impact Only",VLOOKUP($C62,'[1]LiST Outputs WITH M.'!$AA$4:$AM$82,8,FALSE),VLOOKUP($C62,'[1]LiST Outputs WITH M.'!$AA$4:$AM$82,11,FALSE))</f>
        <v>59</v>
      </c>
      <c r="G62" s="5">
        <f>IF(Chosen_Scenario="Mitigation Impact Only",VLOOKUP($C62,'[1]LiST Outputs WITH M.'!$AA$4:$AM$82,9,FALSE),VLOOKUP($C62,'[1]LiST Outputs WITH M.'!$AA$4:$AM$82,12,FALSE))</f>
        <v>691</v>
      </c>
      <c r="H62" s="5">
        <f>IF(Chosen_Scenario="Mitigation Impact Only",VLOOKUP($C62,'[1]LiST Outputs WITH M.'!$AA$4:$AM$82,10,FALSE),VLOOKUP($C62,'[1]LiST Outputs WITH M.'!$AA$4:$AM$82,13,FALSE))</f>
        <v>0</v>
      </c>
      <c r="I62" s="5">
        <f t="shared" si="2"/>
        <v>691</v>
      </c>
    </row>
    <row r="63" spans="1:9">
      <c r="A63" s="4" t="str">
        <f>IF(VLOOKUP(B63,'[1]1. Select Services'!$A$6:$E$77,5,FALSE)="x","x","")</f>
        <v>x</v>
      </c>
      <c r="B63" s="20">
        <v>64</v>
      </c>
      <c r="C63" s="20">
        <v>72</v>
      </c>
      <c r="D63" s="40"/>
      <c r="E63" s="37" t="s">
        <v>84</v>
      </c>
      <c r="F63" s="5">
        <f>IF(Chosen_Scenario="Mitigation Impact Only",VLOOKUP($C63,'[1]LiST Outputs WITH M.'!$AA$4:$AM$82,8,FALSE),VLOOKUP($C63,'[1]LiST Outputs WITH M.'!$AA$4:$AM$82,11,FALSE))</f>
        <v>1</v>
      </c>
      <c r="G63" s="5">
        <f>IF(Chosen_Scenario="Mitigation Impact Only",VLOOKUP($C63,'[1]LiST Outputs WITH M.'!$AA$4:$AM$82,9,FALSE),VLOOKUP($C63,'[1]LiST Outputs WITH M.'!$AA$4:$AM$82,12,FALSE))</f>
        <v>9</v>
      </c>
      <c r="H63" s="5">
        <f>IF(Chosen_Scenario="Mitigation Impact Only",VLOOKUP($C63,'[1]LiST Outputs WITH M.'!$AA$4:$AM$82,10,FALSE),VLOOKUP($C63,'[1]LiST Outputs WITH M.'!$AA$4:$AM$82,13,FALSE))</f>
        <v>0</v>
      </c>
      <c r="I63" s="5">
        <f t="shared" si="2"/>
        <v>9</v>
      </c>
    </row>
    <row r="64" spans="1:9">
      <c r="A64" s="4" t="str">
        <f>IF(VLOOKUP(B64,'[1]1. Select Services'!$A$6:$E$77,5,FALSE)="x","x","")</f>
        <v>x</v>
      </c>
      <c r="B64" s="20">
        <v>65</v>
      </c>
      <c r="C64" s="20">
        <v>73</v>
      </c>
      <c r="D64" s="40"/>
      <c r="E64" s="37" t="s">
        <v>85</v>
      </c>
      <c r="F64" s="5">
        <f>IF(Chosen_Scenario="Mitigation Impact Only",VLOOKUP($C64,'[1]LiST Outputs WITH M.'!$AA$4:$AM$82,8,FALSE),VLOOKUP($C64,'[1]LiST Outputs WITH M.'!$AA$4:$AM$82,11,FALSE))</f>
        <v>2</v>
      </c>
      <c r="G64" s="5">
        <f>IF(Chosen_Scenario="Mitigation Impact Only",VLOOKUP($C64,'[1]LiST Outputs WITH M.'!$AA$4:$AM$82,9,FALSE),VLOOKUP($C64,'[1]LiST Outputs WITH M.'!$AA$4:$AM$82,12,FALSE))</f>
        <v>24</v>
      </c>
      <c r="H64" s="5">
        <f>IF(Chosen_Scenario="Mitigation Impact Only",VLOOKUP($C64,'[1]LiST Outputs WITH M.'!$AA$4:$AM$82,10,FALSE),VLOOKUP($C64,'[1]LiST Outputs WITH M.'!$AA$4:$AM$82,13,FALSE))</f>
        <v>0</v>
      </c>
      <c r="I64" s="5">
        <f t="shared" si="2"/>
        <v>24</v>
      </c>
    </row>
    <row r="65" spans="1:10">
      <c r="A65" s="4" t="str">
        <f>IF(VLOOKUP(B65,'[1]1. Select Services'!$A$6:$E$77,5,FALSE)="x","x","")</f>
        <v>x</v>
      </c>
      <c r="B65" s="20">
        <v>66</v>
      </c>
      <c r="C65" s="20">
        <v>74</v>
      </c>
      <c r="D65" s="40"/>
      <c r="E65" s="37" t="s">
        <v>86</v>
      </c>
      <c r="F65" s="5">
        <f>IF(Chosen_Scenario="Mitigation Impact Only",VLOOKUP($C65,'[1]LiST Outputs WITH M.'!$AA$4:$AM$82,8,FALSE),VLOOKUP($C65,'[1]LiST Outputs WITH M.'!$AA$4:$AM$82,11,FALSE))</f>
        <v>0</v>
      </c>
      <c r="G65" s="5">
        <f>IF(Chosen_Scenario="Mitigation Impact Only",VLOOKUP($C65,'[1]LiST Outputs WITH M.'!$AA$4:$AM$82,9,FALSE),VLOOKUP($C65,'[1]LiST Outputs WITH M.'!$AA$4:$AM$82,12,FALSE))</f>
        <v>1139</v>
      </c>
      <c r="H65" s="5">
        <f>IF(Chosen_Scenario="Mitigation Impact Only",VLOOKUP($C65,'[1]LiST Outputs WITH M.'!$AA$4:$AM$82,10,FALSE),VLOOKUP($C65,'[1]LiST Outputs WITH M.'!$AA$4:$AM$82,13,FALSE))</f>
        <v>0</v>
      </c>
      <c r="I65" s="5">
        <f t="shared" si="2"/>
        <v>1139</v>
      </c>
    </row>
    <row r="66" spans="1:10">
      <c r="A66" s="4" t="str">
        <f>IF(VLOOKUP(B66,'[1]1. Select Services'!$A$6:$E$77,5,FALSE)="x","x","")</f>
        <v>x</v>
      </c>
      <c r="B66" s="20">
        <v>67</v>
      </c>
      <c r="C66" s="20">
        <v>75</v>
      </c>
      <c r="D66" s="40"/>
      <c r="E66" s="37" t="s">
        <v>87</v>
      </c>
      <c r="F66" s="5">
        <f>IF(Chosen_Scenario="Mitigation Impact Only",VLOOKUP($C66,'[1]LiST Outputs WITH M.'!$AA$4:$AM$82,8,FALSE),VLOOKUP($C66,'[1]LiST Outputs WITH M.'!$AA$4:$AM$82,11,FALSE))</f>
        <v>0</v>
      </c>
      <c r="G66" s="5">
        <f>IF(Chosen_Scenario="Mitigation Impact Only",VLOOKUP($C66,'[1]LiST Outputs WITH M.'!$AA$4:$AM$82,9,FALSE),VLOOKUP($C66,'[1]LiST Outputs WITH M.'!$AA$4:$AM$82,12,FALSE))</f>
        <v>350</v>
      </c>
      <c r="H66" s="5">
        <f>IF(Chosen_Scenario="Mitigation Impact Only",VLOOKUP($C66,'[1]LiST Outputs WITH M.'!$AA$4:$AM$82,10,FALSE),VLOOKUP($C66,'[1]LiST Outputs WITH M.'!$AA$4:$AM$82,13,FALSE))</f>
        <v>0</v>
      </c>
      <c r="I66" s="5">
        <f t="shared" si="2"/>
        <v>350</v>
      </c>
    </row>
    <row r="67" spans="1:10">
      <c r="A67" s="4" t="str">
        <f>IF(VLOOKUP(B67,'[1]1. Select Services'!$A$6:$E$77,5,FALSE)="x","x","")</f>
        <v/>
      </c>
      <c r="B67" s="20">
        <v>68</v>
      </c>
      <c r="C67" s="20">
        <v>76</v>
      </c>
      <c r="D67" s="40"/>
      <c r="E67" s="37" t="s">
        <v>88</v>
      </c>
      <c r="F67" s="5">
        <f>IF(Chosen_Scenario="Mitigation Impact Only",VLOOKUP($C67,'[1]LiST Outputs WITH M.'!$AA$4:$AM$82,8,FALSE),VLOOKUP($C67,'[1]LiST Outputs WITH M.'!$AA$4:$AM$82,11,FALSE))</f>
        <v>0</v>
      </c>
      <c r="G67" s="5">
        <f>IF(Chosen_Scenario="Mitigation Impact Only",VLOOKUP($C67,'[1]LiST Outputs WITH M.'!$AA$4:$AM$82,9,FALSE),VLOOKUP($C67,'[1]LiST Outputs WITH M.'!$AA$4:$AM$82,12,FALSE))</f>
        <v>0</v>
      </c>
      <c r="H67" s="5">
        <f>IF(Chosen_Scenario="Mitigation Impact Only",VLOOKUP($C67,'[1]LiST Outputs WITH M.'!$AA$4:$AM$82,10,FALSE),VLOOKUP($C67,'[1]LiST Outputs WITH M.'!$AA$4:$AM$82,13,FALSE))</f>
        <v>0</v>
      </c>
      <c r="I67" s="5">
        <f t="shared" si="2"/>
        <v>0</v>
      </c>
    </row>
    <row r="68" spans="1:10">
      <c r="A68" s="4" t="str">
        <f>IF(VLOOKUP(B68,'[1]1. Select Services'!$A$6:$E$77,5,FALSE)="x","x","")</f>
        <v>x</v>
      </c>
      <c r="B68" s="20">
        <v>69</v>
      </c>
      <c r="C68" s="20">
        <v>77</v>
      </c>
      <c r="D68" s="42" t="s">
        <v>89</v>
      </c>
      <c r="E68" s="43" t="s">
        <v>90</v>
      </c>
      <c r="F68" s="5">
        <f>VLOOKUP($C68,'[1]LiST Outputs WITH M.'!$AA$4:$AM$82,11,FALSE)+'[1]LiST Outputs WITH M.'!AH80</f>
        <v>0</v>
      </c>
      <c r="G68" s="5">
        <f>VLOOKUP($C68,'[1]LiST Outputs WITH M.'!$AA$4:$AM$82,12,FALSE)</f>
        <v>3</v>
      </c>
      <c r="H68" s="5">
        <f>VLOOKUP($C68,'[1]LiST Outputs WITH M.'!$AA$4:$AM$82,13,FALSE)</f>
        <v>0</v>
      </c>
      <c r="I68" s="5">
        <f t="shared" si="2"/>
        <v>3</v>
      </c>
      <c r="J68" s="14" t="s">
        <v>91</v>
      </c>
    </row>
    <row r="69" spans="1:10">
      <c r="A69" s="4" t="str">
        <f>IF(VLOOKUP(B69,'[1]1. Select Services'!$A$6:$E$77,5,FALSE)="x","x","")</f>
        <v>x</v>
      </c>
      <c r="B69" s="20">
        <v>70</v>
      </c>
      <c r="C69" s="20">
        <v>78</v>
      </c>
      <c r="D69" s="42"/>
      <c r="E69" s="43" t="s">
        <v>92</v>
      </c>
      <c r="F69" s="5">
        <f>VLOOKUP($C69,'[1]LiST Outputs WITH M.'!$AA$4:$AM$82,11,FALSE)</f>
        <v>0</v>
      </c>
      <c r="G69" s="5">
        <f>VLOOKUP($C69,'[1]LiST Outputs WITH M.'!$AA$4:$AM$82,12,FALSE)</f>
        <v>0</v>
      </c>
      <c r="H69" s="5">
        <f>VLOOKUP($C69,'[1]LiST Outputs WITH M.'!$AA$4:$AM$82,13,FALSE)</f>
        <v>0</v>
      </c>
      <c r="I69" s="5">
        <f t="shared" si="2"/>
        <v>0</v>
      </c>
    </row>
    <row r="70" spans="1:10">
      <c r="A70" s="4" t="str">
        <f>IF(VLOOKUP(B70,'[1]1. Select Services'!$A$6:$E$77,5,FALSE)="x","x","")</f>
        <v/>
      </c>
      <c r="B70" s="19">
        <v>71</v>
      </c>
      <c r="C70" s="20">
        <v>54</v>
      </c>
      <c r="D70" s="22"/>
      <c r="E70" s="33" t="s">
        <v>93</v>
      </c>
      <c r="F70" s="5">
        <f>VLOOKUP($C70,'[1]LiST Outputs WITH M.'!$AA$4:$AM$82,11,FALSE)</f>
        <v>0</v>
      </c>
      <c r="G70" s="5">
        <f>VLOOKUP($C70,'[1]LiST Outputs WITH M.'!$AA$4:$AM$82,12,FALSE)</f>
        <v>0</v>
      </c>
      <c r="H70" s="5">
        <f>VLOOKUP($C70,'[1]LiST Outputs WITH M.'!$AA$4:$AM$82,13,FALSE)</f>
        <v>0</v>
      </c>
      <c r="I70" s="5">
        <f t="shared" si="2"/>
        <v>0</v>
      </c>
    </row>
  </sheetData>
  <mergeCells count="13">
    <mergeCell ref="I47:I48"/>
    <mergeCell ref="J43:J45"/>
    <mergeCell ref="J47:J48"/>
    <mergeCell ref="D60:D67"/>
    <mergeCell ref="D68:D69"/>
    <mergeCell ref="F47:F48"/>
    <mergeCell ref="G47:G48"/>
    <mergeCell ref="H47:H48"/>
    <mergeCell ref="D5:D17"/>
    <mergeCell ref="D18:D34"/>
    <mergeCell ref="D35:D45"/>
    <mergeCell ref="D46:D48"/>
    <mergeCell ref="D49:D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2024-11-16T08:41:00Z</dcterms:created>
  <dcterms:modified xsi:type="dcterms:W3CDTF">2025-11-30T09:03:51Z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FABF55934A4949FF860C32796CBF8BD7_11</vt:lpwstr>
  </property>
  <property fmtid="{D5CDD505-2E9C-101B-9397-08002B2CF9AE}" pid="3" name="KSOProductBuildVer">
    <vt:lpwstr>2052-12.1.0.19302</vt:lpwstr>
  </property>
</Properties>
</file>