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/>
  <bookViews>
    <workbookView xWindow="0" yWindow="0" windowWidth="19420" windowHeight="1102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30" i="1" l="1"/>
  <c r="D30" i="1"/>
  <c r="C30" i="1"/>
  <c r="E29" i="1"/>
  <c r="D29" i="1"/>
  <c r="C29" i="1"/>
  <c r="E25" i="1"/>
  <c r="D25" i="1"/>
  <c r="C25" i="1"/>
  <c r="E24" i="1"/>
  <c r="D24" i="1"/>
  <c r="C24" i="1"/>
  <c r="E20" i="1"/>
  <c r="D20" i="1"/>
  <c r="C20" i="1"/>
  <c r="E19" i="1"/>
  <c r="D19" i="1"/>
  <c r="C19" i="1"/>
  <c r="E15" i="1"/>
  <c r="D15" i="1"/>
  <c r="C15" i="1"/>
  <c r="E14" i="1"/>
  <c r="D14" i="1"/>
  <c r="C14" i="1"/>
  <c r="E10" i="1"/>
  <c r="D10" i="1"/>
  <c r="C10" i="1"/>
  <c r="E9" i="1"/>
  <c r="D9" i="1"/>
  <c r="C9" i="1"/>
</calcChain>
</file>

<file path=xl/sharedStrings.xml><?xml version="1.0" encoding="utf-8"?>
<sst xmlns="http://schemas.openxmlformats.org/spreadsheetml/2006/main" count="31" uniqueCount="23">
  <si>
    <t>Instrument Serial Number - 3630070145</t>
  </si>
  <si>
    <t>Software Name - CellCycle</t>
  </si>
  <si>
    <t>Version Number - 2.5</t>
  </si>
  <si>
    <t>M1</t>
  </si>
  <si>
    <t>M2</t>
  </si>
  <si>
    <t>M3</t>
  </si>
  <si>
    <t xml:space="preserve"> Day 0 Control 1</t>
  </si>
  <si>
    <t xml:space="preserve"> Day 0 Control 2</t>
  </si>
  <si>
    <t xml:space="preserve"> Day 0 Control 3</t>
  </si>
  <si>
    <t>avg</t>
  </si>
  <si>
    <t>st.dev</t>
  </si>
  <si>
    <t xml:space="preserve"> Day 1 Control 1</t>
  </si>
  <si>
    <t xml:space="preserve"> Day 1 Control 2</t>
  </si>
  <si>
    <t xml:space="preserve"> Day 1 Control 3</t>
  </si>
  <si>
    <t xml:space="preserve"> Day 1 IR 1</t>
  </si>
  <si>
    <t xml:space="preserve"> Day 1 IR 2</t>
  </si>
  <si>
    <t xml:space="preserve"> Day 1 IR 3</t>
  </si>
  <si>
    <t xml:space="preserve"> Day 3 Control 1</t>
  </si>
  <si>
    <t xml:space="preserve"> Day 3 Control 2</t>
  </si>
  <si>
    <t xml:space="preserve"> Day 3 Control 3</t>
  </si>
  <si>
    <t xml:space="preserve"> Day 3 IR 1</t>
  </si>
  <si>
    <t xml:space="preserve"> Day 3 IR 2</t>
  </si>
  <si>
    <t xml:space="preserve"> Day 3 IR 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</si>
</sst>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">
    <font>
      <sz val="11"/>
      <color theme="1"/>
      <name val="Calibri"/>
      <charset val="134"/>
      <scheme val="minor"/>
    </font>
  </fonts>
  <fills count="5">
    <fill>
      <patternFill patternType="none"/>
    </fill>
    <fill>
      <patternFill patternType="gray125"/>
    </fill>
    <fill>
      <patternFill patternType="solid">
        <fgColor rgb="FF00B0F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00B05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6">
    <xf numFmtId="0" fontId="0" fillId="0" borderId="0" xfId="0">
      <alignment vertical="center"/>
    </xf>
    <xf numFmtId="0" fontId="0" fillId="0" borderId="0" xfId="0" applyFont="1" applyFill="1" applyAlignment="1"/>
    <xf numFmtId="2" fontId="0" fillId="0" borderId="0" xfId="0" applyNumberFormat="1" applyFont="1" applyFill="1" applyAlignment="1"/>
    <xf numFmtId="0" fontId="0" fillId="2" borderId="0" xfId="0" applyFont="1" applyFill="1" applyAlignment="1"/>
    <xf numFmtId="0" fontId="0" fillId="3" borderId="0" xfId="0" applyFont="1" applyFill="1" applyAlignment="1"/>
    <xf numFmtId="0" fontId="0" fillId="4" borderId="0" xfId="0" applyFont="1" applyFill="1" applyAlignment="1"/>
  </cellXfs>
  <cellStyles count="1">
    <cellStyle name="Обычный" xfId="0" builtinId="0"/>
  </cellStyles>
  <dxfs count="17">
    <dxf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ont>
        <b/>
      </font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ont>
        <color theme="1"/>
      </font>
    </dxf>
    <dxf>
      <font>
        <color theme="1"/>
      </font>
      <border>
        <bottom style="thin">
          <color theme="4" tint="0.39994506668294322"/>
        </bottom>
      </border>
    </dxf>
    <dxf>
      <font>
        <b/>
        <color theme="1"/>
      </font>
    </dxf>
    <dxf>
      <font>
        <b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5117038483843"/>
          <bgColor theme="4" tint="0.79995117038483843"/>
        </patternFill>
      </fill>
    </dxf>
    <dxf>
      <fill>
        <patternFill patternType="solid">
          <fgColor theme="4" tint="0.79995117038483843"/>
          <bgColor theme="4" tint="0.79995117038483843"/>
        </patternFill>
      </fill>
    </dxf>
    <dxf>
      <font>
        <b/>
        <color theme="1"/>
      </font>
      <fill>
        <patternFill patternType="solid">
          <fgColor theme="4" tint="0.79995117038483843"/>
          <bgColor theme="4" tint="0.79995117038483843"/>
        </patternFill>
      </fill>
      <border>
        <top style="thin">
          <color theme="4" tint="0.39994506668294322"/>
        </top>
        <bottom style="thin">
          <color theme="4" tint="0.39994506668294322"/>
        </bottom>
      </border>
    </dxf>
    <dxf>
      <font>
        <b/>
        <color theme="1"/>
      </font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ill>
        <patternFill patternType="solid">
          <fgColor theme="4" tint="0.79995117038483843"/>
          <bgColor theme="4" tint="0.79995117038483843"/>
        </patternFill>
      </fill>
    </dxf>
    <dxf>
      <fill>
        <patternFill patternType="solid">
          <fgColor theme="4" tint="0.79995117038483843"/>
          <bgColor theme="4" tint="0.79995117038483843"/>
        </patternFill>
      </fill>
    </dxf>
    <dxf>
      <font>
        <b/>
        <color theme="1"/>
      </font>
    </dxf>
    <dxf>
      <font>
        <b/>
        <color theme="1"/>
      </font>
    </dxf>
    <dxf>
      <font>
        <b/>
        <color theme="1"/>
      </font>
      <border>
        <top style="double">
          <color theme="4"/>
        </top>
      </border>
    </dxf>
    <dxf>
      <font>
        <b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4506668294322"/>
        </horizontal>
      </border>
    </dxf>
  </dxfs>
  <tableStyles count="2" defaultTableStyle="TableStylePreset3_Accent1" defaultPivotStyle="PivotStylePreset2_Accent1">
    <tableStyle name="TableStylePreset3_Accent1" pivot="0" count="7">
      <tableStyleElement type="wholeTable" dxfId="16"/>
      <tableStyleElement type="headerRow" dxfId="15"/>
      <tableStyleElement type="totalRow" dxfId="14"/>
      <tableStyleElement type="firstColumn" dxfId="13"/>
      <tableStyleElement type="lastColumn" dxfId="12"/>
      <tableStyleElement type="firstRowStripe" dxfId="11"/>
      <tableStyleElement type="firstColumnStripe" dxfId="10"/>
    </tableStyle>
    <tableStyle name="PivotStylePreset2_Accent1" table="0" count="10">
      <tableStyleElement type="headerRow" dxfId="9"/>
      <tableStyleElement type="totalRow" dxfId="8"/>
      <tableStyleElement type="firstRowStripe" dxfId="7"/>
      <tableStyleElement type="firstColumnStripe" dxfId="6"/>
      <tableStyleElement type="firstSubtotalRow" dxfId="5"/>
      <tableStyleElement type="secondSubtotalRow" dxfId="4"/>
      <tableStyleElement type="firstRowSubheading" dxfId="3"/>
      <tableStyleElement type="secondRowSubheading" dxfId="2"/>
      <tableStyleElement type="pageFieldLabels" dxfId="1"/>
      <tableStyleElement type="pageFieldValues" dxfId="0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30"/>
  <sheetViews>
    <sheetView tabSelected="1" workbookViewId="0">
      <selection activeCell="A29" sqref="A29:A30"/>
    </sheetView>
  </sheetViews>
  <sheetFormatPr defaultColWidth="8.7265625" defaultRowHeight="14.5"/>
  <cols>
    <col min="1" max="1" width="42.1796875" customWidth="1"/>
    <col min="2" max="2" width="18.54296875" customWidth="1"/>
    <col min="3" max="5" width="6.54296875" customWidth="1"/>
  </cols>
  <sheetData>
    <row r="1" spans="1:5">
      <c r="A1" s="3" t="s">
        <v>0</v>
      </c>
      <c r="B1" s="1"/>
      <c r="C1" s="1"/>
      <c r="D1" s="1"/>
      <c r="E1" s="1"/>
    </row>
    <row r="2" spans="1:5">
      <c r="A2" s="3" t="s">
        <v>1</v>
      </c>
      <c r="B2" s="1"/>
      <c r="C2" s="1"/>
      <c r="D2" s="1"/>
      <c r="E2" s="1"/>
    </row>
    <row r="3" spans="1:5">
      <c r="A3" s="3" t="s">
        <v>2</v>
      </c>
      <c r="B3" s="1"/>
      <c r="C3" s="1"/>
      <c r="D3" s="1"/>
      <c r="E3" s="1"/>
    </row>
    <row r="4" spans="1:5">
      <c r="A4" s="1"/>
      <c r="B4" s="1"/>
      <c r="C4" s="1"/>
      <c r="D4" s="1"/>
      <c r="E4" s="1"/>
    </row>
    <row r="5" spans="1:5">
      <c r="A5" s="1"/>
      <c r="B5" s="1"/>
      <c r="C5" s="4" t="s">
        <v>3</v>
      </c>
      <c r="D5" s="4" t="s">
        <v>4</v>
      </c>
      <c r="E5" s="4" t="s">
        <v>5</v>
      </c>
    </row>
    <row r="6" spans="1:5">
      <c r="A6" s="1"/>
      <c r="B6" s="5" t="s">
        <v>6</v>
      </c>
      <c r="C6" s="2">
        <v>22.22</v>
      </c>
      <c r="D6" s="2">
        <v>9.52</v>
      </c>
      <c r="E6" s="2">
        <v>61.9</v>
      </c>
    </row>
    <row r="7" spans="1:5">
      <c r="A7" s="1"/>
      <c r="B7" s="5" t="s">
        <v>7</v>
      </c>
      <c r="C7" s="2">
        <v>43.75</v>
      </c>
      <c r="D7" s="2">
        <v>18.75</v>
      </c>
      <c r="E7" s="2">
        <v>34.380000000000003</v>
      </c>
    </row>
    <row r="8" spans="1:5">
      <c r="A8" s="1"/>
      <c r="B8" s="5" t="s">
        <v>8</v>
      </c>
      <c r="C8" s="2">
        <v>49.02</v>
      </c>
      <c r="D8" s="2">
        <v>21.57</v>
      </c>
      <c r="E8" s="2">
        <v>29.41</v>
      </c>
    </row>
    <row r="9" spans="1:5">
      <c r="A9" s="5" t="s">
        <v>9</v>
      </c>
      <c r="B9" s="1"/>
      <c r="C9" s="2">
        <f>AVERAGE(C7:C8)</f>
        <v>46.384999999999998</v>
      </c>
      <c r="D9" s="2">
        <f>AVERAGE(D7:D8)</f>
        <v>20.16</v>
      </c>
      <c r="E9" s="2">
        <f>AVERAGE(E7:E8)</f>
        <v>31.895</v>
      </c>
    </row>
    <row r="10" spans="1:5">
      <c r="A10" s="5" t="s">
        <v>10</v>
      </c>
      <c r="B10" s="1"/>
      <c r="C10" s="2">
        <f>_xludf.STDEV.P(C6:C8)</f>
        <v>11.5928799988039</v>
      </c>
      <c r="D10" s="2">
        <f>_xludf.STDEV.P(D6:D8)</f>
        <v>5.1461722560451602</v>
      </c>
      <c r="E10" s="2">
        <f>_xludf.STDEV.P(E6:E8)</f>
        <v>14.289278809264299</v>
      </c>
    </row>
    <row r="11" spans="1:5">
      <c r="A11" s="1"/>
      <c r="B11" s="5" t="s">
        <v>11</v>
      </c>
      <c r="C11" s="2">
        <v>45.92</v>
      </c>
      <c r="D11" s="2">
        <v>29.18</v>
      </c>
      <c r="E11" s="2">
        <v>19.309999999999999</v>
      </c>
    </row>
    <row r="12" spans="1:5">
      <c r="A12" s="1"/>
      <c r="B12" s="5" t="s">
        <v>12</v>
      </c>
      <c r="C12" s="2">
        <v>45.42</v>
      </c>
      <c r="D12" s="2">
        <v>20.079999999999998</v>
      </c>
      <c r="E12" s="2">
        <v>33.53</v>
      </c>
    </row>
    <row r="13" spans="1:5">
      <c r="A13" s="1"/>
      <c r="B13" s="5" t="s">
        <v>13</v>
      </c>
      <c r="C13" s="2">
        <v>50.35</v>
      </c>
      <c r="D13" s="2">
        <v>23.44</v>
      </c>
      <c r="E13" s="2">
        <v>25.17</v>
      </c>
    </row>
    <row r="14" spans="1:5">
      <c r="A14" s="5" t="s">
        <v>9</v>
      </c>
      <c r="B14" s="1"/>
      <c r="C14" s="2">
        <f>AVERAGE(C11:C13)</f>
        <v>47.23</v>
      </c>
      <c r="D14" s="2">
        <f>AVERAGE(D11:D13)</f>
        <v>24.233333333333299</v>
      </c>
      <c r="E14" s="2">
        <f>AVERAGE(E11:E13)</f>
        <v>26.003333333333298</v>
      </c>
    </row>
    <row r="15" spans="1:5">
      <c r="A15" s="5" t="s">
        <v>10</v>
      </c>
      <c r="B15" s="1"/>
      <c r="C15" s="2">
        <f>_xludf.STDEV.P(C11:C13)</f>
        <v>2.2155962327704599</v>
      </c>
      <c r="D15" s="2">
        <f>_xludf.STDEV.P(D11:D13)</f>
        <v>3.75717387880246</v>
      </c>
      <c r="E15" s="2">
        <f>_xludf.STDEV.P(E11:E13)</f>
        <v>5.8351197264685304</v>
      </c>
    </row>
    <row r="16" spans="1:5">
      <c r="A16" s="1"/>
      <c r="B16" s="5" t="s">
        <v>14</v>
      </c>
      <c r="C16" s="2">
        <v>53.78</v>
      </c>
      <c r="D16" s="2">
        <v>21.12</v>
      </c>
      <c r="E16" s="2">
        <v>24.3</v>
      </c>
    </row>
    <row r="17" spans="1:5">
      <c r="A17" s="1"/>
      <c r="B17" s="5" t="s">
        <v>15</v>
      </c>
      <c r="C17" s="2">
        <v>54.76</v>
      </c>
      <c r="D17" s="2">
        <v>21.19</v>
      </c>
      <c r="E17" s="2">
        <v>23.57</v>
      </c>
    </row>
    <row r="18" spans="1:5">
      <c r="A18" s="1"/>
      <c r="B18" s="5" t="s">
        <v>16</v>
      </c>
      <c r="C18" s="2">
        <v>51.99</v>
      </c>
      <c r="D18" s="2">
        <v>20.53</v>
      </c>
      <c r="E18" s="2">
        <v>26.16</v>
      </c>
    </row>
    <row r="19" spans="1:5">
      <c r="A19" s="5" t="s">
        <v>9</v>
      </c>
      <c r="B19" s="1"/>
      <c r="C19" s="2">
        <f>AVERAGE(C16:C18)</f>
        <v>53.51</v>
      </c>
      <c r="D19" s="2">
        <f>AVERAGE(D16:D18)</f>
        <v>20.946666666666701</v>
      </c>
      <c r="E19" s="2">
        <f>AVERAGE(E16:E18)</f>
        <v>24.676666666666701</v>
      </c>
    </row>
    <row r="20" spans="1:5">
      <c r="A20" s="5" t="s">
        <v>10</v>
      </c>
      <c r="B20" s="1"/>
      <c r="C20" s="2">
        <f>_xludf.STDEV.P(C16:C18)</f>
        <v>1.1468507604159599</v>
      </c>
      <c r="D20" s="2">
        <f>_xludf.STDEV.P(D16:D18)</f>
        <v>0.29601051032391101</v>
      </c>
      <c r="E20" s="2">
        <f>_xludf.STDEV.P(E16:E18)</f>
        <v>1.0903923860498801</v>
      </c>
    </row>
    <row r="21" spans="1:5">
      <c r="A21" s="1"/>
      <c r="B21" s="5" t="s">
        <v>17</v>
      </c>
      <c r="C21" s="2">
        <v>46.09</v>
      </c>
      <c r="D21" s="2">
        <v>28.81</v>
      </c>
      <c r="E21" s="2">
        <v>24.69</v>
      </c>
    </row>
    <row r="22" spans="1:5">
      <c r="A22" s="1"/>
      <c r="B22" s="5" t="s">
        <v>18</v>
      </c>
      <c r="C22" s="2">
        <v>44.62</v>
      </c>
      <c r="D22" s="2">
        <v>34.15</v>
      </c>
      <c r="E22" s="2">
        <v>20.92</v>
      </c>
    </row>
    <row r="23" spans="1:5">
      <c r="A23" s="1"/>
      <c r="B23" s="5" t="s">
        <v>19</v>
      </c>
      <c r="C23" s="2">
        <v>44.22</v>
      </c>
      <c r="D23" s="2">
        <v>36.68</v>
      </c>
      <c r="E23" s="2">
        <v>18.59</v>
      </c>
    </row>
    <row r="24" spans="1:5">
      <c r="A24" s="5" t="s">
        <v>9</v>
      </c>
      <c r="B24" s="1"/>
      <c r="C24" s="2">
        <f>AVERAGE(C21:C23)</f>
        <v>44.976666666666702</v>
      </c>
      <c r="D24" s="2">
        <f>AVERAGE(D21:D23)</f>
        <v>33.213333333333303</v>
      </c>
      <c r="E24" s="2">
        <f>AVERAGE(E21:E23)</f>
        <v>21.4</v>
      </c>
    </row>
    <row r="25" spans="1:5">
      <c r="A25" s="5" t="s">
        <v>10</v>
      </c>
      <c r="B25" s="1"/>
      <c r="C25" s="2">
        <f>_xludf.STDEV.P(C21:C23)</f>
        <v>0.80400386953187397</v>
      </c>
      <c r="D25" s="2">
        <f>_xludf.STDEV.P(D21:D23)</f>
        <v>3.2804708334153601</v>
      </c>
      <c r="E25" s="2">
        <f>_xludf.STDEV.P(E21:E23)</f>
        <v>2.5133377541959399</v>
      </c>
    </row>
    <row r="26" spans="1:5">
      <c r="A26" s="1"/>
      <c r="B26" s="5" t="s">
        <v>20</v>
      </c>
      <c r="C26" s="2">
        <v>52.57</v>
      </c>
      <c r="D26" s="2">
        <v>19.43</v>
      </c>
      <c r="E26" s="2">
        <v>27.43</v>
      </c>
    </row>
    <row r="27" spans="1:5">
      <c r="A27" s="1"/>
      <c r="B27" s="5" t="s">
        <v>21</v>
      </c>
      <c r="C27" s="2">
        <v>48.46</v>
      </c>
      <c r="D27" s="2">
        <v>32.31</v>
      </c>
      <c r="E27" s="2">
        <v>19.23</v>
      </c>
    </row>
    <row r="28" spans="1:5">
      <c r="A28" s="1"/>
      <c r="B28" s="5" t="s">
        <v>22</v>
      </c>
      <c r="C28" s="2">
        <v>53.93</v>
      </c>
      <c r="D28" s="2">
        <v>28.09</v>
      </c>
      <c r="E28" s="2">
        <v>17.98</v>
      </c>
    </row>
    <row r="29" spans="1:5">
      <c r="A29" s="5" t="s">
        <v>9</v>
      </c>
      <c r="B29" s="1"/>
      <c r="C29" s="2">
        <f>AVERAGE(C26:C28)</f>
        <v>51.6533333333333</v>
      </c>
      <c r="D29" s="2">
        <f>AVERAGE(D26:D28)</f>
        <v>26.61</v>
      </c>
      <c r="E29" s="2">
        <f>AVERAGE(E26:E28)</f>
        <v>21.546666666666699</v>
      </c>
    </row>
    <row r="30" spans="1:5">
      <c r="A30" s="5" t="s">
        <v>10</v>
      </c>
      <c r="B30" s="1"/>
      <c r="C30" s="2">
        <f>_xludf.STDEV.P(C26:C28)</f>
        <v>2.3252861233739699</v>
      </c>
      <c r="D30" s="2">
        <f>_xludf.STDEV.P(D26:D28)</f>
        <v>5.3613679846347697</v>
      </c>
      <c r="E30" s="2">
        <f>_xludf.STDEV.P(E26:E28)</f>
        <v>4.1913270240130602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86135</dc:creator>
  <cp:lastModifiedBy>Alexander Yurin</cp:lastModifiedBy>
  <dcterms:created xsi:type="dcterms:W3CDTF">2024-11-16T08:32:00Z</dcterms:created>
  <dcterms:modified xsi:type="dcterms:W3CDTF">2025-11-28T14:58:30Z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F031035778054028B271B1E65930A755_11</vt:lpwstr>
  </property>
  <property fmtid="{D5CDD505-2E9C-101B-9397-08002B2CF9AE}" pid="3" name="KSOProductBuildVer">
    <vt:lpwstr>2052-12.1.0.19302</vt:lpwstr>
  </property>
</Properties>
</file>