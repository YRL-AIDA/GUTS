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ColumnData">#REF!</definedName>
    <definedName name="Data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7" i="1"/>
  <c r="T16" i="1"/>
  <c r="T15" i="1"/>
  <c r="T12" i="1"/>
  <c r="T9" i="1"/>
  <c r="T8" i="1"/>
  <c r="T7" i="1"/>
  <c r="T6" i="1"/>
  <c r="T5" i="1"/>
  <c r="T4" i="1"/>
  <c r="T2" i="1"/>
</calcChain>
</file>

<file path=xl/sharedStrings.xml><?xml version="1.0" encoding="utf-8"?>
<sst xmlns="http://schemas.openxmlformats.org/spreadsheetml/2006/main" count="64" uniqueCount="23">
  <si>
    <t>WP ID</t>
  </si>
  <si>
    <t>Teaching Group</t>
  </si>
  <si>
    <t>Condition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</si>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</sst>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1" applyFont="1" applyBorder="1" applyAlignment="1">
      <alignment horizontal="right" wrapText="1"/>
    </xf>
    <xf numFmtId="0" fontId="4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2">
    <cellStyle name="Normal_Sheet1" xfId="1"/>
    <cellStyle name="Обычный" xfId="0" builtinId="0"/>
  </cellStyles>
  <dxfs count="18">
    <dxf>
      <fill>
        <patternFill patternType="solid">
          <bgColor theme="9" tint="0.599963377788628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activeCell="A2" sqref="A2:A42"/>
    </sheetView>
  </sheetViews>
  <sheetFormatPr defaultColWidth="9.81640625" defaultRowHeight="14.5"/>
  <cols>
    <col min="1" max="1" width="9.81640625" style="2"/>
    <col min="2" max="2" width="16.36328125" style="2" customWidth="1"/>
    <col min="3" max="3" width="10.7265625" style="2" customWidth="1"/>
    <col min="4" max="4" width="11.6328125" style="2" customWidth="1"/>
    <col min="5" max="16384" width="9.81640625" style="2"/>
  </cols>
  <sheetData>
    <row r="1" spans="1:20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6">
        <v>103</v>
      </c>
      <c r="B2" s="2">
        <v>3</v>
      </c>
      <c r="C2" s="2" t="s">
        <v>20</v>
      </c>
      <c r="D2" s="3">
        <v>1</v>
      </c>
      <c r="E2" s="3">
        <v>3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1</v>
      </c>
      <c r="L2" s="3">
        <v>2</v>
      </c>
      <c r="M2" s="3">
        <v>-1</v>
      </c>
      <c r="N2" s="3">
        <v>2</v>
      </c>
      <c r="O2" s="3">
        <v>1</v>
      </c>
      <c r="T2" s="2">
        <f t="shared" ref="T2:T9" si="0">SUM(D2:S2)</f>
        <v>21</v>
      </c>
    </row>
    <row r="3" spans="1:20">
      <c r="A3" s="6">
        <v>104</v>
      </c>
      <c r="B3" s="2">
        <v>5</v>
      </c>
      <c r="C3" s="2" t="s">
        <v>21</v>
      </c>
      <c r="D3" s="3">
        <v>1</v>
      </c>
      <c r="E3" s="3">
        <v>2</v>
      </c>
      <c r="F3" s="3">
        <v>3</v>
      </c>
      <c r="G3" s="3">
        <v>1</v>
      </c>
      <c r="H3" s="3">
        <v>2</v>
      </c>
      <c r="I3" s="3">
        <v>2</v>
      </c>
      <c r="J3" s="3">
        <v>3</v>
      </c>
      <c r="K3" s="3">
        <v>0</v>
      </c>
      <c r="L3" s="3">
        <v>3</v>
      </c>
      <c r="M3" s="3">
        <v>2</v>
      </c>
      <c r="N3" s="3">
        <v>0</v>
      </c>
      <c r="O3" s="3">
        <v>0</v>
      </c>
      <c r="P3" s="4"/>
      <c r="Q3" s="4"/>
      <c r="R3" s="4"/>
      <c r="S3" s="4"/>
      <c r="T3" s="2">
        <v>19</v>
      </c>
    </row>
    <row r="4" spans="1:20">
      <c r="A4" s="6">
        <v>105</v>
      </c>
      <c r="B4" s="2">
        <v>1</v>
      </c>
      <c r="C4" s="2" t="s">
        <v>20</v>
      </c>
      <c r="D4" s="3">
        <v>2</v>
      </c>
      <c r="E4" s="3">
        <v>1</v>
      </c>
      <c r="F4" s="3">
        <v>3</v>
      </c>
      <c r="G4" s="3">
        <v>2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4"/>
      <c r="Q4" s="4"/>
      <c r="R4" s="4"/>
      <c r="S4" s="4"/>
      <c r="T4" s="2">
        <f t="shared" si="0"/>
        <v>24</v>
      </c>
    </row>
    <row r="5" spans="1:20">
      <c r="A5" s="6">
        <v>107</v>
      </c>
      <c r="B5" s="2">
        <v>3</v>
      </c>
      <c r="C5" s="2" t="s">
        <v>20</v>
      </c>
      <c r="D5" s="3">
        <v>0</v>
      </c>
      <c r="E5" s="3">
        <v>0</v>
      </c>
      <c r="F5" s="3">
        <v>1</v>
      </c>
      <c r="G5" s="3">
        <v>0</v>
      </c>
      <c r="H5" s="3">
        <v>2</v>
      </c>
      <c r="I5" s="3">
        <v>2</v>
      </c>
      <c r="J5" s="3">
        <v>2</v>
      </c>
      <c r="K5" s="3">
        <v>0</v>
      </c>
      <c r="L5" s="3"/>
      <c r="M5" s="3"/>
      <c r="N5" s="3"/>
      <c r="O5" s="3"/>
      <c r="P5" s="2">
        <v>1</v>
      </c>
      <c r="Q5" s="2">
        <v>-1</v>
      </c>
      <c r="R5" s="2">
        <v>-2</v>
      </c>
      <c r="S5" s="2">
        <v>2</v>
      </c>
      <c r="T5" s="2">
        <f t="shared" si="0"/>
        <v>7</v>
      </c>
    </row>
    <row r="6" spans="1:20">
      <c r="A6" s="6">
        <v>109</v>
      </c>
      <c r="B6" s="2">
        <v>1</v>
      </c>
      <c r="C6" s="2" t="s">
        <v>20</v>
      </c>
      <c r="D6" s="3">
        <v>-2</v>
      </c>
      <c r="E6" s="3">
        <v>-2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4</v>
      </c>
    </row>
    <row r="7" spans="1:20">
      <c r="A7" s="6">
        <v>110</v>
      </c>
      <c r="B7" s="2">
        <v>6</v>
      </c>
      <c r="C7" s="2" t="s">
        <v>20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>
        <v>1</v>
      </c>
      <c r="Q7" s="3">
        <v>0</v>
      </c>
      <c r="R7" s="3">
        <v>1</v>
      </c>
      <c r="S7" s="3">
        <v>1</v>
      </c>
      <c r="T7" s="2">
        <f t="shared" si="0"/>
        <v>3</v>
      </c>
    </row>
    <row r="8" spans="1:20">
      <c r="A8" s="6">
        <v>111</v>
      </c>
      <c r="B8" s="2">
        <v>1</v>
      </c>
      <c r="C8" s="2" t="s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2">
        <f t="shared" si="0"/>
        <v>0</v>
      </c>
    </row>
    <row r="9" spans="1:20">
      <c r="A9" s="6">
        <v>112</v>
      </c>
      <c r="B9" s="2">
        <v>3</v>
      </c>
      <c r="C9" s="2" t="s">
        <v>20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/>
      <c r="M9" s="3"/>
      <c r="N9" s="3"/>
      <c r="O9" s="3"/>
      <c r="P9" s="2">
        <v>2</v>
      </c>
      <c r="Q9" s="2">
        <v>3</v>
      </c>
      <c r="R9" s="2">
        <v>2</v>
      </c>
      <c r="S9" s="2">
        <v>2</v>
      </c>
      <c r="T9" s="2">
        <f t="shared" si="0"/>
        <v>17</v>
      </c>
    </row>
    <row r="10" spans="1:20">
      <c r="A10" s="6">
        <v>115</v>
      </c>
      <c r="B10" s="2">
        <v>5</v>
      </c>
      <c r="C10" s="2" t="s">
        <v>21</v>
      </c>
      <c r="D10" s="3">
        <v>2</v>
      </c>
      <c r="E10" s="3">
        <v>1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  <c r="T10" s="2">
        <v>24</v>
      </c>
    </row>
    <row r="11" spans="1:20">
      <c r="A11" s="6">
        <v>117</v>
      </c>
      <c r="B11" s="2">
        <v>5</v>
      </c>
      <c r="C11" s="2" t="s">
        <v>21</v>
      </c>
      <c r="D11" s="3">
        <v>2</v>
      </c>
      <c r="E11" s="3">
        <v>1</v>
      </c>
      <c r="F11" s="3">
        <v>2</v>
      </c>
      <c r="G11" s="3">
        <v>0</v>
      </c>
      <c r="H11" s="3">
        <v>0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  <c r="O11" s="3">
        <v>2</v>
      </c>
      <c r="T11" s="2">
        <v>14</v>
      </c>
    </row>
    <row r="12" spans="1:20">
      <c r="A12" s="6">
        <v>130</v>
      </c>
      <c r="B12" s="2">
        <v>3</v>
      </c>
      <c r="C12" s="2" t="s">
        <v>20</v>
      </c>
      <c r="D12" s="3">
        <v>0</v>
      </c>
      <c r="E12" s="3">
        <v>1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">
        <v>2</v>
      </c>
      <c r="M12" s="3">
        <v>3</v>
      </c>
      <c r="N12" s="3">
        <v>1</v>
      </c>
      <c r="O12" s="3">
        <v>3</v>
      </c>
      <c r="T12" s="2">
        <f t="shared" ref="T12:T17" si="1">SUM(D12:S12)</f>
        <v>19</v>
      </c>
    </row>
    <row r="13" spans="1:20">
      <c r="A13" s="6">
        <v>133</v>
      </c>
      <c r="B13" s="2">
        <v>1</v>
      </c>
      <c r="C13" s="2" t="s">
        <v>20</v>
      </c>
      <c r="D13" s="3">
        <v>2</v>
      </c>
      <c r="E13" s="3">
        <v>1</v>
      </c>
      <c r="F13" s="3">
        <v>2</v>
      </c>
      <c r="G13" s="3">
        <v>2</v>
      </c>
      <c r="H13" s="3">
        <v>1</v>
      </c>
      <c r="I13" s="3">
        <v>1</v>
      </c>
      <c r="J13" s="3">
        <v>2</v>
      </c>
      <c r="K13" s="3">
        <v>1</v>
      </c>
      <c r="L13" s="3">
        <v>1</v>
      </c>
      <c r="M13" s="3">
        <v>2</v>
      </c>
      <c r="N13" s="3">
        <v>1</v>
      </c>
      <c r="O13" s="3">
        <v>1</v>
      </c>
      <c r="P13" s="4"/>
      <c r="Q13" s="4"/>
      <c r="R13" s="4"/>
      <c r="S13" s="4"/>
      <c r="T13" s="2">
        <v>17</v>
      </c>
    </row>
    <row r="14" spans="1:20">
      <c r="A14" s="6">
        <v>134</v>
      </c>
      <c r="B14" s="2">
        <v>2</v>
      </c>
      <c r="C14" s="2" t="s">
        <v>21</v>
      </c>
      <c r="D14" s="3">
        <v>2</v>
      </c>
      <c r="E14" s="3">
        <v>0</v>
      </c>
      <c r="F14" s="3">
        <v>2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2</v>
      </c>
      <c r="T14" s="2">
        <v>10</v>
      </c>
    </row>
    <row r="15" spans="1:20">
      <c r="A15" s="6">
        <v>135</v>
      </c>
      <c r="B15" s="2">
        <v>1</v>
      </c>
      <c r="C15" s="2" t="s">
        <v>20</v>
      </c>
      <c r="D15" s="3">
        <v>0</v>
      </c>
      <c r="E15" s="3">
        <v>3</v>
      </c>
      <c r="F15" s="3">
        <v>2</v>
      </c>
      <c r="G15" s="3">
        <v>2</v>
      </c>
      <c r="H15" s="3">
        <v>3</v>
      </c>
      <c r="I15" s="3">
        <v>3</v>
      </c>
      <c r="J15" s="3">
        <v>4</v>
      </c>
      <c r="K15" s="3">
        <v>2</v>
      </c>
      <c r="L15" s="3">
        <v>3</v>
      </c>
      <c r="M15" s="3">
        <v>2</v>
      </c>
      <c r="N15" s="3">
        <v>0</v>
      </c>
      <c r="O15" s="3">
        <v>2</v>
      </c>
      <c r="P15" s="4"/>
      <c r="Q15" s="4"/>
      <c r="R15" s="4"/>
      <c r="S15" s="4"/>
      <c r="T15" s="2">
        <f t="shared" si="1"/>
        <v>26</v>
      </c>
    </row>
    <row r="16" spans="1:20">
      <c r="A16" s="6">
        <v>136</v>
      </c>
      <c r="B16" s="2">
        <v>1</v>
      </c>
      <c r="C16" s="2" t="s">
        <v>20</v>
      </c>
      <c r="D16" s="3">
        <v>2</v>
      </c>
      <c r="E16" s="3">
        <v>3</v>
      </c>
      <c r="F16" s="3">
        <v>2</v>
      </c>
      <c r="G16" s="3">
        <v>3</v>
      </c>
      <c r="H16" s="3">
        <v>2</v>
      </c>
      <c r="I16" s="3">
        <v>2</v>
      </c>
      <c r="J16" s="3">
        <v>3</v>
      </c>
      <c r="K16" s="3">
        <v>2</v>
      </c>
      <c r="L16" s="3">
        <v>2</v>
      </c>
      <c r="M16" s="3">
        <v>3</v>
      </c>
      <c r="N16" s="3">
        <v>0</v>
      </c>
      <c r="O16" s="3">
        <v>2</v>
      </c>
      <c r="P16" s="4"/>
      <c r="Q16" s="4"/>
      <c r="R16" s="4"/>
      <c r="S16" s="4"/>
      <c r="T16" s="2">
        <f t="shared" si="1"/>
        <v>26</v>
      </c>
    </row>
    <row r="17" spans="1:20">
      <c r="A17" s="6">
        <v>137</v>
      </c>
      <c r="B17" s="2">
        <v>2</v>
      </c>
      <c r="C17" s="2" t="s">
        <v>21</v>
      </c>
      <c r="D17" s="3">
        <v>1</v>
      </c>
      <c r="E17" s="3">
        <v>0</v>
      </c>
      <c r="F17" s="3">
        <v>0</v>
      </c>
      <c r="G17" s="3">
        <v>2</v>
      </c>
      <c r="H17" s="3">
        <v>0</v>
      </c>
      <c r="I17" s="3">
        <v>1</v>
      </c>
      <c r="J17" s="3">
        <v>0</v>
      </c>
      <c r="K17" s="3">
        <v>0</v>
      </c>
      <c r="L17" s="3"/>
      <c r="M17" s="3"/>
      <c r="N17" s="3"/>
      <c r="O17" s="3"/>
      <c r="P17" s="3">
        <v>-1</v>
      </c>
      <c r="Q17" s="3">
        <v>0</v>
      </c>
      <c r="R17" s="3">
        <v>0</v>
      </c>
      <c r="S17" s="3">
        <v>1</v>
      </c>
      <c r="T17" s="2">
        <f t="shared" si="1"/>
        <v>4</v>
      </c>
    </row>
    <row r="18" spans="1:20">
      <c r="A18" s="6">
        <v>138</v>
      </c>
      <c r="B18" s="2">
        <v>1</v>
      </c>
      <c r="C18" s="2" t="s">
        <v>20</v>
      </c>
      <c r="D18" s="3">
        <v>2</v>
      </c>
      <c r="E18" s="3">
        <v>2</v>
      </c>
      <c r="F18" s="3">
        <v>2</v>
      </c>
      <c r="G18" s="3">
        <v>2</v>
      </c>
      <c r="H18" s="3">
        <v>3</v>
      </c>
      <c r="I18" s="3">
        <v>2</v>
      </c>
      <c r="J18" s="3">
        <v>3</v>
      </c>
      <c r="K18" s="3">
        <v>2</v>
      </c>
      <c r="L18" s="3">
        <v>3</v>
      </c>
      <c r="M18" s="3">
        <v>3</v>
      </c>
      <c r="N18" s="3">
        <v>1</v>
      </c>
      <c r="O18" s="3">
        <v>-1</v>
      </c>
      <c r="P18" s="4"/>
      <c r="Q18" s="4"/>
      <c r="R18" s="4"/>
      <c r="S18" s="4"/>
      <c r="T18" s="2">
        <v>24</v>
      </c>
    </row>
    <row r="19" spans="1:20">
      <c r="A19" s="6">
        <v>142</v>
      </c>
      <c r="B19" s="2">
        <v>1</v>
      </c>
      <c r="C19" s="2" t="s">
        <v>20</v>
      </c>
      <c r="D19" s="3">
        <v>1</v>
      </c>
      <c r="E19" s="3">
        <v>3</v>
      </c>
      <c r="F19" s="3">
        <v>4</v>
      </c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3</v>
      </c>
      <c r="N19" s="3">
        <v>2</v>
      </c>
      <c r="O19" s="3">
        <v>2</v>
      </c>
      <c r="P19" s="4"/>
      <c r="Q19" s="4"/>
      <c r="R19" s="4"/>
      <c r="S19" s="4"/>
      <c r="T19" s="2">
        <f t="shared" ref="T19:T42" si="2">SUM(D19:S19)</f>
        <v>31</v>
      </c>
    </row>
    <row r="20" spans="1:20">
      <c r="A20" s="6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2</v>
      </c>
      <c r="G20" s="3">
        <v>0</v>
      </c>
      <c r="H20" s="3">
        <v>2</v>
      </c>
      <c r="I20" s="3">
        <v>2</v>
      </c>
      <c r="J20" s="3">
        <v>1</v>
      </c>
      <c r="K20" s="3">
        <v>0</v>
      </c>
      <c r="L20" s="3">
        <v>-1</v>
      </c>
      <c r="M20" s="3">
        <v>1</v>
      </c>
      <c r="N20" s="3">
        <v>2</v>
      </c>
      <c r="O20" s="3">
        <v>3</v>
      </c>
      <c r="T20" s="2">
        <f t="shared" si="2"/>
        <v>15</v>
      </c>
    </row>
    <row r="21" spans="1:20">
      <c r="A21" s="6">
        <v>144</v>
      </c>
      <c r="B21" s="2">
        <v>1</v>
      </c>
      <c r="C21" s="2" t="s">
        <v>20</v>
      </c>
      <c r="D21" s="3">
        <v>0</v>
      </c>
      <c r="E21" s="3">
        <v>0</v>
      </c>
      <c r="F21" s="3">
        <v>2</v>
      </c>
      <c r="G21" s="3">
        <v>2</v>
      </c>
      <c r="H21" s="3">
        <v>0</v>
      </c>
      <c r="I21" s="3">
        <v>2</v>
      </c>
      <c r="J21" s="3">
        <v>2</v>
      </c>
      <c r="K21" s="3">
        <v>0</v>
      </c>
      <c r="L21" s="3">
        <v>2</v>
      </c>
      <c r="M21" s="3">
        <v>2</v>
      </c>
      <c r="N21" s="3">
        <v>2</v>
      </c>
      <c r="O21" s="3">
        <v>2</v>
      </c>
      <c r="P21" s="4"/>
      <c r="Q21" s="4"/>
      <c r="R21" s="4"/>
      <c r="S21" s="4"/>
      <c r="T21" s="2">
        <f t="shared" si="2"/>
        <v>16</v>
      </c>
    </row>
    <row r="22" spans="1:20">
      <c r="A22" s="6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2">
        <v>0</v>
      </c>
      <c r="Q22" s="2">
        <v>0</v>
      </c>
      <c r="R22" s="2">
        <v>0</v>
      </c>
      <c r="S22" s="2">
        <v>0</v>
      </c>
      <c r="T22" s="2">
        <f t="shared" si="2"/>
        <v>0</v>
      </c>
    </row>
    <row r="23" spans="1:20">
      <c r="A23" s="6">
        <v>147</v>
      </c>
      <c r="B23" s="2">
        <v>5</v>
      </c>
      <c r="C23" s="2" t="s">
        <v>21</v>
      </c>
      <c r="D23" s="3">
        <v>2</v>
      </c>
      <c r="E23" s="3">
        <v>2</v>
      </c>
      <c r="F23" s="3">
        <v>3</v>
      </c>
      <c r="G23" s="3">
        <v>2</v>
      </c>
      <c r="H23" s="3">
        <v>2</v>
      </c>
      <c r="I23" s="3">
        <v>2</v>
      </c>
      <c r="J23" s="3">
        <v>3</v>
      </c>
      <c r="K23" s="3">
        <v>3</v>
      </c>
      <c r="L23" s="3">
        <v>2</v>
      </c>
      <c r="M23" s="3">
        <v>3</v>
      </c>
      <c r="N23" s="3">
        <v>1</v>
      </c>
      <c r="O23" s="3">
        <v>2</v>
      </c>
      <c r="T23" s="2">
        <f t="shared" si="2"/>
        <v>27</v>
      </c>
    </row>
    <row r="24" spans="1:20">
      <c r="A24" s="6">
        <v>149</v>
      </c>
      <c r="B24" s="2">
        <v>6</v>
      </c>
      <c r="C24" s="2" t="s">
        <v>20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>
        <v>1</v>
      </c>
      <c r="Q24" s="3">
        <v>1</v>
      </c>
      <c r="R24" s="3">
        <v>1</v>
      </c>
      <c r="S24" s="3">
        <v>1</v>
      </c>
      <c r="T24" s="2">
        <f t="shared" si="2"/>
        <v>6</v>
      </c>
    </row>
    <row r="25" spans="1:20">
      <c r="A25" s="6">
        <v>150</v>
      </c>
      <c r="B25" s="2">
        <v>1</v>
      </c>
      <c r="C25" s="2" t="s">
        <v>20</v>
      </c>
      <c r="D25" s="3">
        <v>0</v>
      </c>
      <c r="E25" s="3">
        <v>0</v>
      </c>
      <c r="F25" s="3">
        <v>2</v>
      </c>
      <c r="G25" s="3">
        <v>0</v>
      </c>
      <c r="H25" s="3">
        <v>2</v>
      </c>
      <c r="I25" s="3">
        <v>2</v>
      </c>
      <c r="J25" s="3">
        <v>2</v>
      </c>
      <c r="K25" s="3">
        <v>2</v>
      </c>
      <c r="L25" s="3">
        <v>0</v>
      </c>
      <c r="M25" s="3">
        <v>2</v>
      </c>
      <c r="N25" s="3">
        <v>2</v>
      </c>
      <c r="O25" s="3">
        <v>2</v>
      </c>
      <c r="T25" s="2">
        <f t="shared" si="2"/>
        <v>16</v>
      </c>
    </row>
    <row r="26" spans="1:20">
      <c r="A26" s="6">
        <v>151</v>
      </c>
      <c r="B26" s="2">
        <v>3</v>
      </c>
      <c r="C26" s="2" t="s">
        <v>20</v>
      </c>
      <c r="D26" s="3">
        <v>2</v>
      </c>
      <c r="E26" s="3">
        <v>0</v>
      </c>
      <c r="F26" s="3">
        <v>1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2">
        <v>2</v>
      </c>
      <c r="Q26" s="2">
        <v>2</v>
      </c>
      <c r="R26" s="2">
        <v>1</v>
      </c>
      <c r="S26" s="2">
        <v>2</v>
      </c>
      <c r="T26" s="2">
        <f t="shared" si="2"/>
        <v>12</v>
      </c>
    </row>
    <row r="27" spans="1:20">
      <c r="A27" s="6">
        <v>153</v>
      </c>
      <c r="B27" s="2">
        <v>6</v>
      </c>
      <c r="C27" s="2" t="s">
        <v>20</v>
      </c>
      <c r="D27" s="3">
        <v>1</v>
      </c>
      <c r="E27" s="3">
        <v>-1</v>
      </c>
      <c r="F27" s="3">
        <v>1</v>
      </c>
      <c r="G27" s="3">
        <v>1</v>
      </c>
      <c r="H27" s="3">
        <v>-1</v>
      </c>
      <c r="I27" s="3">
        <v>0</v>
      </c>
      <c r="J27" s="3">
        <v>1</v>
      </c>
      <c r="K27" s="3">
        <v>1</v>
      </c>
      <c r="L27" s="3">
        <v>1</v>
      </c>
      <c r="M27" s="3">
        <v>-1</v>
      </c>
      <c r="N27" s="3">
        <v>1</v>
      </c>
      <c r="O27" s="3">
        <v>1</v>
      </c>
      <c r="T27" s="2">
        <f t="shared" si="2"/>
        <v>5</v>
      </c>
    </row>
    <row r="28" spans="1:20">
      <c r="A28" s="6">
        <v>155</v>
      </c>
      <c r="B28" s="2">
        <v>6</v>
      </c>
      <c r="C28" s="2" t="s">
        <v>20</v>
      </c>
      <c r="D28" s="3">
        <v>0</v>
      </c>
      <c r="E28" s="3">
        <v>0</v>
      </c>
      <c r="F28" s="3">
        <v>0</v>
      </c>
      <c r="G28" s="3">
        <v>0</v>
      </c>
      <c r="H28" s="3">
        <v>-1</v>
      </c>
      <c r="I28" s="3">
        <v>-1</v>
      </c>
      <c r="J28" s="3">
        <v>1</v>
      </c>
      <c r="K28" s="3">
        <v>-1</v>
      </c>
      <c r="L28" s="3"/>
      <c r="M28" s="3"/>
      <c r="N28" s="3"/>
      <c r="O28" s="3"/>
      <c r="P28" s="3">
        <v>0</v>
      </c>
      <c r="Q28" s="3">
        <v>0</v>
      </c>
      <c r="R28" s="3">
        <v>0</v>
      </c>
      <c r="S28" s="3">
        <v>0</v>
      </c>
      <c r="T28" s="2">
        <f t="shared" si="2"/>
        <v>-2</v>
      </c>
    </row>
    <row r="29" spans="1:20">
      <c r="A29" s="6">
        <v>157</v>
      </c>
      <c r="B29" s="2">
        <v>2</v>
      </c>
      <c r="C29" s="2" t="s">
        <v>21</v>
      </c>
      <c r="D29" s="3">
        <v>3</v>
      </c>
      <c r="E29" s="3">
        <v>-1</v>
      </c>
      <c r="F29" s="3">
        <v>2</v>
      </c>
      <c r="G29" s="3">
        <v>0</v>
      </c>
      <c r="H29" s="3">
        <v>0</v>
      </c>
      <c r="I29" s="3">
        <v>2</v>
      </c>
      <c r="J29" s="3">
        <v>2</v>
      </c>
      <c r="K29" s="3">
        <v>0</v>
      </c>
      <c r="L29" s="3">
        <v>2</v>
      </c>
      <c r="M29" s="3">
        <v>1</v>
      </c>
      <c r="N29" s="3">
        <v>2</v>
      </c>
      <c r="O29" s="3">
        <v>0</v>
      </c>
      <c r="T29" s="2">
        <f t="shared" si="2"/>
        <v>13</v>
      </c>
    </row>
    <row r="30" spans="1:20">
      <c r="A30" s="6">
        <v>158</v>
      </c>
      <c r="B30" s="2">
        <v>2</v>
      </c>
      <c r="C30" s="2" t="s">
        <v>21</v>
      </c>
      <c r="D30" s="3">
        <v>2</v>
      </c>
      <c r="E30" s="3">
        <v>0</v>
      </c>
      <c r="F30" s="3">
        <v>2</v>
      </c>
      <c r="G30" s="3">
        <v>2</v>
      </c>
      <c r="H30" s="3">
        <v>0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0</v>
      </c>
      <c r="O30" s="3">
        <v>2</v>
      </c>
      <c r="T30" s="2">
        <f t="shared" si="2"/>
        <v>18</v>
      </c>
    </row>
    <row r="31" spans="1:20">
      <c r="A31" s="6">
        <v>159</v>
      </c>
      <c r="B31" s="2">
        <v>2</v>
      </c>
      <c r="C31" s="2" t="s">
        <v>21</v>
      </c>
      <c r="D31" s="3">
        <v>1</v>
      </c>
      <c r="E31" s="3">
        <v>-1</v>
      </c>
      <c r="F31" s="3">
        <v>-1</v>
      </c>
      <c r="G31" s="3">
        <v>1</v>
      </c>
      <c r="H31" s="3">
        <v>-1</v>
      </c>
      <c r="I31" s="3">
        <v>1</v>
      </c>
      <c r="J31" s="3">
        <v>1</v>
      </c>
      <c r="K31" s="3">
        <v>-1</v>
      </c>
      <c r="L31" s="3">
        <v>0</v>
      </c>
      <c r="M31" s="3">
        <v>0</v>
      </c>
      <c r="N31" s="3">
        <v>0</v>
      </c>
      <c r="O31" s="3">
        <v>0</v>
      </c>
      <c r="T31" s="2">
        <f t="shared" si="2"/>
        <v>0</v>
      </c>
    </row>
    <row r="32" spans="1:20">
      <c r="A32" s="6">
        <v>160</v>
      </c>
      <c r="B32" s="2">
        <v>2</v>
      </c>
      <c r="C32" s="2" t="s">
        <v>21</v>
      </c>
      <c r="D32" s="3">
        <v>2</v>
      </c>
      <c r="E32" s="3">
        <v>2</v>
      </c>
      <c r="F32" s="3">
        <v>2</v>
      </c>
      <c r="G32" s="3">
        <v>2</v>
      </c>
      <c r="H32" s="3">
        <v>0</v>
      </c>
      <c r="I32" s="3">
        <v>2</v>
      </c>
      <c r="J32" s="3">
        <v>2</v>
      </c>
      <c r="K32" s="3">
        <v>1</v>
      </c>
      <c r="L32" s="3">
        <v>2</v>
      </c>
      <c r="M32" s="3">
        <v>1</v>
      </c>
      <c r="N32" s="3">
        <v>0</v>
      </c>
      <c r="O32" s="3">
        <v>2</v>
      </c>
      <c r="T32" s="2">
        <f t="shared" si="2"/>
        <v>18</v>
      </c>
    </row>
    <row r="33" spans="1:20">
      <c r="A33" s="6">
        <v>161</v>
      </c>
      <c r="B33" s="2">
        <v>2</v>
      </c>
      <c r="C33" s="2" t="s">
        <v>21</v>
      </c>
      <c r="D33" s="3">
        <v>-2</v>
      </c>
      <c r="E33" s="3">
        <v>0</v>
      </c>
      <c r="F33" s="3">
        <v>2</v>
      </c>
      <c r="G33" s="3">
        <v>2</v>
      </c>
      <c r="H33" s="3">
        <v>0</v>
      </c>
      <c r="I33" s="3">
        <v>2</v>
      </c>
      <c r="J33" s="3">
        <v>2</v>
      </c>
      <c r="K33" s="3">
        <v>2</v>
      </c>
      <c r="L33" s="3"/>
      <c r="M33" s="3"/>
      <c r="N33" s="3"/>
      <c r="O33" s="3"/>
      <c r="P33" s="3">
        <v>2</v>
      </c>
      <c r="Q33" s="3">
        <v>2</v>
      </c>
      <c r="R33" s="3">
        <v>2</v>
      </c>
      <c r="S33" s="3">
        <v>2</v>
      </c>
      <c r="T33" s="2">
        <f t="shared" si="2"/>
        <v>16</v>
      </c>
    </row>
    <row r="34" spans="1:20">
      <c r="A34" s="6">
        <v>163</v>
      </c>
      <c r="B34" s="2">
        <v>2</v>
      </c>
      <c r="C34" s="2" t="s">
        <v>21</v>
      </c>
      <c r="D34" s="3">
        <v>2</v>
      </c>
      <c r="E34" s="3">
        <v>2</v>
      </c>
      <c r="F34" s="3">
        <v>2</v>
      </c>
      <c r="G34" s="3">
        <v>2</v>
      </c>
      <c r="H34" s="3">
        <v>0</v>
      </c>
      <c r="I34" s="3">
        <v>2</v>
      </c>
      <c r="J34" s="3">
        <v>2</v>
      </c>
      <c r="K34" s="3">
        <v>0</v>
      </c>
      <c r="L34" s="3">
        <v>2</v>
      </c>
      <c r="M34" s="3">
        <v>2</v>
      </c>
      <c r="N34" s="3">
        <v>0</v>
      </c>
      <c r="O34" s="3">
        <v>2</v>
      </c>
      <c r="T34" s="2">
        <f t="shared" si="2"/>
        <v>18</v>
      </c>
    </row>
    <row r="35" spans="1:20">
      <c r="A35" s="6">
        <v>164</v>
      </c>
      <c r="B35" s="2">
        <v>5</v>
      </c>
      <c r="C35" s="2" t="s">
        <v>21</v>
      </c>
      <c r="D35" s="3">
        <v>2</v>
      </c>
      <c r="E35" s="3">
        <v>0</v>
      </c>
      <c r="F35" s="3">
        <v>2</v>
      </c>
      <c r="G35" s="3">
        <v>2</v>
      </c>
      <c r="H35" s="3">
        <v>2</v>
      </c>
      <c r="I35" s="3">
        <v>2</v>
      </c>
      <c r="J35" s="3">
        <v>-2</v>
      </c>
      <c r="K35" s="3">
        <v>2</v>
      </c>
      <c r="L35" s="3"/>
      <c r="M35" s="3"/>
      <c r="N35" s="3"/>
      <c r="O35" s="3"/>
      <c r="P35" s="3">
        <v>0</v>
      </c>
      <c r="Q35" s="3">
        <v>2</v>
      </c>
      <c r="R35" s="3">
        <v>0</v>
      </c>
      <c r="S35" s="3">
        <v>2</v>
      </c>
      <c r="T35" s="2">
        <f t="shared" si="2"/>
        <v>14</v>
      </c>
    </row>
    <row r="36" spans="1:20">
      <c r="A36" s="6">
        <v>168</v>
      </c>
      <c r="B36" s="2">
        <v>3</v>
      </c>
      <c r="C36" s="2" t="s">
        <v>20</v>
      </c>
      <c r="D36" s="3">
        <v>1</v>
      </c>
      <c r="E36" s="3">
        <v>2</v>
      </c>
      <c r="F36" s="3">
        <v>4</v>
      </c>
      <c r="G36" s="3">
        <v>2</v>
      </c>
      <c r="H36" s="3">
        <v>2</v>
      </c>
      <c r="I36" s="3">
        <v>2</v>
      </c>
      <c r="J36" s="3">
        <v>3</v>
      </c>
      <c r="K36" s="3">
        <v>1</v>
      </c>
      <c r="L36" s="3">
        <v>0</v>
      </c>
      <c r="M36" s="3">
        <v>2</v>
      </c>
      <c r="N36" s="3">
        <v>1</v>
      </c>
      <c r="O36" s="3">
        <v>3</v>
      </c>
      <c r="T36" s="2">
        <f t="shared" si="2"/>
        <v>23</v>
      </c>
    </row>
    <row r="37" spans="1:20">
      <c r="A37" s="6">
        <v>170</v>
      </c>
      <c r="B37" s="2">
        <v>4</v>
      </c>
      <c r="C37" s="2" t="s">
        <v>21</v>
      </c>
      <c r="D37" s="3">
        <v>-1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1</v>
      </c>
      <c r="S37" s="3">
        <v>1</v>
      </c>
      <c r="T37" s="2">
        <f t="shared" si="2"/>
        <v>10</v>
      </c>
    </row>
    <row r="38" spans="1:20">
      <c r="A38" s="6">
        <v>171</v>
      </c>
      <c r="B38" s="2">
        <v>4</v>
      </c>
      <c r="C38" s="2" t="s">
        <v>21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0</v>
      </c>
      <c r="T38" s="2">
        <f t="shared" si="2"/>
        <v>0</v>
      </c>
    </row>
    <row r="39" spans="1:20">
      <c r="A39" s="6">
        <v>172</v>
      </c>
      <c r="B39" s="2">
        <v>4</v>
      </c>
      <c r="C39" s="2" t="s">
        <v>21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T39" s="2">
        <f t="shared" si="2"/>
        <v>1</v>
      </c>
    </row>
    <row r="40" spans="1:20">
      <c r="A40" s="6">
        <v>173</v>
      </c>
      <c r="B40" s="2">
        <v>4</v>
      </c>
      <c r="C40" s="2" t="s">
        <v>21</v>
      </c>
      <c r="D40" s="3">
        <v>1</v>
      </c>
      <c r="E40" s="3">
        <v>1</v>
      </c>
      <c r="F40" s="3">
        <v>1</v>
      </c>
      <c r="G40" s="3">
        <v>1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T40" s="2">
        <f t="shared" si="2"/>
        <v>5</v>
      </c>
    </row>
    <row r="41" spans="1:20">
      <c r="A41" s="6">
        <v>174</v>
      </c>
      <c r="B41" s="2">
        <v>4</v>
      </c>
      <c r="C41" s="2" t="s">
        <v>21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3"/>
      <c r="N41" s="3"/>
      <c r="O41" s="3"/>
      <c r="P41" s="3">
        <v>0</v>
      </c>
      <c r="Q41" s="3">
        <v>0</v>
      </c>
      <c r="R41" s="3">
        <v>-1</v>
      </c>
      <c r="S41" s="3">
        <v>0</v>
      </c>
      <c r="T41" s="2">
        <f t="shared" si="2"/>
        <v>-1</v>
      </c>
    </row>
    <row r="42" spans="1:20">
      <c r="A42" s="6">
        <v>175</v>
      </c>
      <c r="B42" s="2">
        <v>4</v>
      </c>
      <c r="C42" s="2" t="s">
        <v>21</v>
      </c>
      <c r="D42" s="3">
        <v>2</v>
      </c>
      <c r="E42" s="3">
        <v>3</v>
      </c>
      <c r="F42" s="3">
        <v>3</v>
      </c>
      <c r="G42" s="3">
        <v>1</v>
      </c>
      <c r="H42" s="3">
        <v>2</v>
      </c>
      <c r="I42" s="3">
        <v>3</v>
      </c>
      <c r="J42" s="3">
        <v>3</v>
      </c>
      <c r="K42" s="3">
        <v>3</v>
      </c>
      <c r="L42" s="3"/>
      <c r="M42" s="3"/>
      <c r="N42" s="3"/>
      <c r="O42" s="3"/>
      <c r="P42" s="3">
        <v>3</v>
      </c>
      <c r="Q42" s="3">
        <v>3</v>
      </c>
      <c r="R42" s="3">
        <v>1</v>
      </c>
      <c r="S42" s="3">
        <v>1</v>
      </c>
      <c r="T42" s="2">
        <f t="shared" si="2"/>
        <v>28</v>
      </c>
    </row>
    <row r="43" spans="1:20">
      <c r="C43" s="2" t="s">
        <v>22</v>
      </c>
      <c r="D43" s="2">
        <f t="shared" ref="D43:S43" si="3">AVERAGE(D2:D42)</f>
        <v>0.95121951219512202</v>
      </c>
      <c r="E43" s="2">
        <f t="shared" si="3"/>
        <v>0.73170731707317105</v>
      </c>
      <c r="F43" s="2">
        <f t="shared" si="3"/>
        <v>1.5609756097561001</v>
      </c>
      <c r="G43" s="2">
        <f t="shared" si="3"/>
        <v>1.2195121951219501</v>
      </c>
      <c r="H43" s="2">
        <f t="shared" si="3"/>
        <v>0.82926829268292701</v>
      </c>
      <c r="I43" s="2">
        <f t="shared" si="3"/>
        <v>1.31707317073171</v>
      </c>
      <c r="J43" s="2">
        <f t="shared" si="3"/>
        <v>1.4634146341463401</v>
      </c>
      <c r="K43" s="2">
        <f t="shared" si="3"/>
        <v>0.85365853658536595</v>
      </c>
      <c r="L43" s="2">
        <f t="shared" si="3"/>
        <v>1.56</v>
      </c>
      <c r="M43" s="2">
        <f t="shared" si="3"/>
        <v>1.48</v>
      </c>
      <c r="N43" s="2">
        <f t="shared" si="3"/>
        <v>0.84</v>
      </c>
      <c r="O43" s="2">
        <f t="shared" si="3"/>
        <v>1.48</v>
      </c>
      <c r="P43" s="2">
        <f t="shared" si="3"/>
        <v>0.75</v>
      </c>
      <c r="Q43" s="2">
        <f t="shared" si="3"/>
        <v>0.8125</v>
      </c>
      <c r="R43" s="2">
        <f t="shared" si="3"/>
        <v>0.375</v>
      </c>
      <c r="S43" s="2">
        <f t="shared" si="3"/>
        <v>1.0625</v>
      </c>
    </row>
    <row r="44" spans="1:20">
      <c r="C44" s="2" t="s">
        <v>21</v>
      </c>
      <c r="D44" s="2">
        <f t="shared" ref="D44:S44" si="4">AVERAGEIF($C$2:$C$42,"CAI",D2:D42)</f>
        <v>1.15789473684211</v>
      </c>
      <c r="E44" s="2">
        <f t="shared" si="4"/>
        <v>0.68421052631578905</v>
      </c>
      <c r="F44" s="2">
        <f t="shared" si="4"/>
        <v>1.4736842105263199</v>
      </c>
      <c r="G44" s="2">
        <f t="shared" si="4"/>
        <v>1.26315789473684</v>
      </c>
      <c r="H44" s="2">
        <f t="shared" si="4"/>
        <v>0.52631578947368396</v>
      </c>
      <c r="I44" s="2">
        <f t="shared" si="4"/>
        <v>1.3684210526315801</v>
      </c>
      <c r="J44" s="2">
        <f t="shared" si="4"/>
        <v>1.26315789473684</v>
      </c>
      <c r="K44" s="2">
        <f t="shared" si="4"/>
        <v>0.84210526315789502</v>
      </c>
      <c r="L44" s="2">
        <f t="shared" si="4"/>
        <v>1.5833333333333299</v>
      </c>
      <c r="M44" s="2">
        <f t="shared" si="4"/>
        <v>1.1666666666666701</v>
      </c>
      <c r="N44" s="2">
        <f t="shared" si="4"/>
        <v>0.41666666666666702</v>
      </c>
      <c r="O44" s="2">
        <f t="shared" si="4"/>
        <v>1.1666666666666701</v>
      </c>
      <c r="P44" s="2">
        <f t="shared" si="4"/>
        <v>0.71428571428571397</v>
      </c>
      <c r="Q44" s="2">
        <f t="shared" si="4"/>
        <v>1.1428571428571399</v>
      </c>
      <c r="R44" s="2">
        <f t="shared" si="4"/>
        <v>0.42857142857142899</v>
      </c>
      <c r="S44" s="2">
        <f t="shared" si="4"/>
        <v>1</v>
      </c>
    </row>
    <row r="45" spans="1:20">
      <c r="C45" s="2" t="s">
        <v>20</v>
      </c>
      <c r="D45" s="2">
        <f t="shared" ref="D45:S45" si="5">AVERAGEIF($C$2:$C$42,"Blended",D2:D42)</f>
        <v>0.77272727272727304</v>
      </c>
      <c r="E45" s="2">
        <f t="shared" si="5"/>
        <v>0.77272727272727304</v>
      </c>
      <c r="F45" s="2">
        <f t="shared" si="5"/>
        <v>1.63636363636364</v>
      </c>
      <c r="G45" s="2">
        <f t="shared" si="5"/>
        <v>1.1818181818181801</v>
      </c>
      <c r="H45" s="2">
        <f t="shared" si="5"/>
        <v>1.0909090909090899</v>
      </c>
      <c r="I45" s="2">
        <f t="shared" si="5"/>
        <v>1.27272727272727</v>
      </c>
      <c r="J45" s="2">
        <f t="shared" si="5"/>
        <v>1.63636363636364</v>
      </c>
      <c r="K45" s="2">
        <f t="shared" si="5"/>
        <v>0.86363636363636398</v>
      </c>
      <c r="L45" s="2">
        <f t="shared" si="5"/>
        <v>1.5384615384615401</v>
      </c>
      <c r="M45" s="2">
        <f t="shared" si="5"/>
        <v>1.7692307692307701</v>
      </c>
      <c r="N45" s="2">
        <f t="shared" si="5"/>
        <v>1.2307692307692299</v>
      </c>
      <c r="O45" s="2">
        <f t="shared" si="5"/>
        <v>1.7692307692307701</v>
      </c>
      <c r="P45" s="2">
        <f t="shared" si="5"/>
        <v>0.77777777777777801</v>
      </c>
      <c r="Q45" s="2">
        <f t="shared" si="5"/>
        <v>0.55555555555555602</v>
      </c>
      <c r="R45" s="2">
        <f t="shared" si="5"/>
        <v>0.33333333333333298</v>
      </c>
      <c r="S45" s="2">
        <f t="shared" si="5"/>
        <v>1.1111111111111101</v>
      </c>
    </row>
  </sheetData>
  <conditionalFormatting sqref="F2:F43">
    <cfRule type="expression" dxfId="0" priority="1" stopIfTrue="1">
      <formula>#REF!&gt;=1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2024-11-21T05:36:40Z</dcterms:created>
  <dcterms:modified xsi:type="dcterms:W3CDTF">2025-12-01T12:22:40Z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90F04EBE888742DD8BB8164FA353D8E8_11</vt:lpwstr>
  </property>
  <property fmtid="{D5CDD505-2E9C-101B-9397-08002B2CF9AE}" pid="3" name="KSOProductBuildVer">
    <vt:lpwstr>2052-12.1.0.18608</vt:lpwstr>
  </property>
</Properties>
</file>