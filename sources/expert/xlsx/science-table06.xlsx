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I21" i="1"/>
  <c r="G21" i="1"/>
  <c r="K20" i="1"/>
  <c r="I20" i="1"/>
  <c r="G20" i="1"/>
  <c r="K19" i="1"/>
  <c r="I19" i="1"/>
  <c r="G19" i="1"/>
  <c r="K18" i="1"/>
  <c r="I18" i="1"/>
  <c r="G18" i="1"/>
  <c r="K17" i="1"/>
  <c r="I17" i="1"/>
  <c r="G17" i="1"/>
  <c r="K16" i="1"/>
  <c r="I16" i="1"/>
  <c r="G16" i="1"/>
  <c r="K15" i="1"/>
  <c r="I15" i="1"/>
  <c r="G15" i="1"/>
  <c r="K14" i="1"/>
  <c r="I14" i="1"/>
  <c r="G14" i="1"/>
  <c r="O13" i="1"/>
  <c r="K13" i="1"/>
  <c r="I13" i="1"/>
  <c r="G13" i="1"/>
  <c r="O12" i="1"/>
  <c r="K12" i="1"/>
  <c r="I12" i="1"/>
  <c r="G12" i="1"/>
  <c r="K11" i="1"/>
  <c r="I11" i="1"/>
  <c r="G11" i="1"/>
  <c r="O10" i="1"/>
  <c r="M10" i="1"/>
  <c r="I10" i="1"/>
  <c r="G10" i="1"/>
  <c r="K9" i="1"/>
  <c r="I9" i="1"/>
  <c r="G9" i="1"/>
  <c r="O8" i="1"/>
  <c r="K8" i="1"/>
  <c r="I8" i="1"/>
  <c r="G8" i="1"/>
  <c r="K7" i="1"/>
  <c r="I7" i="1"/>
  <c r="G7" i="1"/>
  <c r="K6" i="1"/>
  <c r="I6" i="1"/>
  <c r="G6" i="1"/>
  <c r="K5" i="1"/>
  <c r="I5" i="1"/>
  <c r="G5" i="1"/>
  <c r="K4" i="1"/>
  <c r="I4" i="1"/>
  <c r="G4" i="1"/>
</calcChain>
</file>

<file path=xl/sharedStrings.xml><?xml version="1.0" encoding="utf-8"?>
<sst xmlns="http://schemas.openxmlformats.org/spreadsheetml/2006/main" count="176" uniqueCount="20">
  <si>
    <t>ARV Regimen</t>
  </si>
  <si>
    <t>Liver Biopsy Concentrations by IR-MALDESI MSI Analysis</t>
  </si>
  <si>
    <t>FTC</t>
  </si>
  <si>
    <t>TFV</t>
  </si>
  <si>
    <t>EFV</t>
  </si>
  <si>
    <t>RPV</t>
  </si>
  <si>
    <t>3TC</t>
  </si>
  <si>
    <t>FTC Concentration  (µg/g)</t>
  </si>
  <si>
    <t xml:space="preserve">LLOQ   (fg/voxel) </t>
  </si>
  <si>
    <t>TFV Concentration(µg/g)</t>
  </si>
  <si>
    <t>Sample Specific LLOQ (fg/voxel)</t>
  </si>
  <si>
    <t>EFV Concentration (µg/g)</t>
  </si>
  <si>
    <t>Sample Specific LLOQ   (fg/voxel)</t>
  </si>
  <si>
    <t>RPV Concentration (µg/g)</t>
  </si>
  <si>
    <t xml:space="preserve">Sample Specific LLOQ   (fg/voxel) </t>
  </si>
  <si>
    <t>3TC Concentration (µg/g)</t>
  </si>
  <si>
    <t>Sample Specific LLOQ  (fg/voxel)</t>
  </si>
  <si>
    <t>x</t>
  </si>
  <si>
    <t>NR</t>
  </si>
  <si>
    <t xml:space="preserve">Liver/Plasma Pearson Correlation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</si>
</sst>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00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Times New Roman"/>
      <family val="1"/>
      <charset val="204"/>
    </font>
    <font>
      <sz val="1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/>
    </xf>
    <xf numFmtId="168" fontId="3" fillId="0" borderId="1" xfId="0" applyNumberFormat="1" applyFont="1" applyFill="1" applyBorder="1" applyAlignment="1">
      <alignment horizontal="center"/>
    </xf>
    <xf numFmtId="2" fontId="0" fillId="0" borderId="1" xfId="0" applyNumberFormat="1" applyFont="1" applyFill="1" applyBorder="1" applyAlignment="1">
      <alignment horizontal="center"/>
    </xf>
    <xf numFmtId="0" fontId="0" fillId="0" borderId="0" xfId="0" applyFont="1" applyFill="1" applyAlignment="1"/>
    <xf numFmtId="168" fontId="0" fillId="0" borderId="0" xfId="0" applyNumberFormat="1" applyFont="1" applyFill="1" applyBorder="1" applyAlignment="1">
      <alignment horizontal="center"/>
    </xf>
    <xf numFmtId="168" fontId="0" fillId="0" borderId="0" xfId="0" applyNumberFormat="1" applyFont="1" applyFill="1" applyAlignment="1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top" wrapText="1"/>
    </xf>
    <xf numFmtId="0" fontId="0" fillId="2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3" borderId="0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PET\CPAC%20EQUIPMENT%20DATA\MALDESI\CPAC-1085\Modified%20CPAC%201085%20Lewin%20Melbourne%20Study_JM_updated_0422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rosen/AppData/Local/Microsoft/Windows/INetCache/Content.Outlook/Z04W0CYU/Modified%20CPAC%201085%20Lewin%20Melbourne%20Study_JM_updated_0607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ontact Info"/>
      <sheetName val="Sample Return"/>
      <sheetName val="Plasma"/>
      <sheetName val="Tissue"/>
      <sheetName val="CPAC 1085 Quant"/>
      <sheetName val="CPAC_1085_Quant_2"/>
      <sheetName val="CPAC 1085 Quant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8">
          <cell r="Q8">
            <v>0.16245057810910099</v>
          </cell>
        </row>
        <row r="9">
          <cell r="Q9" t="str">
            <v>BLQ</v>
          </cell>
        </row>
        <row r="10">
          <cell r="Q10">
            <v>1.0115682719864501</v>
          </cell>
        </row>
        <row r="11">
          <cell r="Q11">
            <v>0.273186247908213</v>
          </cell>
        </row>
        <row r="12">
          <cell r="Q12" t="str">
            <v>BLQ</v>
          </cell>
          <cell r="AL12">
            <v>6.7945965289103599E-2</v>
          </cell>
        </row>
        <row r="13">
          <cell r="Q13">
            <v>9.3918142736118801E-2</v>
          </cell>
        </row>
        <row r="14">
          <cell r="Q14" t="str">
            <v>BLQ</v>
          </cell>
          <cell r="AG14">
            <v>0.41069896294471098</v>
          </cell>
          <cell r="AL14">
            <v>2.4484051709700001</v>
          </cell>
        </row>
        <row r="15">
          <cell r="Q15">
            <v>4.7954704296051899E-2</v>
          </cell>
        </row>
        <row r="16">
          <cell r="Q16" t="str">
            <v>BLQ</v>
          </cell>
          <cell r="AL16">
            <v>0.45756220797651398</v>
          </cell>
        </row>
        <row r="17">
          <cell r="Q17" t="str">
            <v>BLQ</v>
          </cell>
          <cell r="AA17" t="str">
            <v>BLQ</v>
          </cell>
          <cell r="AL17">
            <v>0.33507557433758101</v>
          </cell>
        </row>
        <row r="18">
          <cell r="Q18">
            <v>4.8542729972403602E-2</v>
          </cell>
          <cell r="AA18">
            <v>313.30245499158502</v>
          </cell>
        </row>
        <row r="19">
          <cell r="Q19" t="str">
            <v>BLQ</v>
          </cell>
          <cell r="AA19">
            <v>223.42538830752</v>
          </cell>
        </row>
        <row r="20">
          <cell r="Q20" t="str">
            <v>BLQ</v>
          </cell>
          <cell r="AA20">
            <v>909.82832470000301</v>
          </cell>
        </row>
        <row r="21">
          <cell r="Q21">
            <v>1.79176152098772</v>
          </cell>
          <cell r="AA21">
            <v>1133.4650149475699</v>
          </cell>
        </row>
        <row r="22">
          <cell r="Q22">
            <v>1.80565089892386E-2</v>
          </cell>
          <cell r="AA22">
            <v>470.20635337306902</v>
          </cell>
        </row>
        <row r="23">
          <cell r="Q23" t="str">
            <v>BLQ</v>
          </cell>
          <cell r="AA23">
            <v>376.95145443447001</v>
          </cell>
        </row>
        <row r="24">
          <cell r="Q24" t="str">
            <v>BLQ</v>
          </cell>
          <cell r="AA24">
            <v>768.60202930948697</v>
          </cell>
        </row>
        <row r="25">
          <cell r="Q25">
            <v>0.38743299210479798</v>
          </cell>
          <cell r="AA25">
            <v>512.27632570918695</v>
          </cell>
        </row>
      </sheetData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ontact Info"/>
      <sheetName val="Sample Return"/>
      <sheetName val="Plasma"/>
      <sheetName val="Tissue"/>
      <sheetName val="CPAC 1085 Quant"/>
      <sheetName val="CPAC_1085_Quant_2_Updated"/>
      <sheetName val="CPAC 1085 Quant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8">
          <cell r="U8">
            <v>2.9617655158480298</v>
          </cell>
          <cell r="Y8">
            <v>56.9289555627022</v>
          </cell>
        </row>
        <row r="9">
          <cell r="U9">
            <v>0.56549615798828801</v>
          </cell>
          <cell r="Y9">
            <v>134.246509108021</v>
          </cell>
        </row>
        <row r="10">
          <cell r="U10">
            <v>6.2040517707878804</v>
          </cell>
          <cell r="Y10">
            <v>672.33323982048796</v>
          </cell>
        </row>
        <row r="11">
          <cell r="U11">
            <v>8.6504904419321207</v>
          </cell>
          <cell r="Y11">
            <v>162.65243717545599</v>
          </cell>
        </row>
        <row r="12">
          <cell r="U12">
            <v>1.62279655770208</v>
          </cell>
          <cell r="Y12">
            <v>1956.5189144200101</v>
          </cell>
        </row>
        <row r="13">
          <cell r="U13">
            <v>3.5172358480446602</v>
          </cell>
          <cell r="Y13">
            <v>408.34520191476997</v>
          </cell>
        </row>
        <row r="14">
          <cell r="U14">
            <v>13.5568834338718</v>
          </cell>
        </row>
        <row r="15">
          <cell r="U15">
            <v>3.4681124584315701</v>
          </cell>
          <cell r="Y15">
            <v>344.41058825959499</v>
          </cell>
        </row>
        <row r="16">
          <cell r="U16">
            <v>3.7810625483711902</v>
          </cell>
          <cell r="Y16">
            <v>247.284520195173</v>
          </cell>
        </row>
        <row r="17">
          <cell r="U17">
            <v>2.30095951487665</v>
          </cell>
        </row>
        <row r="18">
          <cell r="U18">
            <v>2.8586895224465998</v>
          </cell>
        </row>
        <row r="19">
          <cell r="U19">
            <v>3.3039661672190999</v>
          </cell>
        </row>
        <row r="20">
          <cell r="U20">
            <v>4.7750938172376101</v>
          </cell>
        </row>
        <row r="21">
          <cell r="U21">
            <v>7.8182698164140003</v>
          </cell>
        </row>
        <row r="22">
          <cell r="U22">
            <v>1.68611493628264</v>
          </cell>
        </row>
        <row r="23">
          <cell r="U23">
            <v>3.93512189238159</v>
          </cell>
        </row>
        <row r="24">
          <cell r="U24">
            <v>4.3535070373281597</v>
          </cell>
        </row>
        <row r="25">
          <cell r="U25">
            <v>13.1787055727919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tabSelected="1" workbookViewId="0">
      <selection activeCell="G1" sqref="G1:P1"/>
    </sheetView>
  </sheetViews>
  <sheetFormatPr defaultColWidth="8.7265625" defaultRowHeight="14.5"/>
  <cols>
    <col min="2" max="4" width="4.81640625" customWidth="1"/>
    <col min="5" max="5" width="37.6328125" customWidth="1"/>
    <col min="6" max="6" width="4.81640625" customWidth="1"/>
    <col min="7" max="7" width="8.6328125" customWidth="1"/>
    <col min="8" max="8" width="8.08984375" customWidth="1"/>
    <col min="9" max="9" width="8.6328125" customWidth="1"/>
    <col min="10" max="10" width="8.54296875" customWidth="1"/>
    <col min="11" max="11" width="8.6328125" customWidth="1"/>
    <col min="12" max="12" width="8.54296875" customWidth="1"/>
    <col min="13" max="13" width="8.6328125" customWidth="1"/>
    <col min="14" max="14" width="8.08984375" customWidth="1"/>
    <col min="15" max="15" width="8.6328125" customWidth="1"/>
    <col min="16" max="16" width="8.08984375" customWidth="1"/>
  </cols>
  <sheetData>
    <row r="1" spans="1:16">
      <c r="A1" s="1"/>
      <c r="B1" s="17" t="s">
        <v>0</v>
      </c>
      <c r="C1" s="17"/>
      <c r="D1" s="17"/>
      <c r="E1" s="17"/>
      <c r="F1" s="17"/>
      <c r="G1" s="14" t="s">
        <v>1</v>
      </c>
      <c r="H1" s="15"/>
      <c r="I1" s="15"/>
      <c r="J1" s="15"/>
      <c r="K1" s="15"/>
      <c r="L1" s="15"/>
      <c r="M1" s="15"/>
      <c r="N1" s="15"/>
      <c r="O1" s="15"/>
      <c r="P1" s="15"/>
    </row>
    <row r="2" spans="1:16">
      <c r="A2" s="1"/>
      <c r="B2" s="2"/>
      <c r="C2" s="2"/>
      <c r="D2" s="2"/>
      <c r="E2" s="2"/>
      <c r="F2" s="2"/>
      <c r="G2" s="14" t="s">
        <v>2</v>
      </c>
      <c r="H2" s="15"/>
      <c r="I2" s="15" t="s">
        <v>3</v>
      </c>
      <c r="J2" s="15"/>
      <c r="K2" s="15" t="s">
        <v>4</v>
      </c>
      <c r="L2" s="15"/>
      <c r="M2" s="15" t="s">
        <v>5</v>
      </c>
      <c r="N2" s="15"/>
      <c r="O2" s="15" t="s">
        <v>6</v>
      </c>
      <c r="P2" s="15"/>
    </row>
    <row r="3" spans="1:16" ht="65">
      <c r="A3" s="3"/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1" t="s">
        <v>7</v>
      </c>
      <c r="H3" s="12" t="s">
        <v>8</v>
      </c>
      <c r="I3" s="13" t="s">
        <v>9</v>
      </c>
      <c r="J3" s="13" t="s">
        <v>10</v>
      </c>
      <c r="K3" s="13" t="s">
        <v>11</v>
      </c>
      <c r="L3" s="13" t="s">
        <v>12</v>
      </c>
      <c r="M3" s="13" t="s">
        <v>13</v>
      </c>
      <c r="N3" s="13" t="s">
        <v>14</v>
      </c>
      <c r="O3" s="13" t="s">
        <v>15</v>
      </c>
      <c r="P3" s="13" t="s">
        <v>16</v>
      </c>
    </row>
    <row r="4" spans="1:16">
      <c r="A4" s="1"/>
      <c r="B4" s="4" t="s">
        <v>17</v>
      </c>
      <c r="C4" s="4" t="s">
        <v>17</v>
      </c>
      <c r="D4" s="4" t="s">
        <v>17</v>
      </c>
      <c r="E4" s="4" t="s">
        <v>18</v>
      </c>
      <c r="F4" s="4" t="s">
        <v>18</v>
      </c>
      <c r="G4" s="5">
        <f>[1]CPAC_1085_Quant_2!$Q8</f>
        <v>0.16245057810910099</v>
      </c>
      <c r="H4" s="6">
        <v>893.41866883217301</v>
      </c>
      <c r="I4" s="6">
        <f>[2]CPAC_1085_Quant_2_Updated!$U8</f>
        <v>2.9617655158480298</v>
      </c>
      <c r="J4" s="6">
        <v>2221.9274235952798</v>
      </c>
      <c r="K4" s="6">
        <f>[2]CPAC_1085_Quant_2_Updated!$Y8</f>
        <v>56.9289555627022</v>
      </c>
      <c r="L4" s="6">
        <v>120.03228959477001</v>
      </c>
      <c r="M4" s="4" t="s">
        <v>18</v>
      </c>
      <c r="N4" s="4" t="s">
        <v>18</v>
      </c>
      <c r="O4" s="4" t="s">
        <v>18</v>
      </c>
      <c r="P4" s="4" t="s">
        <v>18</v>
      </c>
    </row>
    <row r="5" spans="1:16">
      <c r="A5" s="1"/>
      <c r="B5" s="4" t="s">
        <v>17</v>
      </c>
      <c r="C5" s="4" t="s">
        <v>17</v>
      </c>
      <c r="D5" s="4" t="s">
        <v>17</v>
      </c>
      <c r="E5" s="4" t="s">
        <v>18</v>
      </c>
      <c r="F5" s="4" t="s">
        <v>18</v>
      </c>
      <c r="G5" s="5" t="str">
        <f>[1]CPAC_1085_Quant_2!$Q9</f>
        <v>BLQ</v>
      </c>
      <c r="H5" s="6">
        <v>893.41866883217301</v>
      </c>
      <c r="I5" s="6">
        <f>[2]CPAC_1085_Quant_2_Updated!$U9</f>
        <v>0.56549615798828801</v>
      </c>
      <c r="J5" s="6">
        <v>2221.9274235952798</v>
      </c>
      <c r="K5" s="6">
        <f>[2]CPAC_1085_Quant_2_Updated!$Y9</f>
        <v>134.246509108021</v>
      </c>
      <c r="L5" s="6">
        <v>120.03228959477001</v>
      </c>
      <c r="M5" s="4" t="s">
        <v>18</v>
      </c>
      <c r="N5" s="4" t="s">
        <v>18</v>
      </c>
      <c r="O5" s="4" t="s">
        <v>18</v>
      </c>
      <c r="P5" s="4" t="s">
        <v>18</v>
      </c>
    </row>
    <row r="6" spans="1:16">
      <c r="A6" s="1"/>
      <c r="B6" s="4" t="s">
        <v>17</v>
      </c>
      <c r="C6" s="4" t="s">
        <v>17</v>
      </c>
      <c r="D6" s="4" t="s">
        <v>17</v>
      </c>
      <c r="E6" s="4" t="s">
        <v>18</v>
      </c>
      <c r="F6" s="4" t="s">
        <v>18</v>
      </c>
      <c r="G6" s="5">
        <f>[1]CPAC_1085_Quant_2!$Q10</f>
        <v>1.0115682719864501</v>
      </c>
      <c r="H6" s="6">
        <v>893.41866883217301</v>
      </c>
      <c r="I6" s="6">
        <f>[2]CPAC_1085_Quant_2_Updated!$U10</f>
        <v>6.2040517707878804</v>
      </c>
      <c r="J6" s="6">
        <v>2221.9274235952798</v>
      </c>
      <c r="K6" s="6">
        <f>[2]CPAC_1085_Quant_2_Updated!$Y10</f>
        <v>672.33323982048796</v>
      </c>
      <c r="L6" s="6">
        <v>120.03228959477001</v>
      </c>
      <c r="M6" s="4" t="s">
        <v>18</v>
      </c>
      <c r="N6" s="4" t="s">
        <v>18</v>
      </c>
      <c r="O6" s="4" t="s">
        <v>18</v>
      </c>
      <c r="P6" s="4" t="s">
        <v>18</v>
      </c>
    </row>
    <row r="7" spans="1:16">
      <c r="A7" s="1"/>
      <c r="B7" s="4" t="s">
        <v>17</v>
      </c>
      <c r="C7" s="4" t="s">
        <v>17</v>
      </c>
      <c r="D7" s="4" t="s">
        <v>17</v>
      </c>
      <c r="E7" s="4" t="s">
        <v>18</v>
      </c>
      <c r="F7" s="4" t="s">
        <v>18</v>
      </c>
      <c r="G7" s="5">
        <f>[1]CPAC_1085_Quant_2!$Q11</f>
        <v>0.273186247908213</v>
      </c>
      <c r="H7" s="6">
        <v>893.41866883217301</v>
      </c>
      <c r="I7" s="6">
        <f>[2]CPAC_1085_Quant_2_Updated!$U11</f>
        <v>8.6504904419321207</v>
      </c>
      <c r="J7" s="6">
        <v>2221.9274235952798</v>
      </c>
      <c r="K7" s="6">
        <f>[2]CPAC_1085_Quant_2_Updated!$Y11</f>
        <v>162.65243717545599</v>
      </c>
      <c r="L7" s="6">
        <v>120.03228959477001</v>
      </c>
      <c r="M7" s="4" t="s">
        <v>18</v>
      </c>
      <c r="N7" s="4" t="s">
        <v>18</v>
      </c>
      <c r="O7" s="4" t="s">
        <v>18</v>
      </c>
      <c r="P7" s="4" t="s">
        <v>18</v>
      </c>
    </row>
    <row r="8" spans="1:16">
      <c r="A8" s="1"/>
      <c r="B8" s="4" t="s">
        <v>17</v>
      </c>
      <c r="C8" s="4" t="s">
        <v>17</v>
      </c>
      <c r="D8" s="4" t="s">
        <v>17</v>
      </c>
      <c r="E8" s="4" t="s">
        <v>18</v>
      </c>
      <c r="F8" s="4" t="s">
        <v>17</v>
      </c>
      <c r="G8" s="5" t="str">
        <f>[1]CPAC_1085_Quant_2!$Q12</f>
        <v>BLQ</v>
      </c>
      <c r="H8" s="6">
        <v>57.050485550218802</v>
      </c>
      <c r="I8" s="6">
        <f>[2]CPAC_1085_Quant_2_Updated!$U12</f>
        <v>1.62279655770208</v>
      </c>
      <c r="J8" s="6">
        <v>8731.8063702268992</v>
      </c>
      <c r="K8" s="6">
        <f>[2]CPAC_1085_Quant_2_Updated!$Y12</f>
        <v>1956.5189144200101</v>
      </c>
      <c r="L8" s="6">
        <v>776.68968186032805</v>
      </c>
      <c r="M8" s="4" t="s">
        <v>18</v>
      </c>
      <c r="N8" s="4" t="s">
        <v>18</v>
      </c>
      <c r="O8" s="6">
        <f>[1]CPAC_1085_Quant_2!$AL12</f>
        <v>6.7945965289103599E-2</v>
      </c>
      <c r="P8" s="6">
        <v>14.204573366309299</v>
      </c>
    </row>
    <row r="9" spans="1:16">
      <c r="A9" s="1"/>
      <c r="B9" s="4" t="s">
        <v>17</v>
      </c>
      <c r="C9" s="4" t="s">
        <v>17</v>
      </c>
      <c r="D9" s="4" t="s">
        <v>17</v>
      </c>
      <c r="E9" s="4" t="s">
        <v>18</v>
      </c>
      <c r="F9" s="4" t="s">
        <v>18</v>
      </c>
      <c r="G9" s="5">
        <f>[1]CPAC_1085_Quant_2!$Q13</f>
        <v>9.3918142736118801E-2</v>
      </c>
      <c r="H9" s="6">
        <v>57.050485550218802</v>
      </c>
      <c r="I9" s="6">
        <f>[2]CPAC_1085_Quant_2_Updated!$U13</f>
        <v>3.5172358480446602</v>
      </c>
      <c r="J9" s="6">
        <v>8731.8063702268992</v>
      </c>
      <c r="K9" s="6">
        <f>[2]CPAC_1085_Quant_2_Updated!$Y13</f>
        <v>408.34520191476997</v>
      </c>
      <c r="L9" s="6">
        <v>776.68968186032805</v>
      </c>
      <c r="M9" s="4" t="s">
        <v>18</v>
      </c>
      <c r="N9" s="4" t="s">
        <v>18</v>
      </c>
      <c r="O9" s="4" t="s">
        <v>18</v>
      </c>
      <c r="P9" s="4" t="s">
        <v>18</v>
      </c>
    </row>
    <row r="10" spans="1:16">
      <c r="A10" s="1"/>
      <c r="B10" s="4" t="s">
        <v>17</v>
      </c>
      <c r="C10" s="4" t="s">
        <v>17</v>
      </c>
      <c r="D10" s="4" t="s">
        <v>18</v>
      </c>
      <c r="E10" s="4" t="s">
        <v>17</v>
      </c>
      <c r="F10" s="4" t="s">
        <v>17</v>
      </c>
      <c r="G10" s="5" t="str">
        <f>[1]CPAC_1085_Quant_2!$Q14</f>
        <v>BLQ</v>
      </c>
      <c r="H10" s="6">
        <v>42.102531973085298</v>
      </c>
      <c r="I10" s="6">
        <f>[2]CPAC_1085_Quant_2_Updated!$U14</f>
        <v>13.5568834338718</v>
      </c>
      <c r="J10" s="6">
        <v>1816.71883899924</v>
      </c>
      <c r="K10" s="4" t="s">
        <v>18</v>
      </c>
      <c r="L10" s="6">
        <v>1014.57153719574</v>
      </c>
      <c r="M10" s="6">
        <f>[1]CPAC_1085_Quant_2!$AG$14</f>
        <v>0.41069896294471098</v>
      </c>
      <c r="N10" s="6">
        <v>38.1438672846133</v>
      </c>
      <c r="O10" s="6">
        <f>[1]CPAC_1085_Quant_2!$AL14</f>
        <v>2.4484051709700001</v>
      </c>
      <c r="P10" s="6">
        <v>14.204573366309299</v>
      </c>
    </row>
    <row r="11" spans="1:16">
      <c r="A11" s="1"/>
      <c r="B11" s="4" t="s">
        <v>17</v>
      </c>
      <c r="C11" s="4" t="s">
        <v>17</v>
      </c>
      <c r="D11" s="4" t="s">
        <v>17</v>
      </c>
      <c r="E11" s="4" t="s">
        <v>18</v>
      </c>
      <c r="F11" s="4" t="s">
        <v>18</v>
      </c>
      <c r="G11" s="5">
        <f>[1]CPAC_1085_Quant_2!$Q15</f>
        <v>4.7954704296051899E-2</v>
      </c>
      <c r="H11" s="6">
        <v>57.050485550218802</v>
      </c>
      <c r="I11" s="6">
        <f>[2]CPAC_1085_Quant_2_Updated!$U15</f>
        <v>3.4681124584315701</v>
      </c>
      <c r="J11" s="6">
        <v>8731.8063702268992</v>
      </c>
      <c r="K11" s="6">
        <f>[2]CPAC_1085_Quant_2_Updated!$Y15</f>
        <v>344.41058825959499</v>
      </c>
      <c r="L11" s="6">
        <v>776.68968186032805</v>
      </c>
      <c r="M11" s="4" t="s">
        <v>18</v>
      </c>
      <c r="N11" s="4" t="s">
        <v>18</v>
      </c>
      <c r="O11" s="4" t="s">
        <v>18</v>
      </c>
      <c r="P11" s="4" t="s">
        <v>18</v>
      </c>
    </row>
    <row r="12" spans="1:16">
      <c r="A12" s="1"/>
      <c r="B12" s="4" t="s">
        <v>17</v>
      </c>
      <c r="C12" s="4" t="s">
        <v>17</v>
      </c>
      <c r="D12" s="4" t="s">
        <v>17</v>
      </c>
      <c r="E12" s="4" t="s">
        <v>18</v>
      </c>
      <c r="F12" s="4" t="s">
        <v>17</v>
      </c>
      <c r="G12" s="5" t="str">
        <f>[1]CPAC_1085_Quant_2!$Q16</f>
        <v>BLQ</v>
      </c>
      <c r="H12" s="6">
        <v>42.102531973085298</v>
      </c>
      <c r="I12" s="6">
        <f>[2]CPAC_1085_Quant_2_Updated!$U16</f>
        <v>3.7810625483711902</v>
      </c>
      <c r="J12" s="6">
        <v>1816.71883899924</v>
      </c>
      <c r="K12" s="6">
        <f>[2]CPAC_1085_Quant_2_Updated!$Y16</f>
        <v>247.284520195173</v>
      </c>
      <c r="L12" s="6">
        <v>1014.57153719574</v>
      </c>
      <c r="M12" s="4" t="s">
        <v>18</v>
      </c>
      <c r="N12" s="4" t="s">
        <v>18</v>
      </c>
      <c r="O12" s="6">
        <f>[1]CPAC_1085_Quant_2!$AL16</f>
        <v>0.45756220797651398</v>
      </c>
      <c r="P12" s="6">
        <v>14.204573366309299</v>
      </c>
    </row>
    <row r="13" spans="1:16">
      <c r="A13" s="1"/>
      <c r="B13" s="4" t="s">
        <v>17</v>
      </c>
      <c r="C13" s="4" t="s">
        <v>17</v>
      </c>
      <c r="D13" s="4" t="s">
        <v>17</v>
      </c>
      <c r="E13" s="4" t="s">
        <v>18</v>
      </c>
      <c r="F13" s="4" t="s">
        <v>17</v>
      </c>
      <c r="G13" s="5" t="str">
        <f>[1]CPAC_1085_Quant_2!$Q17</f>
        <v>BLQ</v>
      </c>
      <c r="H13" s="6">
        <v>42.102531973085298</v>
      </c>
      <c r="I13" s="6">
        <f>[2]CPAC_1085_Quant_2_Updated!$U17</f>
        <v>2.30095951487665</v>
      </c>
      <c r="J13" s="6">
        <v>1816.71883899924</v>
      </c>
      <c r="K13" s="6" t="str">
        <f>[1]CPAC_1085_Quant_2!$AA17</f>
        <v>BLQ</v>
      </c>
      <c r="L13" s="6">
        <v>1014.57153719574</v>
      </c>
      <c r="M13" s="4" t="s">
        <v>18</v>
      </c>
      <c r="N13" s="4" t="s">
        <v>18</v>
      </c>
      <c r="O13" s="6">
        <f>[1]CPAC_1085_Quant_2!$AL17</f>
        <v>0.33507557433758101</v>
      </c>
      <c r="P13" s="6">
        <v>14.204573366309299</v>
      </c>
    </row>
    <row r="14" spans="1:16">
      <c r="A14" s="1"/>
      <c r="B14" s="4" t="s">
        <v>17</v>
      </c>
      <c r="C14" s="4" t="s">
        <v>17</v>
      </c>
      <c r="D14" s="4" t="s">
        <v>17</v>
      </c>
      <c r="E14" s="4" t="s">
        <v>18</v>
      </c>
      <c r="F14" s="4" t="s">
        <v>18</v>
      </c>
      <c r="G14" s="5">
        <f>[1]CPAC_1085_Quant_2!$Q18</f>
        <v>4.8542729972403602E-2</v>
      </c>
      <c r="H14" s="6">
        <v>57.050485550218802</v>
      </c>
      <c r="I14" s="6">
        <f>[2]CPAC_1085_Quant_2_Updated!$U18</f>
        <v>2.8586895224465998</v>
      </c>
      <c r="J14" s="6">
        <v>8731.8063702268992</v>
      </c>
      <c r="K14" s="6">
        <f>[1]CPAC_1085_Quant_2!$AA18</f>
        <v>313.30245499158502</v>
      </c>
      <c r="L14" s="6">
        <v>776.68968186032805</v>
      </c>
      <c r="M14" s="4" t="s">
        <v>18</v>
      </c>
      <c r="N14" s="4" t="s">
        <v>18</v>
      </c>
      <c r="O14" s="4" t="s">
        <v>18</v>
      </c>
      <c r="P14" s="4" t="s">
        <v>18</v>
      </c>
    </row>
    <row r="15" spans="1:16">
      <c r="A15" s="1"/>
      <c r="B15" s="4" t="s">
        <v>17</v>
      </c>
      <c r="C15" s="4" t="s">
        <v>17</v>
      </c>
      <c r="D15" s="4" t="s">
        <v>17</v>
      </c>
      <c r="E15" s="4" t="s">
        <v>18</v>
      </c>
      <c r="F15" s="4" t="s">
        <v>18</v>
      </c>
      <c r="G15" s="5" t="str">
        <f>[1]CPAC_1085_Quant_2!$Q19</f>
        <v>BLQ</v>
      </c>
      <c r="H15" s="6">
        <v>42.102531973085298</v>
      </c>
      <c r="I15" s="6">
        <f>[2]CPAC_1085_Quant_2_Updated!$U19</f>
        <v>3.3039661672190999</v>
      </c>
      <c r="J15" s="6">
        <v>1816.71883899924</v>
      </c>
      <c r="K15" s="6">
        <f>[1]CPAC_1085_Quant_2!$AA19</f>
        <v>223.42538830752</v>
      </c>
      <c r="L15" s="6">
        <v>1014.57153719574</v>
      </c>
      <c r="M15" s="4" t="s">
        <v>18</v>
      </c>
      <c r="N15" s="4" t="s">
        <v>18</v>
      </c>
      <c r="O15" s="4" t="s">
        <v>18</v>
      </c>
      <c r="P15" s="4" t="s">
        <v>18</v>
      </c>
    </row>
    <row r="16" spans="1:16">
      <c r="A16" s="1"/>
      <c r="B16" s="4" t="s">
        <v>17</v>
      </c>
      <c r="C16" s="4" t="s">
        <v>17</v>
      </c>
      <c r="D16" s="4" t="s">
        <v>17</v>
      </c>
      <c r="E16" s="4" t="s">
        <v>18</v>
      </c>
      <c r="F16" s="4" t="s">
        <v>18</v>
      </c>
      <c r="G16" s="5" t="str">
        <f>[1]CPAC_1085_Quant_2!$Q20</f>
        <v>BLQ</v>
      </c>
      <c r="H16" s="6">
        <v>42.102531973085298</v>
      </c>
      <c r="I16" s="6">
        <f>[2]CPAC_1085_Quant_2_Updated!$U20</f>
        <v>4.7750938172376101</v>
      </c>
      <c r="J16" s="6">
        <v>1816.71883899924</v>
      </c>
      <c r="K16" s="6">
        <f>[1]CPAC_1085_Quant_2!$AA20</f>
        <v>909.82832470000301</v>
      </c>
      <c r="L16" s="6">
        <v>1014.57153719574</v>
      </c>
      <c r="M16" s="4" t="s">
        <v>18</v>
      </c>
      <c r="N16" s="4" t="s">
        <v>18</v>
      </c>
      <c r="O16" s="4" t="s">
        <v>18</v>
      </c>
      <c r="P16" s="4" t="s">
        <v>18</v>
      </c>
    </row>
    <row r="17" spans="1:16">
      <c r="A17" s="1"/>
      <c r="B17" s="4" t="s">
        <v>17</v>
      </c>
      <c r="C17" s="4" t="s">
        <v>17</v>
      </c>
      <c r="D17" s="4" t="s">
        <v>17</v>
      </c>
      <c r="E17" s="4" t="s">
        <v>18</v>
      </c>
      <c r="F17" s="4" t="s">
        <v>18</v>
      </c>
      <c r="G17" s="5">
        <f>[1]CPAC_1085_Quant_2!$Q21</f>
        <v>1.79176152098772</v>
      </c>
      <c r="H17" s="6">
        <v>42.102531973085298</v>
      </c>
      <c r="I17" s="6">
        <f>[2]CPAC_1085_Quant_2_Updated!$U21</f>
        <v>7.8182698164140003</v>
      </c>
      <c r="J17" s="6">
        <v>1816.71883899924</v>
      </c>
      <c r="K17" s="6">
        <f>[1]CPAC_1085_Quant_2!$AA21</f>
        <v>1133.4650149475699</v>
      </c>
      <c r="L17" s="6">
        <v>1014.57153719574</v>
      </c>
      <c r="M17" s="4" t="s">
        <v>18</v>
      </c>
      <c r="N17" s="4" t="s">
        <v>18</v>
      </c>
      <c r="O17" s="4" t="s">
        <v>18</v>
      </c>
      <c r="P17" s="4" t="s">
        <v>18</v>
      </c>
    </row>
    <row r="18" spans="1:16">
      <c r="A18" s="1"/>
      <c r="B18" s="4" t="s">
        <v>17</v>
      </c>
      <c r="C18" s="4" t="s">
        <v>17</v>
      </c>
      <c r="D18" s="4" t="s">
        <v>17</v>
      </c>
      <c r="E18" s="4" t="s">
        <v>18</v>
      </c>
      <c r="F18" s="4" t="s">
        <v>18</v>
      </c>
      <c r="G18" s="5">
        <f>[1]CPAC_1085_Quant_2!$Q22</f>
        <v>1.80565089892386E-2</v>
      </c>
      <c r="H18" s="6">
        <v>42.102531973085298</v>
      </c>
      <c r="I18" s="6">
        <f>[2]CPAC_1085_Quant_2_Updated!$U22</f>
        <v>1.68611493628264</v>
      </c>
      <c r="J18" s="6">
        <v>1816.71883899924</v>
      </c>
      <c r="K18" s="6">
        <f>[1]CPAC_1085_Quant_2!$AA22</f>
        <v>470.20635337306902</v>
      </c>
      <c r="L18" s="6">
        <v>1014.57153719574</v>
      </c>
      <c r="M18" s="4" t="s">
        <v>18</v>
      </c>
      <c r="N18" s="4" t="s">
        <v>18</v>
      </c>
      <c r="O18" s="4" t="s">
        <v>18</v>
      </c>
      <c r="P18" s="4" t="s">
        <v>18</v>
      </c>
    </row>
    <row r="19" spans="1:16">
      <c r="A19" s="1"/>
      <c r="B19" s="4" t="s">
        <v>17</v>
      </c>
      <c r="C19" s="4" t="s">
        <v>17</v>
      </c>
      <c r="D19" s="4" t="s">
        <v>17</v>
      </c>
      <c r="E19" s="4" t="s">
        <v>18</v>
      </c>
      <c r="F19" s="4" t="s">
        <v>18</v>
      </c>
      <c r="G19" s="5" t="str">
        <f>[1]CPAC_1085_Quant_2!$Q23</f>
        <v>BLQ</v>
      </c>
      <c r="H19" s="6">
        <v>42.102531973085298</v>
      </c>
      <c r="I19" s="6">
        <f>[2]CPAC_1085_Quant_2_Updated!$U23</f>
        <v>3.93512189238159</v>
      </c>
      <c r="J19" s="6">
        <v>1816.71883899924</v>
      </c>
      <c r="K19" s="6">
        <f>[1]CPAC_1085_Quant_2!$AA23</f>
        <v>376.95145443447001</v>
      </c>
      <c r="L19" s="6">
        <v>1014.57153719574</v>
      </c>
      <c r="M19" s="4" t="s">
        <v>18</v>
      </c>
      <c r="N19" s="4" t="s">
        <v>18</v>
      </c>
      <c r="O19" s="4" t="s">
        <v>18</v>
      </c>
      <c r="P19" s="4" t="s">
        <v>18</v>
      </c>
    </row>
    <row r="20" spans="1:16">
      <c r="A20" s="1"/>
      <c r="B20" s="4" t="s">
        <v>17</v>
      </c>
      <c r="C20" s="4" t="s">
        <v>17</v>
      </c>
      <c r="D20" s="4" t="s">
        <v>17</v>
      </c>
      <c r="E20" s="4" t="s">
        <v>18</v>
      </c>
      <c r="F20" s="4" t="s">
        <v>18</v>
      </c>
      <c r="G20" s="5" t="str">
        <f>[1]CPAC_1085_Quant_2!$Q24</f>
        <v>BLQ</v>
      </c>
      <c r="H20" s="6">
        <v>42.102531973085298</v>
      </c>
      <c r="I20" s="6">
        <f>[2]CPAC_1085_Quant_2_Updated!$U24</f>
        <v>4.3535070373281597</v>
      </c>
      <c r="J20" s="6">
        <v>1816.71883899924</v>
      </c>
      <c r="K20" s="6">
        <f>[1]CPAC_1085_Quant_2!$AA24</f>
        <v>768.60202930948697</v>
      </c>
      <c r="L20" s="6">
        <v>1014.57153719574</v>
      </c>
      <c r="M20" s="4" t="s">
        <v>18</v>
      </c>
      <c r="N20" s="4" t="s">
        <v>18</v>
      </c>
      <c r="O20" s="4" t="s">
        <v>18</v>
      </c>
      <c r="P20" s="4" t="s">
        <v>18</v>
      </c>
    </row>
    <row r="21" spans="1:16">
      <c r="A21" s="1"/>
      <c r="B21" s="4" t="s">
        <v>17</v>
      </c>
      <c r="C21" s="4" t="s">
        <v>17</v>
      </c>
      <c r="D21" s="4" t="s">
        <v>17</v>
      </c>
      <c r="E21" s="4" t="s">
        <v>18</v>
      </c>
      <c r="F21" s="4" t="s">
        <v>18</v>
      </c>
      <c r="G21" s="5">
        <f>[1]CPAC_1085_Quant_2!$Q25</f>
        <v>0.38743299210479798</v>
      </c>
      <c r="H21" s="6">
        <v>42.102531973085298</v>
      </c>
      <c r="I21" s="6">
        <f>[2]CPAC_1085_Quant_2_Updated!$U25</f>
        <v>13.1787055727919</v>
      </c>
      <c r="J21" s="6">
        <v>1816.71883899924</v>
      </c>
      <c r="K21" s="6">
        <f>[1]CPAC_1085_Quant_2!$AA25</f>
        <v>512.27632570918695</v>
      </c>
      <c r="L21" s="6">
        <v>1014.57153719574</v>
      </c>
      <c r="M21" s="4" t="s">
        <v>18</v>
      </c>
      <c r="N21" s="4" t="s">
        <v>18</v>
      </c>
      <c r="O21" s="4" t="s">
        <v>18</v>
      </c>
      <c r="P21" s="4" t="s">
        <v>18</v>
      </c>
    </row>
    <row r="22" spans="1:16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>
      <c r="A23" s="7"/>
      <c r="B23" s="7"/>
      <c r="C23" s="7"/>
      <c r="D23" s="7"/>
      <c r="E23" s="16" t="s">
        <v>19</v>
      </c>
      <c r="F23" s="7"/>
      <c r="G23" s="7"/>
      <c r="H23" s="7"/>
      <c r="I23" s="8">
        <v>0.56399999999999995</v>
      </c>
      <c r="J23" s="9"/>
      <c r="K23" s="8">
        <v>0.68899999999999995</v>
      </c>
      <c r="L23" s="7"/>
      <c r="M23" s="7"/>
      <c r="N23" s="7"/>
      <c r="O23" s="7"/>
      <c r="P23" s="7"/>
    </row>
  </sheetData>
  <mergeCells count="7">
    <mergeCell ref="B1:F1"/>
    <mergeCell ref="G1:P1"/>
    <mergeCell ref="G2:H2"/>
    <mergeCell ref="I2:J2"/>
    <mergeCell ref="K2:L2"/>
    <mergeCell ref="M2:N2"/>
    <mergeCell ref="O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2024-11-15T09:28:00Z</dcterms:created>
  <dcterms:modified xsi:type="dcterms:W3CDTF">2025-11-28T14:41:43Z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80CE31AB3EAB4121AA32D2D9CFE31FF0_11</vt:lpwstr>
  </property>
  <property fmtid="{D5CDD505-2E9C-101B-9397-08002B2CF9AE}" pid="3" name="KSOProductBuildVer">
    <vt:lpwstr>2052-12.1.0.19302</vt:lpwstr>
  </property>
</Properties>
</file>