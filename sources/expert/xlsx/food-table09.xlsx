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veal loin c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G31" i="1"/>
  <c r="E31" i="1"/>
  <c r="I30" i="1"/>
  <c r="G30" i="1"/>
  <c r="E30" i="1"/>
  <c r="I29" i="1"/>
  <c r="G29" i="1"/>
  <c r="E29" i="1"/>
  <c r="I28" i="1"/>
  <c r="G28" i="1"/>
  <c r="E28" i="1"/>
  <c r="I27" i="1"/>
  <c r="G27" i="1"/>
  <c r="E27" i="1"/>
  <c r="I26" i="1"/>
  <c r="G26" i="1"/>
  <c r="E26" i="1"/>
  <c r="I25" i="1"/>
  <c r="G25" i="1"/>
  <c r="E25" i="1"/>
  <c r="I24" i="1"/>
  <c r="G24" i="1"/>
  <c r="E24" i="1"/>
  <c r="I23" i="1"/>
  <c r="G23" i="1"/>
  <c r="E23" i="1"/>
  <c r="I22" i="1"/>
  <c r="G22" i="1"/>
  <c r="E22" i="1"/>
  <c r="I21" i="1"/>
  <c r="G21" i="1"/>
  <c r="E21" i="1"/>
  <c r="I20" i="1"/>
  <c r="G20" i="1"/>
  <c r="E20" i="1"/>
  <c r="I19" i="1"/>
  <c r="G19" i="1"/>
  <c r="E19" i="1"/>
  <c r="I18" i="1"/>
  <c r="G18" i="1"/>
  <c r="E18" i="1"/>
  <c r="I17" i="1"/>
  <c r="G17" i="1"/>
  <c r="E17" i="1"/>
  <c r="I16" i="1"/>
  <c r="G16" i="1"/>
  <c r="E16" i="1"/>
  <c r="I15" i="1"/>
  <c r="G15" i="1"/>
  <c r="E15" i="1"/>
  <c r="I14" i="1"/>
  <c r="G14" i="1"/>
  <c r="E14" i="1"/>
  <c r="I13" i="1"/>
  <c r="G13" i="1"/>
  <c r="E13" i="1"/>
  <c r="I12" i="1"/>
  <c r="G12" i="1"/>
  <c r="E12" i="1"/>
  <c r="I11" i="1"/>
  <c r="G11" i="1"/>
  <c r="E11" i="1"/>
  <c r="I10" i="1"/>
  <c r="G10" i="1"/>
  <c r="E10" i="1"/>
  <c r="I9" i="1"/>
  <c r="G9" i="1"/>
  <c r="E9" i="1"/>
  <c r="I8" i="1"/>
  <c r="G8" i="1"/>
  <c r="E8" i="1"/>
  <c r="I7" i="1"/>
  <c r="H7" i="1"/>
  <c r="G7" i="1"/>
  <c r="F7" i="1"/>
  <c r="E7" i="1"/>
  <c r="D7" i="1"/>
  <c r="I6" i="1"/>
  <c r="G6" i="1"/>
  <c r="E6" i="1"/>
  <c r="I5" i="1"/>
  <c r="G5" i="1"/>
  <c r="E5" i="1"/>
</calcChain>
</file>

<file path=xl/sharedStrings.xml><?xml version="1.0" encoding="utf-8"?>
<sst xmlns="http://schemas.openxmlformats.org/spreadsheetml/2006/main" count="117" uniqueCount="51">
  <si>
    <t>Nutrient Name</t>
  </si>
  <si>
    <t>Unit</t>
  </si>
  <si>
    <r>
      <rPr>
        <b/>
        <sz val="12"/>
        <rFont val="Times New Roman"/>
        <charset val="134"/>
      </rPr>
      <t>N</t>
    </r>
    <r>
      <rPr>
        <b/>
        <vertAlign val="superscript"/>
        <sz val="12"/>
        <rFont val="Times New Roman"/>
        <charset val="134"/>
      </rPr>
      <t>[1]</t>
    </r>
  </si>
  <si>
    <t>Lean and Fat</t>
  </si>
  <si>
    <t>Lean Only</t>
  </si>
  <si>
    <r>
      <rPr>
        <b/>
        <sz val="10"/>
        <rFont val="Arial"/>
        <charset val="134"/>
      </rPr>
      <t>Source Code</t>
    </r>
    <r>
      <rPr>
        <b/>
        <vertAlign val="superscript"/>
        <sz val="10"/>
        <rFont val="Arial"/>
        <charset val="134"/>
      </rPr>
      <t>[1]</t>
    </r>
  </si>
  <si>
    <t>Raw</t>
  </si>
  <si>
    <t>Cooked</t>
  </si>
  <si>
    <t>(Grilled)</t>
  </si>
  <si>
    <t>100g</t>
  </si>
  <si>
    <t>114g</t>
  </si>
  <si>
    <t>85g</t>
  </si>
  <si>
    <t>Water</t>
  </si>
  <si>
    <t>g</t>
  </si>
  <si>
    <t>0/0/6</t>
  </si>
  <si>
    <t>1</t>
  </si>
  <si>
    <t>Energy</t>
  </si>
  <si>
    <t>Kcal</t>
  </si>
  <si>
    <t>4/6/4</t>
  </si>
  <si>
    <t>Calories from fat</t>
  </si>
  <si>
    <t>4</t>
  </si>
  <si>
    <t>Protein</t>
  </si>
  <si>
    <t>Total lipid (fat)</t>
  </si>
  <si>
    <t>Ash</t>
  </si>
  <si>
    <t>Carbohydrate, by difference</t>
  </si>
  <si>
    <t>6/6/4</t>
  </si>
  <si>
    <t>Fiber, total dietary</t>
  </si>
  <si>
    <t>6/6/7</t>
  </si>
  <si>
    <t>Sugars, total</t>
  </si>
  <si>
    <t>Calcium, Ca</t>
  </si>
  <si>
    <t>mg</t>
  </si>
  <si>
    <t>Iron, Fe</t>
  </si>
  <si>
    <t>Sodium, Na</t>
  </si>
  <si>
    <t>Vitamin C, total ascorbic acid</t>
  </si>
  <si>
    <t>Vitamin A</t>
  </si>
  <si>
    <t>IU</t>
  </si>
  <si>
    <t>Fatty acids, total saturated</t>
  </si>
  <si>
    <t>Cholesterol</t>
  </si>
  <si>
    <t>Magnesium, Mg</t>
  </si>
  <si>
    <t>Phosphorus, P</t>
  </si>
  <si>
    <t>Potassium, K</t>
  </si>
  <si>
    <t>Zinc, Zn</t>
  </si>
  <si>
    <t>Selenium, Se</t>
  </si>
  <si>
    <t>mcg</t>
  </si>
  <si>
    <t>0/0/1</t>
  </si>
  <si>
    <t>Thiamin</t>
  </si>
  <si>
    <t>Riboflavin</t>
  </si>
  <si>
    <t>Niacin</t>
  </si>
  <si>
    <t>Pantothenic acid</t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</si>
  <si>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6</t>
    </r>
  </si>
  <si>
    <r>
      <rPr>
        <sz val="10"/>
        <rFont val="Arial"/>
        <charset val="134"/>
      </rPr>
      <t>Vitamin B</t>
    </r>
    <r>
      <rPr>
        <vertAlign val="subscript"/>
        <sz val="10"/>
        <rFont val="Arial"/>
        <charset val="134"/>
      </rPr>
      <t>12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</si>
</sst>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10">
    <font>
      <sz val="10"/>
      <name val="Arial"/>
      <charset val="134"/>
    </font>
    <font>
      <b/>
      <sz val="12"/>
      <name val="Times New Roman"/>
      <charset val="134"/>
    </font>
    <font>
      <i/>
      <sz val="12"/>
      <name val="Times New Roman"/>
      <charset val="134"/>
    </font>
    <font>
      <sz val="12"/>
      <name val="Times New Roman"/>
      <charset val="134"/>
    </font>
    <font>
      <sz val="10"/>
      <color indexed="8"/>
      <name val="Arial"/>
      <charset val="134"/>
    </font>
    <font>
      <sz val="9"/>
      <name val="Arial"/>
      <charset val="134"/>
    </font>
    <font>
      <b/>
      <sz val="10"/>
      <name val="Arial"/>
      <charset val="134"/>
    </font>
    <font>
      <b/>
      <vertAlign val="superscript"/>
      <sz val="10"/>
      <name val="Arial"/>
      <charset val="134"/>
    </font>
    <font>
      <vertAlign val="subscript"/>
      <sz val="10"/>
      <name val="Arial"/>
      <charset val="134"/>
    </font>
    <font>
      <b/>
      <vertAlign val="superscript"/>
      <sz val="12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Font="1" applyBorder="1" applyAlignment="1">
      <alignment horizontal="center" vertical="center" wrapText="1"/>
    </xf>
    <xf numFmtId="2" fontId="0" fillId="0" borderId="2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Font="1" applyBorder="1" applyAlignment="1">
      <alignment horizontal="center" vertical="center" wrapText="1"/>
    </xf>
    <xf numFmtId="168" fontId="0" fillId="0" borderId="2" xfId="0" applyNumberFormat="1" applyBorder="1" applyAlignment="1">
      <alignment horizontal="center" vertical="center"/>
    </xf>
    <xf numFmtId="168" fontId="0" fillId="0" borderId="2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0" fillId="3" borderId="2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49" fontId="4" fillId="3" borderId="2" xfId="0" applyNumberFormat="1" applyFont="1" applyFill="1" applyBorder="1" applyAlignment="1">
      <alignment horizontal="left" vertical="center" shrinkToFi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workbookViewId="0">
      <selection activeCell="A5" sqref="A5:A31"/>
    </sheetView>
  </sheetViews>
  <sheetFormatPr defaultColWidth="9.08984375" defaultRowHeight="12.5"/>
  <cols>
    <col min="1" max="1" width="28.7265625" style="1" customWidth="1"/>
    <col min="2" max="2" width="7.7265625" style="1" customWidth="1"/>
    <col min="3" max="10" width="8.7265625" style="1" customWidth="1"/>
    <col min="11" max="16384" width="9.08984375" style="1"/>
  </cols>
  <sheetData>
    <row r="1" spans="1:10" ht="30" customHeight="1">
      <c r="A1" s="15" t="s">
        <v>0</v>
      </c>
      <c r="B1" s="15" t="s">
        <v>1</v>
      </c>
      <c r="C1" s="15" t="s">
        <v>2</v>
      </c>
      <c r="D1" s="15" t="s">
        <v>3</v>
      </c>
      <c r="E1" s="15"/>
      <c r="F1" s="15"/>
      <c r="G1" s="15"/>
      <c r="H1" s="15" t="s">
        <v>4</v>
      </c>
      <c r="I1" s="15"/>
      <c r="J1" s="16" t="s">
        <v>5</v>
      </c>
    </row>
    <row r="2" spans="1:10" ht="15.75" customHeight="1">
      <c r="A2" s="17"/>
      <c r="B2" s="17"/>
      <c r="C2" s="17"/>
      <c r="D2" s="18" t="s">
        <v>6</v>
      </c>
      <c r="E2" s="18"/>
      <c r="F2" s="18" t="s">
        <v>7</v>
      </c>
      <c r="G2" s="18"/>
      <c r="H2" s="18" t="s">
        <v>7</v>
      </c>
      <c r="I2" s="18"/>
      <c r="J2" s="19"/>
    </row>
    <row r="3" spans="1:10" ht="16.5" customHeight="1">
      <c r="A3" s="17"/>
      <c r="B3" s="17"/>
      <c r="C3" s="17"/>
      <c r="D3" s="18"/>
      <c r="E3" s="18"/>
      <c r="F3" s="18" t="s">
        <v>8</v>
      </c>
      <c r="G3" s="18"/>
      <c r="H3" s="18" t="s">
        <v>8</v>
      </c>
      <c r="I3" s="18"/>
      <c r="J3" s="19"/>
    </row>
    <row r="4" spans="1:10" ht="20.149999999999999" customHeight="1">
      <c r="A4" s="17"/>
      <c r="B4" s="17"/>
      <c r="C4" s="17"/>
      <c r="D4" s="20" t="s">
        <v>9</v>
      </c>
      <c r="E4" s="20" t="s">
        <v>10</v>
      </c>
      <c r="F4" s="20" t="s">
        <v>9</v>
      </c>
      <c r="G4" s="20" t="s">
        <v>11</v>
      </c>
      <c r="H4" s="20" t="s">
        <v>9</v>
      </c>
      <c r="I4" s="20" t="s">
        <v>11</v>
      </c>
      <c r="J4" s="19"/>
    </row>
    <row r="5" spans="1:10">
      <c r="A5" s="21" t="s">
        <v>12</v>
      </c>
      <c r="B5" s="2" t="s">
        <v>13</v>
      </c>
      <c r="C5" s="2" t="s">
        <v>14</v>
      </c>
      <c r="D5" s="3">
        <v>69.44</v>
      </c>
      <c r="E5" s="3">
        <f t="shared" ref="E5:E31" si="0">D5*114/100</f>
        <v>79.161600000000007</v>
      </c>
      <c r="F5" s="4">
        <v>61.41</v>
      </c>
      <c r="G5" s="3">
        <f t="shared" ref="G5:G31" si="1">F5*85/100</f>
        <v>52.198500000000003</v>
      </c>
      <c r="H5" s="4">
        <v>64.650000000000006</v>
      </c>
      <c r="I5" s="4">
        <f>H5*85/100</f>
        <v>54.952500000000001</v>
      </c>
      <c r="J5" s="13" t="s">
        <v>15</v>
      </c>
    </row>
    <row r="6" spans="1:10">
      <c r="A6" s="22" t="s">
        <v>16</v>
      </c>
      <c r="B6" s="2" t="s">
        <v>17</v>
      </c>
      <c r="C6" s="2">
        <v>0</v>
      </c>
      <c r="D6" s="3">
        <v>177</v>
      </c>
      <c r="E6" s="3">
        <f t="shared" si="0"/>
        <v>201.78</v>
      </c>
      <c r="F6" s="4">
        <v>198</v>
      </c>
      <c r="G6" s="3">
        <f t="shared" si="1"/>
        <v>168.3</v>
      </c>
      <c r="H6" s="4">
        <v>159</v>
      </c>
      <c r="I6" s="4">
        <f t="shared" ref="I6:I31" si="2">H6*85/100</f>
        <v>135.15</v>
      </c>
      <c r="J6" s="14" t="s">
        <v>18</v>
      </c>
    </row>
    <row r="7" spans="1:10">
      <c r="A7" s="22" t="s">
        <v>19</v>
      </c>
      <c r="B7" s="2" t="s">
        <v>17</v>
      </c>
      <c r="C7" s="2">
        <v>0</v>
      </c>
      <c r="D7" s="3">
        <f t="shared" ref="D7:H7" si="3">D9*9</f>
        <v>90.63</v>
      </c>
      <c r="E7" s="3">
        <f t="shared" si="0"/>
        <v>103.3182</v>
      </c>
      <c r="F7" s="3">
        <f t="shared" si="3"/>
        <v>85.32</v>
      </c>
      <c r="G7" s="3">
        <f t="shared" si="1"/>
        <v>72.522000000000006</v>
      </c>
      <c r="H7" s="3">
        <f t="shared" si="3"/>
        <v>39.96</v>
      </c>
      <c r="I7" s="4">
        <f t="shared" si="2"/>
        <v>33.966000000000001</v>
      </c>
      <c r="J7" s="14" t="s">
        <v>20</v>
      </c>
    </row>
    <row r="8" spans="1:10">
      <c r="A8" s="22" t="s">
        <v>21</v>
      </c>
      <c r="B8" s="2" t="s">
        <v>13</v>
      </c>
      <c r="C8" s="2" t="s">
        <v>14</v>
      </c>
      <c r="D8" s="3">
        <v>20.07</v>
      </c>
      <c r="E8" s="3">
        <f t="shared" si="0"/>
        <v>22.879799999999999</v>
      </c>
      <c r="F8" s="4">
        <v>28.04</v>
      </c>
      <c r="G8" s="3">
        <f t="shared" si="1"/>
        <v>23.834</v>
      </c>
      <c r="H8" s="4">
        <v>29.75</v>
      </c>
      <c r="I8" s="4">
        <f t="shared" si="2"/>
        <v>25.287500000000001</v>
      </c>
      <c r="J8" s="14" t="s">
        <v>15</v>
      </c>
    </row>
    <row r="9" spans="1:10">
      <c r="A9" s="22" t="s">
        <v>22</v>
      </c>
      <c r="B9" s="2" t="s">
        <v>13</v>
      </c>
      <c r="C9" s="2" t="s">
        <v>14</v>
      </c>
      <c r="D9" s="3">
        <v>10.07</v>
      </c>
      <c r="E9" s="3">
        <f t="shared" si="0"/>
        <v>11.479799999999999</v>
      </c>
      <c r="F9" s="4">
        <v>9.48</v>
      </c>
      <c r="G9" s="3">
        <f t="shared" si="1"/>
        <v>8.0579999999999998</v>
      </c>
      <c r="H9" s="4">
        <v>4.4400000000000004</v>
      </c>
      <c r="I9" s="4">
        <f t="shared" si="2"/>
        <v>3.774</v>
      </c>
      <c r="J9" s="14" t="s">
        <v>15</v>
      </c>
    </row>
    <row r="10" spans="1:10">
      <c r="A10" s="22" t="s">
        <v>23</v>
      </c>
      <c r="B10" s="2" t="s">
        <v>13</v>
      </c>
      <c r="C10" s="2" t="s">
        <v>14</v>
      </c>
      <c r="D10" s="5">
        <v>0.96</v>
      </c>
      <c r="E10" s="6">
        <f t="shared" si="0"/>
        <v>1.0944</v>
      </c>
      <c r="F10" s="7">
        <v>1.03</v>
      </c>
      <c r="G10" s="6">
        <f t="shared" si="1"/>
        <v>0.87549999999999994</v>
      </c>
      <c r="H10" s="7">
        <v>1.0900000000000001</v>
      </c>
      <c r="I10" s="7">
        <f t="shared" si="2"/>
        <v>0.92649999999999999</v>
      </c>
      <c r="J10" s="14" t="s">
        <v>15</v>
      </c>
    </row>
    <row r="11" spans="1:10">
      <c r="A11" s="22" t="s">
        <v>24</v>
      </c>
      <c r="B11" s="2" t="s">
        <v>13</v>
      </c>
      <c r="C11" s="4">
        <v>0</v>
      </c>
      <c r="D11" s="3">
        <v>7.0000000000000007E-2</v>
      </c>
      <c r="E11" s="3">
        <f t="shared" si="0"/>
        <v>7.9799999999999996E-2</v>
      </c>
      <c r="F11" s="4">
        <v>0.16</v>
      </c>
      <c r="G11" s="3">
        <f t="shared" si="1"/>
        <v>0.13600000000000001</v>
      </c>
      <c r="H11" s="4">
        <v>7.0000000000000007E-2</v>
      </c>
      <c r="I11" s="4">
        <f t="shared" si="2"/>
        <v>5.9499999999999997E-2</v>
      </c>
      <c r="J11" s="14" t="s">
        <v>25</v>
      </c>
    </row>
    <row r="12" spans="1:10">
      <c r="A12" s="22" t="s">
        <v>26</v>
      </c>
      <c r="B12" s="2" t="s">
        <v>13</v>
      </c>
      <c r="C12" s="4">
        <v>0</v>
      </c>
      <c r="D12" s="3">
        <v>0</v>
      </c>
      <c r="E12" s="3">
        <f t="shared" si="0"/>
        <v>0</v>
      </c>
      <c r="F12" s="4">
        <v>0</v>
      </c>
      <c r="G12" s="3">
        <f t="shared" si="1"/>
        <v>0</v>
      </c>
      <c r="H12" s="4">
        <v>0</v>
      </c>
      <c r="I12" s="4">
        <f t="shared" si="2"/>
        <v>0</v>
      </c>
      <c r="J12" s="14" t="s">
        <v>27</v>
      </c>
    </row>
    <row r="13" spans="1:10">
      <c r="A13" s="22" t="s">
        <v>28</v>
      </c>
      <c r="B13" s="2" t="s">
        <v>13</v>
      </c>
      <c r="C13" s="4">
        <v>0</v>
      </c>
      <c r="D13" s="3">
        <v>0</v>
      </c>
      <c r="E13" s="3">
        <f t="shared" si="0"/>
        <v>0</v>
      </c>
      <c r="F13" s="4">
        <v>0</v>
      </c>
      <c r="G13" s="3">
        <f t="shared" si="1"/>
        <v>0</v>
      </c>
      <c r="H13" s="4">
        <v>0</v>
      </c>
      <c r="I13" s="4">
        <f t="shared" si="2"/>
        <v>0</v>
      </c>
      <c r="J13" s="14" t="s">
        <v>27</v>
      </c>
    </row>
    <row r="14" spans="1:10">
      <c r="A14" s="22" t="s">
        <v>29</v>
      </c>
      <c r="B14" s="2" t="s">
        <v>30</v>
      </c>
      <c r="C14" s="2" t="s">
        <v>14</v>
      </c>
      <c r="D14" s="8">
        <v>14</v>
      </c>
      <c r="E14" s="8">
        <f t="shared" si="0"/>
        <v>15.96</v>
      </c>
      <c r="F14" s="9">
        <v>17</v>
      </c>
      <c r="G14" s="8">
        <f t="shared" si="1"/>
        <v>14.45</v>
      </c>
      <c r="H14" s="9">
        <v>13</v>
      </c>
      <c r="I14" s="9">
        <f t="shared" si="2"/>
        <v>11.05</v>
      </c>
      <c r="J14" s="14" t="s">
        <v>15</v>
      </c>
    </row>
    <row r="15" spans="1:10">
      <c r="A15" s="22" t="s">
        <v>31</v>
      </c>
      <c r="B15" s="2" t="s">
        <v>30</v>
      </c>
      <c r="C15" s="2" t="s">
        <v>14</v>
      </c>
      <c r="D15" s="8">
        <v>0.84</v>
      </c>
      <c r="E15" s="8">
        <f t="shared" si="0"/>
        <v>0.95760000000000001</v>
      </c>
      <c r="F15" s="9">
        <v>0.82</v>
      </c>
      <c r="G15" s="8">
        <f t="shared" si="1"/>
        <v>0.69699999999999995</v>
      </c>
      <c r="H15" s="9">
        <v>0.79</v>
      </c>
      <c r="I15" s="9">
        <f t="shared" si="2"/>
        <v>0.67149999999999999</v>
      </c>
      <c r="J15" s="14" t="s">
        <v>15</v>
      </c>
    </row>
    <row r="16" spans="1:10">
      <c r="A16" s="22" t="s">
        <v>32</v>
      </c>
      <c r="B16" s="2" t="s">
        <v>30</v>
      </c>
      <c r="C16" s="2" t="s">
        <v>14</v>
      </c>
      <c r="D16" s="3">
        <v>98</v>
      </c>
      <c r="E16" s="3">
        <f t="shared" si="0"/>
        <v>111.72</v>
      </c>
      <c r="F16" s="4">
        <v>86</v>
      </c>
      <c r="G16" s="3">
        <f t="shared" si="1"/>
        <v>73.099999999999994</v>
      </c>
      <c r="H16" s="4">
        <v>85</v>
      </c>
      <c r="I16" s="4">
        <f t="shared" si="2"/>
        <v>72.25</v>
      </c>
      <c r="J16" s="14" t="s">
        <v>15</v>
      </c>
    </row>
    <row r="17" spans="1:10" ht="16.5" customHeight="1">
      <c r="A17" s="23" t="s">
        <v>33</v>
      </c>
      <c r="B17" s="2" t="s">
        <v>30</v>
      </c>
      <c r="C17" s="2">
        <v>0</v>
      </c>
      <c r="D17" s="3">
        <v>0</v>
      </c>
      <c r="E17" s="3">
        <f t="shared" si="0"/>
        <v>0</v>
      </c>
      <c r="F17" s="4">
        <v>0</v>
      </c>
      <c r="G17" s="3">
        <f t="shared" si="1"/>
        <v>0</v>
      </c>
      <c r="H17" s="4">
        <v>0</v>
      </c>
      <c r="I17" s="4">
        <f t="shared" si="2"/>
        <v>0</v>
      </c>
      <c r="J17" s="14" t="s">
        <v>27</v>
      </c>
    </row>
    <row r="18" spans="1:10">
      <c r="A18" s="22" t="s">
        <v>34</v>
      </c>
      <c r="B18" s="2" t="s">
        <v>35</v>
      </c>
      <c r="C18" s="2">
        <v>0</v>
      </c>
      <c r="D18" s="3">
        <v>0</v>
      </c>
      <c r="E18" s="3">
        <f t="shared" si="0"/>
        <v>0</v>
      </c>
      <c r="F18" s="4">
        <v>0</v>
      </c>
      <c r="G18" s="3">
        <f t="shared" si="1"/>
        <v>0</v>
      </c>
      <c r="H18" s="4">
        <v>0</v>
      </c>
      <c r="I18" s="4">
        <f t="shared" si="2"/>
        <v>0</v>
      </c>
      <c r="J18" s="14" t="s">
        <v>15</v>
      </c>
    </row>
    <row r="19" spans="1:10">
      <c r="A19" s="22" t="s">
        <v>36</v>
      </c>
      <c r="B19" s="2" t="s">
        <v>13</v>
      </c>
      <c r="C19" s="2">
        <v>0</v>
      </c>
      <c r="D19" s="8">
        <v>3.6070000000000002</v>
      </c>
      <c r="E19" s="8">
        <f t="shared" si="0"/>
        <v>4.11198</v>
      </c>
      <c r="F19" s="9">
        <v>3.3780000000000001</v>
      </c>
      <c r="G19" s="8">
        <f t="shared" si="1"/>
        <v>2.8713000000000002</v>
      </c>
      <c r="H19" s="9">
        <v>1.742</v>
      </c>
      <c r="I19" s="9">
        <f t="shared" si="2"/>
        <v>1.4806999999999999</v>
      </c>
      <c r="J19" s="14" t="s">
        <v>25</v>
      </c>
    </row>
    <row r="20" spans="1:10">
      <c r="A20" s="22" t="s">
        <v>37</v>
      </c>
      <c r="B20" s="2" t="s">
        <v>30</v>
      </c>
      <c r="C20" s="2" t="s">
        <v>14</v>
      </c>
      <c r="D20" s="3">
        <v>59</v>
      </c>
      <c r="E20" s="3">
        <f t="shared" si="0"/>
        <v>67.260000000000005</v>
      </c>
      <c r="F20" s="4">
        <v>79</v>
      </c>
      <c r="G20" s="3">
        <f t="shared" si="1"/>
        <v>67.150000000000006</v>
      </c>
      <c r="H20" s="4">
        <v>78</v>
      </c>
      <c r="I20" s="4">
        <f t="shared" si="2"/>
        <v>66.3</v>
      </c>
      <c r="J20" s="14" t="s">
        <v>15</v>
      </c>
    </row>
    <row r="21" spans="1:10">
      <c r="A21" s="21" t="s">
        <v>38</v>
      </c>
      <c r="B21" s="2" t="s">
        <v>30</v>
      </c>
      <c r="C21" s="2" t="s">
        <v>14</v>
      </c>
      <c r="D21" s="3">
        <v>43</v>
      </c>
      <c r="E21" s="3">
        <f t="shared" si="0"/>
        <v>49.02</v>
      </c>
      <c r="F21" s="4">
        <v>32</v>
      </c>
      <c r="G21" s="3">
        <f t="shared" si="1"/>
        <v>27.2</v>
      </c>
      <c r="H21" s="4">
        <v>33</v>
      </c>
      <c r="I21" s="4">
        <f t="shared" si="2"/>
        <v>28.05</v>
      </c>
      <c r="J21" s="14" t="s">
        <v>15</v>
      </c>
    </row>
    <row r="22" spans="1:10">
      <c r="A22" s="21" t="s">
        <v>39</v>
      </c>
      <c r="B22" s="2" t="s">
        <v>30</v>
      </c>
      <c r="C22" s="2" t="s">
        <v>14</v>
      </c>
      <c r="D22" s="3">
        <v>222</v>
      </c>
      <c r="E22" s="3">
        <f t="shared" si="0"/>
        <v>253.08</v>
      </c>
      <c r="F22" s="4">
        <v>208</v>
      </c>
      <c r="G22" s="3">
        <f t="shared" si="1"/>
        <v>176.8</v>
      </c>
      <c r="H22" s="4">
        <v>214</v>
      </c>
      <c r="I22" s="4">
        <f t="shared" si="2"/>
        <v>181.9</v>
      </c>
      <c r="J22" s="14" t="s">
        <v>15</v>
      </c>
    </row>
    <row r="23" spans="1:10">
      <c r="A23" s="21" t="s">
        <v>40</v>
      </c>
      <c r="B23" s="2" t="s">
        <v>30</v>
      </c>
      <c r="C23" s="2" t="s">
        <v>14</v>
      </c>
      <c r="D23" s="3">
        <v>241</v>
      </c>
      <c r="E23" s="3">
        <f t="shared" si="0"/>
        <v>274.74</v>
      </c>
      <c r="F23" s="4">
        <v>229</v>
      </c>
      <c r="G23" s="3">
        <f t="shared" si="1"/>
        <v>194.65</v>
      </c>
      <c r="H23" s="4">
        <v>239</v>
      </c>
      <c r="I23" s="4">
        <f t="shared" si="2"/>
        <v>203.15</v>
      </c>
      <c r="J23" s="14" t="s">
        <v>15</v>
      </c>
    </row>
    <row r="24" spans="1:10">
      <c r="A24" s="21" t="s">
        <v>41</v>
      </c>
      <c r="B24" s="2" t="s">
        <v>30</v>
      </c>
      <c r="C24" s="2" t="s">
        <v>14</v>
      </c>
      <c r="D24" s="8">
        <v>2.0099999999999998</v>
      </c>
      <c r="E24" s="8">
        <f t="shared" si="0"/>
        <v>2.2913999999999999</v>
      </c>
      <c r="F24" s="9">
        <v>1.81</v>
      </c>
      <c r="G24" s="8">
        <f t="shared" si="1"/>
        <v>1.5385</v>
      </c>
      <c r="H24" s="9">
        <v>1.83</v>
      </c>
      <c r="I24" s="9">
        <f t="shared" si="2"/>
        <v>1.5555000000000001</v>
      </c>
      <c r="J24" s="14" t="s">
        <v>15</v>
      </c>
    </row>
    <row r="25" spans="1:10">
      <c r="A25" s="21" t="s">
        <v>42</v>
      </c>
      <c r="B25" s="2" t="s">
        <v>43</v>
      </c>
      <c r="C25" s="2" t="s">
        <v>44</v>
      </c>
      <c r="D25" s="3">
        <v>16.2</v>
      </c>
      <c r="E25" s="3">
        <f t="shared" si="0"/>
        <v>18.468</v>
      </c>
      <c r="F25" s="4">
        <v>24.4</v>
      </c>
      <c r="G25" s="3">
        <f t="shared" si="1"/>
        <v>20.74</v>
      </c>
      <c r="H25" s="4">
        <v>26.1</v>
      </c>
      <c r="I25" s="4">
        <f t="shared" si="2"/>
        <v>22.184999999999999</v>
      </c>
      <c r="J25" s="14" t="s">
        <v>15</v>
      </c>
    </row>
    <row r="26" spans="1:10">
      <c r="A26" s="21" t="s">
        <v>45</v>
      </c>
      <c r="B26" s="2" t="s">
        <v>30</v>
      </c>
      <c r="C26" s="2" t="s">
        <v>44</v>
      </c>
      <c r="D26" s="6">
        <v>7.8E-2</v>
      </c>
      <c r="E26" s="6">
        <f t="shared" si="0"/>
        <v>8.8919999999999999E-2</v>
      </c>
      <c r="F26" s="7">
        <v>6.8000000000000005E-2</v>
      </c>
      <c r="G26" s="6">
        <f t="shared" si="1"/>
        <v>5.7799999999999997E-2</v>
      </c>
      <c r="H26" s="7">
        <v>7.0000000000000007E-2</v>
      </c>
      <c r="I26" s="7">
        <f t="shared" si="2"/>
        <v>5.9499999999999997E-2</v>
      </c>
      <c r="J26" s="14" t="s">
        <v>15</v>
      </c>
    </row>
    <row r="27" spans="1:10">
      <c r="A27" s="21" t="s">
        <v>46</v>
      </c>
      <c r="B27" s="2" t="s">
        <v>30</v>
      </c>
      <c r="C27" s="2" t="s">
        <v>44</v>
      </c>
      <c r="D27" s="6">
        <v>0.28000000000000003</v>
      </c>
      <c r="E27" s="6">
        <f t="shared" si="0"/>
        <v>0.31919999999999998</v>
      </c>
      <c r="F27" s="7">
        <v>0.312</v>
      </c>
      <c r="G27" s="6">
        <f t="shared" si="1"/>
        <v>0.26519999999999999</v>
      </c>
      <c r="H27" s="7">
        <v>0.33</v>
      </c>
      <c r="I27" s="7">
        <f t="shared" si="2"/>
        <v>0.28050000000000003</v>
      </c>
      <c r="J27" s="14" t="s">
        <v>15</v>
      </c>
    </row>
    <row r="28" spans="1:10">
      <c r="A28" s="21" t="s">
        <v>47</v>
      </c>
      <c r="B28" s="2" t="s">
        <v>30</v>
      </c>
      <c r="C28" s="2" t="s">
        <v>44</v>
      </c>
      <c r="D28" s="8">
        <v>6.617</v>
      </c>
      <c r="E28" s="8">
        <f t="shared" si="0"/>
        <v>7.54338</v>
      </c>
      <c r="F28" s="9">
        <v>7.4829999999999997</v>
      </c>
      <c r="G28" s="8">
        <f t="shared" si="1"/>
        <v>6.3605499999999999</v>
      </c>
      <c r="H28" s="9">
        <v>7.94</v>
      </c>
      <c r="I28" s="9">
        <f t="shared" si="2"/>
        <v>6.7489999999999997</v>
      </c>
      <c r="J28" s="14" t="s">
        <v>15</v>
      </c>
    </row>
    <row r="29" spans="1:10">
      <c r="A29" s="21" t="s">
        <v>48</v>
      </c>
      <c r="B29" s="2" t="s">
        <v>30</v>
      </c>
      <c r="C29" s="2" t="s">
        <v>44</v>
      </c>
      <c r="D29" s="6">
        <v>0.629</v>
      </c>
      <c r="E29" s="6">
        <f t="shared" si="0"/>
        <v>0.71706000000000003</v>
      </c>
      <c r="F29" s="7">
        <v>0.53500000000000003</v>
      </c>
      <c r="G29" s="6">
        <f t="shared" si="1"/>
        <v>0.45474999999999999</v>
      </c>
      <c r="H29" s="7">
        <v>0.55000000000000004</v>
      </c>
      <c r="I29" s="7">
        <f t="shared" si="2"/>
        <v>0.46750000000000003</v>
      </c>
      <c r="J29" s="14" t="s">
        <v>15</v>
      </c>
    </row>
    <row r="30" spans="1:10" ht="15.5">
      <c r="A30" s="21" t="s">
        <v>49</v>
      </c>
      <c r="B30" s="2" t="s">
        <v>30</v>
      </c>
      <c r="C30" s="2" t="s">
        <v>44</v>
      </c>
      <c r="D30" s="6">
        <v>0.60399999999999998</v>
      </c>
      <c r="E30" s="6">
        <f t="shared" si="0"/>
        <v>0.68855999999999995</v>
      </c>
      <c r="F30" s="7">
        <v>0.64</v>
      </c>
      <c r="G30" s="6">
        <f t="shared" si="1"/>
        <v>0.54400000000000004</v>
      </c>
      <c r="H30" s="7">
        <v>0.69099999999999995</v>
      </c>
      <c r="I30" s="7">
        <f t="shared" si="2"/>
        <v>0.58735000000000004</v>
      </c>
      <c r="J30" s="14" t="s">
        <v>15</v>
      </c>
    </row>
    <row r="31" spans="1:10" ht="15.5">
      <c r="A31" s="21" t="s">
        <v>50</v>
      </c>
      <c r="B31" s="2" t="s">
        <v>43</v>
      </c>
      <c r="C31" s="2" t="s">
        <v>44</v>
      </c>
      <c r="D31" s="8">
        <v>2.46</v>
      </c>
      <c r="E31" s="8">
        <f t="shared" si="0"/>
        <v>2.8043999999999998</v>
      </c>
      <c r="F31" s="9">
        <v>2.75</v>
      </c>
      <c r="G31" s="8">
        <f t="shared" si="1"/>
        <v>2.3374999999999999</v>
      </c>
      <c r="H31" s="9">
        <v>2.89</v>
      </c>
      <c r="I31" s="9">
        <f t="shared" si="2"/>
        <v>2.4565000000000001</v>
      </c>
      <c r="J31" s="13" t="s">
        <v>15</v>
      </c>
    </row>
    <row r="32" spans="1:10" ht="15.5">
      <c r="A32" s="10"/>
      <c r="B32" s="10"/>
      <c r="C32" s="10"/>
      <c r="D32" s="10"/>
      <c r="E32" s="10"/>
      <c r="F32" s="10"/>
      <c r="G32" s="10"/>
      <c r="H32" s="11"/>
    </row>
    <row r="33" spans="1:7">
      <c r="A33" s="12"/>
      <c r="B33" s="12"/>
      <c r="C33" s="12"/>
      <c r="D33" s="12"/>
      <c r="E33" s="12"/>
      <c r="F33" s="12"/>
      <c r="G33" s="12"/>
    </row>
  </sheetData>
  <mergeCells count="11">
    <mergeCell ref="A1:A4"/>
    <mergeCell ref="B1:B4"/>
    <mergeCell ref="C1:C4"/>
    <mergeCell ref="J1:J4"/>
    <mergeCell ref="D2:E3"/>
    <mergeCell ref="D1:G1"/>
    <mergeCell ref="H1:I1"/>
    <mergeCell ref="F2:G2"/>
    <mergeCell ref="H2:I2"/>
    <mergeCell ref="F3:G3"/>
    <mergeCell ref="H3:I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veal loin chop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2024-11-24T22:50:00Z</dcterms:created>
  <dcterms:modified xsi:type="dcterms:W3CDTF">2025-11-28T02:02:51Z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E9EF645B351697249ECC4267E2A67C42_41</vt:lpwstr>
  </property>
  <property fmtid="{D5CDD505-2E9C-101B-9397-08002B2CF9AE}" pid="3" name="KSOProductBuildVer">
    <vt:lpwstr>2052-12.1.0.19302</vt:lpwstr>
  </property>
</Properties>
</file>