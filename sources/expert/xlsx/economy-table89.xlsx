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0" yWindow="0" windowWidth="19420" windowHeight="9010"/>
  </bookViews>
  <sheets>
    <sheet name="New DL Defaults" sheetId="1" r:id="rId1"/>
  </sheets>
  <calcPr calcId="191029"/>
  <extLst>
    <ext xmlns:xcalcf="http://schemas.microsoft.com/office/spreadsheetml/2018/calcfeatures" uri="{B58B0392-4F1F-4190-BB64-5DF3571DCE5F}">
      <xcalcf:calcFeatures>
        <xcalcf:feature name="microsoft.com:Single"/>
      </xcalcf:calcFeatures>
    </ext>
  </extLst>
</workbook>
</file>

<file path=xl/calcChain.xml><?xml version="1.0" encoding="utf-8"?>
<calcChain xmlns="http://schemas.openxmlformats.org/spreadsheetml/2006/main">
  <c r="H26" i="1" l="1"/>
  <c r="H22" i="1"/>
  <c r="G26" i="1"/>
  <c r="H25" i="1"/>
  <c r="G25" i="1"/>
  <c r="H24" i="1"/>
  <c r="G24" i="1"/>
  <c r="H23" i="1"/>
  <c r="G23" i="1"/>
  <c r="G22" i="1"/>
  <c r="H21" i="1"/>
  <c r="G21" i="1"/>
  <c r="G20" i="1"/>
  <c r="H20" i="1"/>
  <c r="H19" i="1"/>
  <c r="G19" i="1"/>
  <c r="H18" i="1"/>
  <c r="G18" i="1"/>
  <c r="G17" i="1"/>
  <c r="H17" i="1"/>
  <c r="G13" i="1"/>
  <c r="G16" i="1"/>
  <c r="G15" i="1"/>
  <c r="G14" i="1"/>
  <c r="G12" i="1"/>
  <c r="H16" i="1"/>
  <c r="H15" i="1"/>
  <c r="H14" i="1"/>
  <c r="H13" i="1"/>
  <c r="H12" i="1"/>
  <c r="H11" i="1"/>
  <c r="H7" i="1"/>
  <c r="H10" i="1"/>
  <c r="H9" i="1"/>
  <c r="H8" i="1"/>
  <c r="E11" i="1"/>
  <c r="G11" i="1"/>
  <c r="E10" i="1"/>
  <c r="G10" i="1"/>
  <c r="E9" i="1"/>
  <c r="G9" i="1"/>
  <c r="E8" i="1"/>
  <c r="G8" i="1"/>
  <c r="E7" i="1"/>
  <c r="G7" i="1"/>
</calcChain>
</file>

<file path=xl/sharedStrings.xml><?xml version="1.0" encoding="utf-8"?>
<sst xmlns="http://schemas.openxmlformats.org/spreadsheetml/2006/main" count="153" uniqueCount="32">
  <si>
    <t>Direct Loans Entering Default</t>
  </si>
  <si>
    <t>Includes outstanding principal and interest balances of Direct Loans at the time of default</t>
  </si>
  <si>
    <t>Data Source: National Student Loan Data System (NSLDS)</t>
  </si>
  <si>
    <t>Loans Defaulting for the First Time</t>
  </si>
  <si>
    <t>Total Entering Default During the Quarter</t>
  </si>
  <si>
    <t>Federal Fiscal Year</t>
  </si>
  <si>
    <t>Dollars             (in billions)</t>
  </si>
  <si>
    <t>Borrowers     (in thousands)</t>
  </si>
  <si>
    <t>Q1</t>
  </si>
  <si>
    <t>Q2</t>
  </si>
  <si>
    <t>Q3</t>
  </si>
  <si>
    <t>Q4</t>
  </si>
  <si>
    <t>Notes:</t>
  </si>
  <si>
    <t>Unique Borrowers     (in thousands)</t>
  </si>
  <si>
    <t>Data is run at the end of each quarter listed by federal fiscal year. Each federal fiscal year begins October 1 and ends September 30. Q1 ends 12/31, Q2 ends 3/31, Q3 ends 6/30, and Q4 ends 9/30</t>
  </si>
  <si>
    <t>Loans Defaulting for at least the Second Time</t>
  </si>
  <si>
    <t>Default is defined as 361 days delinquent.</t>
  </si>
  <si>
    <t>Dollars represent total balance at time of default for a particular loan and not the dollar balance of all loans at the same point in time, i.e., the end of the quarter.</t>
  </si>
  <si>
    <t>"Loans Defaulting for at least the Second Time" refer to loans that have previously been rehabilitated.</t>
  </si>
  <si>
    <t xml:space="preserve">Borrower counts are based at the loan level. As a result, borrowers may be counted multiple times across varying loan categories. The "Total Entering Default During the Quarter" provides a unique borrower count for loans entering default during the given timeframe. </t>
  </si>
  <si>
    <t>Recipients In Repayment From Previous Quarter         (in thousands)</t>
  </si>
  <si>
    <t>Percent of Borrowers in Repayment Last Quarter That Defaulted</t>
  </si>
  <si>
    <t xml:space="preserve">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t>
  </si>
  <si>
    <t>Percent of Dollars in Repayment Last Quarter That Defaulted</t>
  </si>
  <si>
    <t>Dollars In Repayment From Previous Quarter         (in billions)</t>
  </si>
  <si>
    <t xml:space="preserve">Dollars and Recipients in Repayment From Previous Quarter are based on the number of Dollars and Recipients in the DL Portfolio by Delinquency Status Report from the previous quarter. </t>
  </si>
  <si>
    <t>NA*</t>
  </si>
  <si>
    <t>Q3*</t>
  </si>
  <si>
    <t>Q4*</t>
  </si>
  <si>
    <t>Q1*</t>
  </si>
  <si>
    <t>Q2*</t>
  </si>
  <si>
    <t xml:space="preserve">*As a result of changes to borrower accounts due to the administration’s executive actions, and provisions in the CARES ACT, no Direct Loan borrowers entered default since March 2020.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</si>
</sst>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quot;$&quot;#,##0.00_);[Red]\(&quot;$&quot;#,##0.00\)"/>
    <numFmt numFmtId="165" formatCode="_(&quot;$&quot;* #,##0.00_);_(&quot;$&quot;* \(#,##0.00\);_(&quot;$&quot;* &quot;-&quot;??_);_(@_)"/>
    <numFmt numFmtId="166" formatCode="_(* #,##0.00_);_(* \(#,##0.00\);_(* &quot;-&quot;??_);_(@_)"/>
    <numFmt numFmtId="167" formatCode="&quot;$&quot;#,##0.00"/>
    <numFmt numFmtId="168" formatCode="0.0"/>
    <numFmt numFmtId="169" formatCode="0.0%"/>
    <numFmt numFmtId="170" formatCode="_(* #,##0_);_(* \(#,##0\);_(* &quot;-&quot;??_);_(@_)"/>
    <numFmt numFmtId="171" formatCode="&quot;$&quot;#,##0.0_);[Red]\(&quot;$&quot;#,##0.0\)"/>
  </numFmts>
  <fonts count="16">
    <font>
      <sz val="11"/>
      <color theme="1"/>
      <name val="Calibri"/>
      <family val="2"/>
      <scheme val="minor"/>
    </font>
    <font>
      <sz val="10"/>
      <name val="Arial"/>
      <family val="2"/>
    </font>
    <font>
      <b/>
      <sz val="14"/>
      <name val="Times New Roman"/>
      <family val="1"/>
    </font>
    <font>
      <i/>
      <sz val="12"/>
      <name val="Times New Roman"/>
      <family val="1"/>
    </font>
    <font>
      <sz val="11"/>
      <name val="Times New Roman"/>
      <family val="1"/>
    </font>
    <font>
      <b/>
      <sz val="12"/>
      <name val="Times New Roman"/>
      <family val="1"/>
    </font>
    <font>
      <sz val="12"/>
      <color indexed="8"/>
      <name val="Times New Roman"/>
      <family val="1"/>
    </font>
    <font>
      <sz val="12"/>
      <name val="Times New Roman"/>
      <family val="1"/>
    </font>
    <font>
      <sz val="10"/>
      <color indexed="8"/>
      <name val="Times New Roman"/>
      <family val="1"/>
    </font>
    <font>
      <sz val="10"/>
      <name val="Times New Roman"/>
      <family val="1"/>
    </font>
    <font>
      <b/>
      <sz val="10"/>
      <name val="Times New Roman"/>
      <family val="1"/>
    </font>
    <font>
      <sz val="10"/>
      <name val="Arial"/>
    </font>
    <font>
      <sz val="11"/>
      <color theme="1"/>
      <name val="Calibri"/>
      <family val="2"/>
      <scheme val="minor"/>
    </font>
    <font>
      <sz val="12"/>
      <color theme="1"/>
      <name val="Times New Roman"/>
      <family val="1"/>
    </font>
    <font>
      <b/>
      <sz val="12"/>
      <color theme="1"/>
      <name val="Times New Roman"/>
      <family val="1"/>
    </font>
    <font>
      <sz val="9"/>
      <name val="Calibri"/>
      <family val="3"/>
      <charset val="134"/>
      <scheme val="minor"/>
    </font>
  </fonts>
  <fills count="6">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8">
    <xf numFmtId="0" fontId="0" fillId="0" borderId="0"/>
    <xf numFmtId="166" fontId="12" fillId="0" borderId="0" applyFont="0" applyFill="0" applyBorder="0" applyAlignment="0" applyProtection="0"/>
    <xf numFmtId="165" fontId="12"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0" fontId="1" fillId="0" borderId="0"/>
    <xf numFmtId="0" fontId="11" fillId="0" borderId="0"/>
    <xf numFmtId="9" fontId="12" fillId="0" borderId="0" applyFont="0" applyFill="0" applyBorder="0" applyAlignment="0" applyProtection="0"/>
  </cellStyleXfs>
  <cellXfs count="52">
    <xf numFmtId="0" fontId="0" fillId="0" borderId="0" xfId="0"/>
    <xf numFmtId="0" fontId="1" fillId="0" borderId="0" xfId="5"/>
    <xf numFmtId="167" fontId="7" fillId="0" borderId="1" xfId="2" applyNumberFormat="1" applyFont="1" applyFill="1" applyBorder="1" applyAlignment="1">
      <alignment horizontal="center" vertical="center"/>
    </xf>
    <xf numFmtId="0" fontId="10" fillId="2" borderId="0" xfId="5" applyFont="1" applyFill="1" applyBorder="1" applyAlignment="1">
      <alignment horizontal="left" vertical="center"/>
    </xf>
    <xf numFmtId="0" fontId="0" fillId="0" borderId="0" xfId="0" applyAlignment="1">
      <alignment vertical="center"/>
    </xf>
    <xf numFmtId="171" fontId="0" fillId="0" borderId="0" xfId="0" applyNumberFormat="1"/>
    <xf numFmtId="10" fontId="10" fillId="2" borderId="0" xfId="7" applyNumberFormat="1" applyFont="1" applyFill="1" applyBorder="1" applyAlignment="1">
      <alignment horizontal="left" vertical="center"/>
    </xf>
    <xf numFmtId="0" fontId="1" fillId="0" borderId="0" xfId="5" applyFill="1"/>
    <xf numFmtId="167" fontId="7" fillId="0" borderId="1" xfId="2" quotePrefix="1" applyNumberFormat="1" applyFont="1" applyFill="1" applyBorder="1" applyAlignment="1">
      <alignment horizontal="center" vertical="center" wrapText="1"/>
    </xf>
    <xf numFmtId="1" fontId="13" fillId="0" borderId="1" xfId="1" applyNumberFormat="1" applyFont="1" applyFill="1" applyBorder="1" applyAlignment="1">
      <alignment horizontal="center" vertical="center"/>
    </xf>
    <xf numFmtId="167" fontId="6" fillId="0" borderId="1" xfId="3" applyNumberFormat="1" applyFont="1" applyFill="1" applyBorder="1" applyAlignment="1">
      <alignment horizontal="center" vertical="center"/>
    </xf>
    <xf numFmtId="168" fontId="7" fillId="0" borderId="1" xfId="3" applyNumberFormat="1" applyFont="1" applyFill="1" applyBorder="1" applyAlignment="1">
      <alignment horizontal="center" vertical="center"/>
    </xf>
    <xf numFmtId="169" fontId="7" fillId="0" borderId="1" xfId="7" applyNumberFormat="1" applyFont="1" applyFill="1" applyBorder="1" applyAlignment="1">
      <alignment horizontal="center" vertical="center"/>
    </xf>
    <xf numFmtId="169" fontId="13" fillId="0" borderId="1" xfId="7" applyNumberFormat="1" applyFont="1" applyFill="1" applyBorder="1" applyAlignment="1">
      <alignment horizontal="center"/>
    </xf>
    <xf numFmtId="1" fontId="13" fillId="0" borderId="1" xfId="0" applyNumberFormat="1" applyFont="1" applyFill="1" applyBorder="1" applyAlignment="1">
      <alignment horizontal="center"/>
    </xf>
    <xf numFmtId="0" fontId="7" fillId="0" borderId="1" xfId="5" applyFont="1" applyFill="1" applyBorder="1" applyAlignment="1">
      <alignment horizontal="center" vertical="center"/>
    </xf>
    <xf numFmtId="167" fontId="7" fillId="0" borderId="1" xfId="5" applyNumberFormat="1" applyFont="1" applyFill="1" applyBorder="1" applyAlignment="1">
      <alignment horizontal="center" vertical="center"/>
    </xf>
    <xf numFmtId="164" fontId="13" fillId="0" borderId="1" xfId="0" applyNumberFormat="1" applyFont="1" applyFill="1" applyBorder="1" applyAlignment="1">
      <alignment horizontal="center" vertical="center"/>
    </xf>
    <xf numFmtId="168" fontId="7" fillId="0" borderId="1" xfId="5" applyNumberFormat="1" applyFont="1" applyFill="1" applyBorder="1" applyAlignment="1">
      <alignment horizontal="center" vertical="center"/>
    </xf>
    <xf numFmtId="1" fontId="13" fillId="0" borderId="1" xfId="0" applyNumberFormat="1" applyFont="1" applyFill="1" applyBorder="1" applyAlignment="1">
      <alignment horizontal="center" vertical="center"/>
    </xf>
    <xf numFmtId="164" fontId="7" fillId="0" borderId="1" xfId="4" applyNumberFormat="1" applyFont="1" applyFill="1" applyBorder="1" applyAlignment="1">
      <alignment horizontal="center" vertical="center"/>
    </xf>
    <xf numFmtId="1" fontId="6" fillId="0" borderId="1" xfId="4" applyNumberFormat="1" applyFont="1" applyFill="1" applyBorder="1" applyAlignment="1">
      <alignment horizontal="center" vertical="center"/>
    </xf>
    <xf numFmtId="0" fontId="2" fillId="3" borderId="0" xfId="5" applyFont="1" applyFill="1" applyAlignment="1">
      <alignment horizontal="center"/>
    </xf>
    <xf numFmtId="0" fontId="3" fillId="3" borderId="0" xfId="5" applyFont="1" applyFill="1" applyAlignment="1">
      <alignment horizontal="center"/>
    </xf>
    <xf numFmtId="0" fontId="4" fillId="3" borderId="0" xfId="5" applyFont="1" applyFill="1" applyAlignment="1">
      <alignment horizontal="center"/>
    </xf>
    <xf numFmtId="0" fontId="5" fillId="4" borderId="8" xfId="5" quotePrefix="1" applyNumberFormat="1" applyFont="1" applyFill="1" applyBorder="1" applyAlignment="1">
      <alignment horizontal="center" vertical="center" wrapText="1"/>
    </xf>
    <xf numFmtId="0" fontId="5" fillId="4" borderId="11" xfId="5" quotePrefix="1" applyNumberFormat="1" applyFont="1" applyFill="1" applyBorder="1" applyAlignment="1">
      <alignment horizontal="center" vertical="center" wrapText="1"/>
    </xf>
    <xf numFmtId="0" fontId="5" fillId="4" borderId="9" xfId="5" quotePrefix="1" applyNumberFormat="1" applyFont="1" applyFill="1" applyBorder="1" applyAlignment="1">
      <alignment horizontal="center" vertical="center" wrapText="1"/>
    </xf>
    <xf numFmtId="0" fontId="5" fillId="4" borderId="4" xfId="5" quotePrefix="1" applyNumberFormat="1" applyFont="1" applyFill="1" applyBorder="1" applyAlignment="1">
      <alignment horizontal="center" vertical="center" wrapText="1"/>
    </xf>
    <xf numFmtId="0" fontId="5" fillId="4" borderId="4" xfId="5" quotePrefix="1" applyNumberFormat="1" applyFont="1" applyFill="1" applyBorder="1" applyAlignment="1">
      <alignment horizontal="center" vertical="center" wrapText="1"/>
    </xf>
    <xf numFmtId="170" fontId="14" fillId="4" borderId="2" xfId="1" applyNumberFormat="1" applyFont="1" applyFill="1" applyBorder="1" applyAlignment="1">
      <alignment horizontal="center" vertical="center" wrapText="1"/>
    </xf>
    <xf numFmtId="0" fontId="5" fillId="4" borderId="3" xfId="5" quotePrefix="1" applyNumberFormat="1" applyFont="1" applyFill="1" applyBorder="1" applyAlignment="1">
      <alignment horizontal="center" vertical="center" wrapText="1"/>
    </xf>
    <xf numFmtId="0" fontId="14" fillId="4" borderId="2" xfId="0" applyFont="1" applyFill="1" applyBorder="1" applyAlignment="1">
      <alignment horizontal="center" vertical="center" wrapText="1"/>
    </xf>
    <xf numFmtId="0" fontId="5" fillId="4" borderId="2" xfId="5" quotePrefix="1" applyNumberFormat="1" applyFont="1" applyFill="1" applyBorder="1" applyAlignment="1">
      <alignment horizontal="center" vertical="center" wrapText="1"/>
    </xf>
    <xf numFmtId="0" fontId="5" fillId="5" borderId="12" xfId="5" applyNumberFormat="1" applyFont="1" applyFill="1" applyBorder="1" applyAlignment="1">
      <alignment horizontal="center" vertical="center"/>
    </xf>
    <xf numFmtId="0" fontId="5" fillId="5" borderId="1" xfId="5" quotePrefix="1" applyNumberFormat="1" applyFont="1" applyFill="1" applyBorder="1" applyAlignment="1">
      <alignment horizontal="center" vertical="center" wrapText="1"/>
    </xf>
    <xf numFmtId="0" fontId="0" fillId="5" borderId="13" xfId="0" applyFill="1" applyBorder="1" applyAlignment="1">
      <alignment horizontal="center" vertical="center"/>
    </xf>
    <xf numFmtId="16" fontId="5" fillId="5" borderId="1" xfId="5" applyNumberFormat="1" applyFont="1" applyFill="1" applyBorder="1" applyAlignment="1">
      <alignment horizontal="center" vertical="center"/>
    </xf>
    <xf numFmtId="0" fontId="0" fillId="5" borderId="14" xfId="0" applyFill="1" applyBorder="1" applyAlignment="1">
      <alignment horizontal="center" vertical="center"/>
    </xf>
    <xf numFmtId="0" fontId="5" fillId="5" borderId="1" xfId="5" applyFont="1" applyFill="1" applyBorder="1" applyAlignment="1">
      <alignment horizontal="center" vertical="center"/>
    </xf>
    <xf numFmtId="0" fontId="5" fillId="5" borderId="2" xfId="5" applyFont="1" applyFill="1" applyBorder="1" applyAlignment="1">
      <alignment horizontal="center" vertical="center"/>
    </xf>
    <xf numFmtId="0" fontId="5" fillId="5" borderId="3" xfId="5" applyFont="1" applyFill="1" applyBorder="1" applyAlignment="1">
      <alignment horizontal="center" vertical="center"/>
    </xf>
    <xf numFmtId="0" fontId="5" fillId="5" borderId="5" xfId="5" applyFont="1" applyFill="1" applyBorder="1" applyAlignment="1">
      <alignment horizontal="center" vertical="center"/>
    </xf>
    <xf numFmtId="0" fontId="5" fillId="5" borderId="4" xfId="5" applyFont="1" applyFill="1" applyBorder="1" applyAlignment="1">
      <alignment horizontal="center" vertical="center"/>
    </xf>
    <xf numFmtId="0" fontId="5" fillId="5" borderId="6" xfId="5" applyFont="1" applyFill="1" applyBorder="1" applyAlignment="1">
      <alignment horizontal="center" vertical="center"/>
    </xf>
    <xf numFmtId="0" fontId="5" fillId="5" borderId="7" xfId="5" applyFont="1" applyFill="1" applyBorder="1" applyAlignment="1">
      <alignment horizontal="center" vertical="center"/>
    </xf>
    <xf numFmtId="0" fontId="10" fillId="3" borderId="10" xfId="0" applyFont="1" applyFill="1" applyBorder="1" applyAlignment="1">
      <alignment horizontal="left" vertical="top" wrapText="1"/>
    </xf>
    <xf numFmtId="0" fontId="8" fillId="3" borderId="0" xfId="5" applyFont="1" applyFill="1" applyBorder="1" applyAlignment="1">
      <alignment vertical="center" wrapText="1"/>
    </xf>
    <xf numFmtId="0" fontId="9" fillId="3" borderId="0" xfId="5" applyFont="1" applyFill="1" applyAlignment="1">
      <alignment vertical="center" wrapText="1"/>
    </xf>
    <xf numFmtId="0" fontId="9" fillId="3" borderId="0" xfId="5" applyFont="1" applyFill="1" applyAlignment="1">
      <alignment horizontal="left" vertical="center"/>
    </xf>
    <xf numFmtId="0" fontId="9" fillId="3" borderId="0" xfId="5" applyFont="1" applyFill="1" applyAlignment="1">
      <alignment vertical="center"/>
    </xf>
    <xf numFmtId="0" fontId="9" fillId="3" borderId="0" xfId="5" applyFont="1" applyFill="1" applyAlignment="1">
      <alignment horizontal="left" vertical="center" wrapText="1"/>
    </xf>
  </cellXfs>
  <cellStyles count="8">
    <cellStyle name="Currency 2" xfId="3"/>
    <cellStyle name="Currency 3" xfId="4"/>
    <cellStyle name="Normal 2" xfId="5"/>
    <cellStyle name="Normal 3" xfId="6"/>
    <cellStyle name="Денежный" xfId="2" builtinId="4"/>
    <cellStyle name="Обычный" xfId="0" builtinId="0"/>
    <cellStyle name="Процентный" xfId="7" builtinId="5"/>
    <cellStyle name="Финансовый" xfId="1"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3"/>
  <sheetViews>
    <sheetView tabSelected="1" workbookViewId="0">
      <selection activeCell="A44" sqref="A44:K51"/>
    </sheetView>
  </sheetViews>
  <sheetFormatPr defaultRowHeight="14.5"/>
  <cols>
    <col min="3" max="4" width="18.36328125" customWidth="1"/>
    <col min="5" max="6" width="14.36328125" customWidth="1"/>
    <col min="7" max="8" width="18.36328125" customWidth="1"/>
    <col min="9" max="12" width="14.36328125" customWidth="1"/>
  </cols>
  <sheetData>
    <row r="1" spans="1:12" ht="17.5">
      <c r="A1" s="22" t="s">
        <v>0</v>
      </c>
      <c r="B1" s="22"/>
      <c r="C1" s="22"/>
      <c r="D1" s="22"/>
      <c r="E1" s="22"/>
      <c r="F1" s="22"/>
      <c r="G1" s="22"/>
      <c r="H1" s="22"/>
      <c r="I1" s="22"/>
      <c r="J1" s="22"/>
      <c r="K1" s="22"/>
      <c r="L1" s="22"/>
    </row>
    <row r="2" spans="1:12" ht="15.5">
      <c r="A2" s="23" t="s">
        <v>1</v>
      </c>
      <c r="B2" s="23"/>
      <c r="C2" s="23"/>
      <c r="D2" s="23"/>
      <c r="E2" s="23"/>
      <c r="F2" s="23"/>
      <c r="G2" s="23"/>
      <c r="H2" s="23"/>
      <c r="I2" s="23"/>
      <c r="J2" s="23"/>
      <c r="K2" s="23"/>
      <c r="L2" s="23"/>
    </row>
    <row r="3" spans="1:12">
      <c r="A3" s="24" t="s">
        <v>2</v>
      </c>
      <c r="B3" s="24"/>
      <c r="C3" s="24"/>
      <c r="D3" s="24"/>
      <c r="E3" s="24"/>
      <c r="F3" s="24"/>
      <c r="G3" s="24"/>
      <c r="H3" s="24"/>
      <c r="I3" s="24"/>
      <c r="J3" s="24"/>
      <c r="K3" s="24"/>
      <c r="L3" s="24"/>
    </row>
    <row r="4" spans="1:12">
      <c r="A4" s="1"/>
      <c r="B4" s="1"/>
      <c r="C4" s="1"/>
      <c r="D4" s="1"/>
      <c r="E4" s="1"/>
      <c r="F4" s="1"/>
      <c r="G4" s="1"/>
      <c r="H4" s="1"/>
      <c r="I4" s="1"/>
      <c r="J4" s="1"/>
      <c r="K4" s="1"/>
    </row>
    <row r="5" spans="1:12" ht="36.75" customHeight="1">
      <c r="A5" s="7"/>
      <c r="B5" s="7"/>
      <c r="C5" s="7"/>
      <c r="D5" s="7"/>
      <c r="E5" s="25" t="s">
        <v>4</v>
      </c>
      <c r="F5" s="26"/>
      <c r="G5" s="26"/>
      <c r="H5" s="26"/>
      <c r="I5" s="25" t="s">
        <v>3</v>
      </c>
      <c r="J5" s="27"/>
      <c r="K5" s="25" t="s">
        <v>15</v>
      </c>
      <c r="L5" s="27"/>
    </row>
    <row r="6" spans="1:12" ht="78.75" customHeight="1">
      <c r="A6" s="25" t="s">
        <v>5</v>
      </c>
      <c r="B6" s="28"/>
      <c r="C6" s="29" t="s">
        <v>24</v>
      </c>
      <c r="D6" s="30" t="s">
        <v>20</v>
      </c>
      <c r="E6" s="31" t="s">
        <v>6</v>
      </c>
      <c r="F6" s="31" t="s">
        <v>13</v>
      </c>
      <c r="G6" s="31" t="s">
        <v>23</v>
      </c>
      <c r="H6" s="32" t="s">
        <v>21</v>
      </c>
      <c r="I6" s="33" t="s">
        <v>6</v>
      </c>
      <c r="J6" s="33" t="s">
        <v>7</v>
      </c>
      <c r="K6" s="31" t="s">
        <v>6</v>
      </c>
      <c r="L6" s="31" t="s">
        <v>7</v>
      </c>
    </row>
    <row r="7" spans="1:12" ht="15.5">
      <c r="A7" s="34">
        <v>2015</v>
      </c>
      <c r="B7" s="35" t="s">
        <v>8</v>
      </c>
      <c r="C7" s="8">
        <v>301.79999999999995</v>
      </c>
      <c r="D7" s="9">
        <v>12290</v>
      </c>
      <c r="E7" s="10">
        <f>I7+K7</f>
        <v>4.6500000000000004</v>
      </c>
      <c r="F7" s="11">
        <v>301.39999999999998</v>
      </c>
      <c r="G7" s="12">
        <f>E7/C7</f>
        <v>1.5407554671968195E-2</v>
      </c>
      <c r="H7" s="13">
        <f t="shared" ref="H7:H12" si="0">F7/D7</f>
        <v>2.45240032546786E-2</v>
      </c>
      <c r="I7" s="10">
        <v>4.13</v>
      </c>
      <c r="J7" s="11">
        <v>278.2</v>
      </c>
      <c r="K7" s="10">
        <v>0.52</v>
      </c>
      <c r="L7" s="11">
        <v>24.3</v>
      </c>
    </row>
    <row r="8" spans="1:12" ht="15.5">
      <c r="A8" s="36"/>
      <c r="B8" s="37" t="s">
        <v>9</v>
      </c>
      <c r="C8" s="2">
        <v>349.7</v>
      </c>
      <c r="D8" s="9">
        <v>13620</v>
      </c>
      <c r="E8" s="10">
        <f>I8+K8</f>
        <v>4.1100000000000003</v>
      </c>
      <c r="F8" s="11">
        <v>258.7</v>
      </c>
      <c r="G8" s="12">
        <f t="shared" ref="G8:G16" si="1">E8/C8</f>
        <v>1.1752931083786104E-2</v>
      </c>
      <c r="H8" s="13">
        <f t="shared" si="0"/>
        <v>1.8994126284875183E-2</v>
      </c>
      <c r="I8" s="10">
        <v>3.69</v>
      </c>
      <c r="J8" s="11">
        <v>240.1</v>
      </c>
      <c r="K8" s="10">
        <v>0.42</v>
      </c>
      <c r="L8" s="11">
        <v>19.7</v>
      </c>
    </row>
    <row r="9" spans="1:12" ht="15.5">
      <c r="A9" s="36"/>
      <c r="B9" s="37" t="s">
        <v>10</v>
      </c>
      <c r="C9" s="2">
        <v>368.20000000000005</v>
      </c>
      <c r="D9" s="9">
        <v>13960</v>
      </c>
      <c r="E9" s="10">
        <f>I9+K9</f>
        <v>4.82</v>
      </c>
      <c r="F9" s="11">
        <v>289.2</v>
      </c>
      <c r="G9" s="12">
        <f t="shared" si="1"/>
        <v>1.3090711569799022E-2</v>
      </c>
      <c r="H9" s="13">
        <f t="shared" si="0"/>
        <v>2.0716332378223495E-2</v>
      </c>
      <c r="I9" s="10">
        <v>4.26</v>
      </c>
      <c r="J9" s="11">
        <v>266.3</v>
      </c>
      <c r="K9" s="10">
        <v>0.56000000000000005</v>
      </c>
      <c r="L9" s="11">
        <v>24.1</v>
      </c>
    </row>
    <row r="10" spans="1:12" ht="15.5">
      <c r="A10" s="38"/>
      <c r="B10" s="37" t="s">
        <v>11</v>
      </c>
      <c r="C10" s="2">
        <v>394.00000000000006</v>
      </c>
      <c r="D10" s="9">
        <v>14660</v>
      </c>
      <c r="E10" s="10">
        <f>I10+K10</f>
        <v>4.78</v>
      </c>
      <c r="F10" s="11">
        <v>275.7</v>
      </c>
      <c r="G10" s="12">
        <f t="shared" si="1"/>
        <v>1.213197969543147E-2</v>
      </c>
      <c r="H10" s="13">
        <f t="shared" si="0"/>
        <v>1.8806275579809004E-2</v>
      </c>
      <c r="I10" s="10">
        <v>4.21</v>
      </c>
      <c r="J10" s="11">
        <v>254.2</v>
      </c>
      <c r="K10" s="10">
        <v>0.56999999999999995</v>
      </c>
      <c r="L10" s="11">
        <v>22.9</v>
      </c>
    </row>
    <row r="11" spans="1:12" ht="15.5">
      <c r="A11" s="39">
        <v>2016</v>
      </c>
      <c r="B11" s="37" t="s">
        <v>8</v>
      </c>
      <c r="C11" s="2">
        <v>397.09999999999997</v>
      </c>
      <c r="D11" s="9">
        <v>14520</v>
      </c>
      <c r="E11" s="10">
        <f>I11+K11</f>
        <v>6</v>
      </c>
      <c r="F11" s="11">
        <v>336.2</v>
      </c>
      <c r="G11" s="12">
        <f t="shared" si="1"/>
        <v>1.5109544195416772E-2</v>
      </c>
      <c r="H11" s="13">
        <f t="shared" si="0"/>
        <v>2.3154269972451791E-2</v>
      </c>
      <c r="I11" s="10">
        <v>5.43</v>
      </c>
      <c r="J11" s="11">
        <v>313.5</v>
      </c>
      <c r="K11" s="10">
        <v>0.56999999999999995</v>
      </c>
      <c r="L11" s="11">
        <v>24.5</v>
      </c>
    </row>
    <row r="12" spans="1:12" ht="15.5">
      <c r="A12" s="39"/>
      <c r="B12" s="37" t="s">
        <v>9</v>
      </c>
      <c r="C12" s="2">
        <v>440</v>
      </c>
      <c r="D12" s="14">
        <v>15500</v>
      </c>
      <c r="E12" s="10">
        <v>5.1469283739999998</v>
      </c>
      <c r="F12" s="11">
        <v>276.01</v>
      </c>
      <c r="G12" s="12">
        <f t="shared" si="1"/>
        <v>1.1697564486363636E-2</v>
      </c>
      <c r="H12" s="13">
        <f t="shared" si="0"/>
        <v>1.7807096774193548E-2</v>
      </c>
      <c r="I12" s="10">
        <v>4.593108269</v>
      </c>
      <c r="J12" s="11">
        <v>253.589</v>
      </c>
      <c r="K12" s="10">
        <v>0.55382010500000001</v>
      </c>
      <c r="L12" s="11">
        <v>24.01</v>
      </c>
    </row>
    <row r="13" spans="1:12" ht="15.5">
      <c r="A13" s="39"/>
      <c r="B13" s="37" t="s">
        <v>10</v>
      </c>
      <c r="C13" s="2">
        <v>440.79999999999995</v>
      </c>
      <c r="D13" s="14">
        <v>15270</v>
      </c>
      <c r="E13" s="10">
        <v>4.93</v>
      </c>
      <c r="F13" s="11">
        <v>259.7</v>
      </c>
      <c r="G13" s="12">
        <f>E13/C13</f>
        <v>1.118421052631579E-2</v>
      </c>
      <c r="H13" s="13">
        <f>F13/D13</f>
        <v>1.7007203667321544E-2</v>
      </c>
      <c r="I13" s="10">
        <v>4.4000000000000004</v>
      </c>
      <c r="J13" s="11">
        <v>238.4</v>
      </c>
      <c r="K13" s="10">
        <v>0.53</v>
      </c>
      <c r="L13" s="11">
        <v>22.7</v>
      </c>
    </row>
    <row r="14" spans="1:12" ht="15.5">
      <c r="A14" s="39"/>
      <c r="B14" s="37" t="s">
        <v>11</v>
      </c>
      <c r="C14" s="2">
        <v>468.09999999999997</v>
      </c>
      <c r="D14" s="15">
        <v>15940</v>
      </c>
      <c r="E14" s="16">
        <v>5.37</v>
      </c>
      <c r="F14" s="15">
        <v>281.2</v>
      </c>
      <c r="G14" s="12">
        <f t="shared" si="1"/>
        <v>1.1471907712027345E-2</v>
      </c>
      <c r="H14" s="12">
        <f t="shared" ref="H14:H19" si="2">F14/D14</f>
        <v>1.7641154328732749E-2</v>
      </c>
      <c r="I14" s="16">
        <v>4.84</v>
      </c>
      <c r="J14" s="15">
        <v>259.60000000000002</v>
      </c>
      <c r="K14" s="16">
        <v>0.53</v>
      </c>
      <c r="L14" s="15">
        <v>23.2</v>
      </c>
    </row>
    <row r="15" spans="1:12" ht="15.5">
      <c r="A15" s="40">
        <v>2017</v>
      </c>
      <c r="B15" s="37" t="s">
        <v>8</v>
      </c>
      <c r="C15" s="2">
        <v>478.5</v>
      </c>
      <c r="D15" s="15">
        <v>15930</v>
      </c>
      <c r="E15" s="16">
        <v>5.7087789960000004</v>
      </c>
      <c r="F15" s="15">
        <v>286.5</v>
      </c>
      <c r="G15" s="12">
        <f t="shared" si="1"/>
        <v>1.1930572614420064E-2</v>
      </c>
      <c r="H15" s="12">
        <f t="shared" si="2"/>
        <v>1.7984934086629004E-2</v>
      </c>
      <c r="I15" s="16">
        <v>5.2278550240000001</v>
      </c>
      <c r="J15" s="15">
        <v>265.5</v>
      </c>
      <c r="K15" s="16">
        <v>0.48092397199999998</v>
      </c>
      <c r="L15" s="15">
        <v>22.8</v>
      </c>
    </row>
    <row r="16" spans="1:12" ht="15.5">
      <c r="A16" s="41"/>
      <c r="B16" s="37" t="s">
        <v>9</v>
      </c>
      <c r="C16" s="17">
        <v>522.5</v>
      </c>
      <c r="D16" s="15">
        <v>16840</v>
      </c>
      <c r="E16" s="16">
        <v>5.01</v>
      </c>
      <c r="F16" s="15">
        <v>248.1</v>
      </c>
      <c r="G16" s="12">
        <f t="shared" si="1"/>
        <v>9.588516746411483E-3</v>
      </c>
      <c r="H16" s="12">
        <f t="shared" si="2"/>
        <v>1.4732779097387173E-2</v>
      </c>
      <c r="I16" s="16">
        <v>4.53</v>
      </c>
      <c r="J16" s="15">
        <v>226.7</v>
      </c>
      <c r="K16" s="16">
        <v>0.48</v>
      </c>
      <c r="L16" s="15">
        <v>22.9</v>
      </c>
    </row>
    <row r="17" spans="1:12" ht="15.5">
      <c r="A17" s="41"/>
      <c r="B17" s="37" t="s">
        <v>10</v>
      </c>
      <c r="C17" s="17">
        <v>535.5</v>
      </c>
      <c r="D17" s="15">
        <v>16910</v>
      </c>
      <c r="E17" s="16">
        <v>5.66</v>
      </c>
      <c r="F17" s="15">
        <v>265.5</v>
      </c>
      <c r="G17" s="12">
        <f t="shared" ref="G17:G22" si="3">E17/C17</f>
        <v>1.0569561157796453E-2</v>
      </c>
      <c r="H17" s="12">
        <f t="shared" si="2"/>
        <v>1.5700768775872266E-2</v>
      </c>
      <c r="I17" s="16">
        <v>5.0199999999999996</v>
      </c>
      <c r="J17" s="15">
        <v>237.3</v>
      </c>
      <c r="K17" s="16">
        <v>0.64</v>
      </c>
      <c r="L17" s="18">
        <v>30</v>
      </c>
    </row>
    <row r="18" spans="1:12" ht="15.5">
      <c r="A18" s="42"/>
      <c r="B18" s="37" t="s">
        <v>11</v>
      </c>
      <c r="C18" s="17">
        <v>553.69999999999993</v>
      </c>
      <c r="D18" s="15">
        <v>17480</v>
      </c>
      <c r="E18" s="16">
        <v>6.33</v>
      </c>
      <c r="F18" s="15">
        <v>297.60000000000002</v>
      </c>
      <c r="G18" s="12">
        <f t="shared" si="3"/>
        <v>1.1432183492866175E-2</v>
      </c>
      <c r="H18" s="12">
        <f t="shared" si="2"/>
        <v>1.702517162471396E-2</v>
      </c>
      <c r="I18" s="16">
        <v>5.7659460239999998</v>
      </c>
      <c r="J18" s="15">
        <v>273.60000000000002</v>
      </c>
      <c r="K18" s="16">
        <v>0.56711521600000003</v>
      </c>
      <c r="L18" s="18">
        <v>26.2</v>
      </c>
    </row>
    <row r="19" spans="1:12" ht="15.5">
      <c r="A19" s="40">
        <v>2018</v>
      </c>
      <c r="B19" s="37" t="s">
        <v>8</v>
      </c>
      <c r="C19" s="17">
        <v>547.29999999999995</v>
      </c>
      <c r="D19" s="15">
        <v>16910</v>
      </c>
      <c r="E19" s="16">
        <v>6.84</v>
      </c>
      <c r="F19" s="15">
        <v>312.2</v>
      </c>
      <c r="G19" s="12">
        <f t="shared" si="3"/>
        <v>1.249771606066143E-2</v>
      </c>
      <c r="H19" s="12">
        <f t="shared" si="2"/>
        <v>1.8462448255470134E-2</v>
      </c>
      <c r="I19" s="16" t="s">
        <v>26</v>
      </c>
      <c r="J19" s="15" t="s">
        <v>26</v>
      </c>
      <c r="K19" s="16" t="s">
        <v>26</v>
      </c>
      <c r="L19" s="18" t="s">
        <v>26</v>
      </c>
    </row>
    <row r="20" spans="1:12" ht="15.5">
      <c r="A20" s="41"/>
      <c r="B20" s="37" t="s">
        <v>9</v>
      </c>
      <c r="C20" s="17">
        <v>599.9</v>
      </c>
      <c r="D20" s="19">
        <v>18080</v>
      </c>
      <c r="E20" s="16">
        <v>6.11</v>
      </c>
      <c r="F20" s="15">
        <v>273.10000000000002</v>
      </c>
      <c r="G20" s="12">
        <f t="shared" si="3"/>
        <v>1.018503083847308E-2</v>
      </c>
      <c r="H20" s="12">
        <f t="shared" ref="H20:H25" si="4">F20/D20</f>
        <v>1.5105088495575222E-2</v>
      </c>
      <c r="I20" s="16" t="s">
        <v>26</v>
      </c>
      <c r="J20" s="15" t="s">
        <v>26</v>
      </c>
      <c r="K20" s="16" t="s">
        <v>26</v>
      </c>
      <c r="L20" s="18" t="s">
        <v>26</v>
      </c>
    </row>
    <row r="21" spans="1:12" ht="15.5">
      <c r="A21" s="41"/>
      <c r="B21" s="37" t="s">
        <v>10</v>
      </c>
      <c r="C21" s="17">
        <v>604.00000000000011</v>
      </c>
      <c r="D21" s="19">
        <v>17880</v>
      </c>
      <c r="E21" s="16">
        <v>5.72</v>
      </c>
      <c r="F21" s="15">
        <v>247.6</v>
      </c>
      <c r="G21" s="12">
        <f t="shared" si="3"/>
        <v>9.4701986754966872E-3</v>
      </c>
      <c r="H21" s="12">
        <f t="shared" si="4"/>
        <v>1.3847874720357941E-2</v>
      </c>
      <c r="I21" s="16" t="s">
        <v>26</v>
      </c>
      <c r="J21" s="15" t="s">
        <v>26</v>
      </c>
      <c r="K21" s="16" t="s">
        <v>26</v>
      </c>
      <c r="L21" s="18" t="s">
        <v>26</v>
      </c>
    </row>
    <row r="22" spans="1:12" ht="15.5">
      <c r="A22" s="42"/>
      <c r="B22" s="37" t="s">
        <v>11</v>
      </c>
      <c r="C22" s="17">
        <v>630.1</v>
      </c>
      <c r="D22" s="19">
        <v>18590</v>
      </c>
      <c r="E22" s="16">
        <v>5.76</v>
      </c>
      <c r="F22" s="15">
        <v>247.4</v>
      </c>
      <c r="G22" s="12">
        <f t="shared" si="3"/>
        <v>9.1414061260117439E-3</v>
      </c>
      <c r="H22" s="12">
        <f>F22/D22</f>
        <v>1.3308230231307155E-2</v>
      </c>
      <c r="I22" s="16" t="s">
        <v>26</v>
      </c>
      <c r="J22" s="15" t="s">
        <v>26</v>
      </c>
      <c r="K22" s="16" t="s">
        <v>26</v>
      </c>
      <c r="L22" s="18" t="s">
        <v>26</v>
      </c>
    </row>
    <row r="23" spans="1:12" ht="15.5">
      <c r="A23" s="39">
        <v>2019</v>
      </c>
      <c r="B23" s="37" t="s">
        <v>8</v>
      </c>
      <c r="C23" s="17">
        <v>623.5</v>
      </c>
      <c r="D23" s="19">
        <v>18150</v>
      </c>
      <c r="E23" s="16">
        <v>6.68</v>
      </c>
      <c r="F23" s="18">
        <v>279</v>
      </c>
      <c r="G23" s="12">
        <f>E23/C23</f>
        <v>1.0713712910986366E-2</v>
      </c>
      <c r="H23" s="12">
        <f t="shared" si="4"/>
        <v>1.537190082644628E-2</v>
      </c>
      <c r="I23" s="16" t="s">
        <v>26</v>
      </c>
      <c r="J23" s="15" t="s">
        <v>26</v>
      </c>
      <c r="K23" s="16" t="s">
        <v>26</v>
      </c>
      <c r="L23" s="18" t="s">
        <v>26</v>
      </c>
    </row>
    <row r="24" spans="1:12" ht="15.5">
      <c r="A24" s="39"/>
      <c r="B24" s="37" t="s">
        <v>9</v>
      </c>
      <c r="C24" s="17">
        <v>665</v>
      </c>
      <c r="D24" s="19">
        <v>18940</v>
      </c>
      <c r="E24" s="16">
        <v>8.1</v>
      </c>
      <c r="F24" s="18">
        <v>337.6</v>
      </c>
      <c r="G24" s="12">
        <f>E24/C24</f>
        <v>1.2180451127819548E-2</v>
      </c>
      <c r="H24" s="12">
        <f t="shared" si="4"/>
        <v>1.7824709609292503E-2</v>
      </c>
      <c r="I24" s="16" t="s">
        <v>26</v>
      </c>
      <c r="J24" s="15" t="s">
        <v>26</v>
      </c>
      <c r="K24" s="16" t="s">
        <v>26</v>
      </c>
      <c r="L24" s="18" t="s">
        <v>26</v>
      </c>
    </row>
    <row r="25" spans="1:12" ht="15.5">
      <c r="A25" s="39"/>
      <c r="B25" s="37" t="s">
        <v>10</v>
      </c>
      <c r="C25" s="17">
        <v>672.5</v>
      </c>
      <c r="D25" s="19">
        <v>18880</v>
      </c>
      <c r="E25" s="16">
        <v>8.5299999999999994</v>
      </c>
      <c r="F25" s="18">
        <v>352.1</v>
      </c>
      <c r="G25" s="12">
        <f>E25/C25</f>
        <v>1.2684014869888474E-2</v>
      </c>
      <c r="H25" s="12">
        <f t="shared" si="4"/>
        <v>1.8649364406779664E-2</v>
      </c>
      <c r="I25" s="16" t="s">
        <v>26</v>
      </c>
      <c r="J25" s="15" t="s">
        <v>26</v>
      </c>
      <c r="K25" s="16" t="s">
        <v>26</v>
      </c>
      <c r="L25" s="18" t="s">
        <v>26</v>
      </c>
    </row>
    <row r="26" spans="1:12" ht="15.5">
      <c r="A26" s="39"/>
      <c r="B26" s="37" t="s">
        <v>11</v>
      </c>
      <c r="C26" s="17">
        <v>687.7</v>
      </c>
      <c r="D26" s="19">
        <v>19160</v>
      </c>
      <c r="E26" s="16">
        <v>6.32</v>
      </c>
      <c r="F26" s="18">
        <v>259.89999999999998</v>
      </c>
      <c r="G26" s="12">
        <f>E26/C26</f>
        <v>9.1900538025301726E-3</v>
      </c>
      <c r="H26" s="12">
        <f>F26/D26</f>
        <v>1.3564718162839247E-2</v>
      </c>
      <c r="I26" s="16" t="s">
        <v>26</v>
      </c>
      <c r="J26" s="15" t="s">
        <v>26</v>
      </c>
      <c r="K26" s="16" t="s">
        <v>26</v>
      </c>
      <c r="L26" s="18" t="s">
        <v>26</v>
      </c>
    </row>
    <row r="27" spans="1:12" ht="15.5">
      <c r="A27" s="43">
        <v>2020</v>
      </c>
      <c r="B27" s="37" t="s">
        <v>8</v>
      </c>
      <c r="C27" s="17">
        <v>685.50000000000011</v>
      </c>
      <c r="D27" s="19">
        <v>18850</v>
      </c>
      <c r="E27" s="16">
        <v>7.63</v>
      </c>
      <c r="F27" s="18">
        <v>302</v>
      </c>
      <c r="G27" s="12">
        <v>1.0999999999999999E-2</v>
      </c>
      <c r="H27" s="12">
        <v>1.6E-2</v>
      </c>
      <c r="I27" s="16" t="s">
        <v>26</v>
      </c>
      <c r="J27" s="15" t="s">
        <v>26</v>
      </c>
      <c r="K27" s="16" t="s">
        <v>26</v>
      </c>
      <c r="L27" s="18" t="s">
        <v>26</v>
      </c>
    </row>
    <row r="28" spans="1:12" ht="15.5">
      <c r="A28" s="44"/>
      <c r="B28" s="37" t="s">
        <v>9</v>
      </c>
      <c r="C28" s="17">
        <v>728.3</v>
      </c>
      <c r="D28" s="19">
        <v>19640</v>
      </c>
      <c r="E28" s="16">
        <v>6.35</v>
      </c>
      <c r="F28" s="18">
        <v>248</v>
      </c>
      <c r="G28" s="12">
        <v>8.9999999999999993E-3</v>
      </c>
      <c r="H28" s="12">
        <v>1.2999999999999999E-2</v>
      </c>
      <c r="I28" s="16" t="s">
        <v>26</v>
      </c>
      <c r="J28" s="15" t="s">
        <v>26</v>
      </c>
      <c r="K28" s="16" t="s">
        <v>26</v>
      </c>
      <c r="L28" s="18" t="s">
        <v>26</v>
      </c>
    </row>
    <row r="29" spans="1:12" ht="15.5">
      <c r="A29" s="44"/>
      <c r="B29" s="37" t="s">
        <v>27</v>
      </c>
      <c r="C29" s="17">
        <v>693</v>
      </c>
      <c r="D29" s="19">
        <v>18310</v>
      </c>
      <c r="E29" s="16">
        <v>0</v>
      </c>
      <c r="F29" s="18">
        <v>0</v>
      </c>
      <c r="G29" s="12">
        <v>1.443001443001443E-5</v>
      </c>
      <c r="H29" s="12">
        <v>4.3691971600218465E-5</v>
      </c>
      <c r="I29" s="16" t="s">
        <v>26</v>
      </c>
      <c r="J29" s="15" t="s">
        <v>26</v>
      </c>
      <c r="K29" s="16" t="s">
        <v>26</v>
      </c>
      <c r="L29" s="18" t="s">
        <v>26</v>
      </c>
    </row>
    <row r="30" spans="1:12" ht="15.5">
      <c r="A30" s="45"/>
      <c r="B30" s="37" t="s">
        <v>28</v>
      </c>
      <c r="C30" s="17">
        <v>11.3</v>
      </c>
      <c r="D30" s="19">
        <v>310</v>
      </c>
      <c r="E30" s="16">
        <v>0</v>
      </c>
      <c r="F30" s="18">
        <v>0</v>
      </c>
      <c r="G30" s="12">
        <v>1.443001443001443E-5</v>
      </c>
      <c r="H30" s="12">
        <v>4.3691971600218465E-5</v>
      </c>
      <c r="I30" s="16" t="s">
        <v>26</v>
      </c>
      <c r="J30" s="15" t="s">
        <v>26</v>
      </c>
      <c r="K30" s="16" t="s">
        <v>26</v>
      </c>
      <c r="L30" s="18" t="s">
        <v>26</v>
      </c>
    </row>
    <row r="31" spans="1:12" ht="15.5">
      <c r="A31" s="43">
        <v>2021</v>
      </c>
      <c r="B31" s="37" t="s">
        <v>29</v>
      </c>
      <c r="C31" s="17">
        <v>14.2</v>
      </c>
      <c r="D31" s="19">
        <v>390</v>
      </c>
      <c r="E31" s="16">
        <v>0</v>
      </c>
      <c r="F31" s="18">
        <v>0</v>
      </c>
      <c r="G31" s="12">
        <v>1.443001443001443E-5</v>
      </c>
      <c r="H31" s="12">
        <v>4.3691971600218465E-5</v>
      </c>
      <c r="I31" s="16" t="s">
        <v>26</v>
      </c>
      <c r="J31" s="15" t="s">
        <v>26</v>
      </c>
      <c r="K31" s="16" t="s">
        <v>26</v>
      </c>
      <c r="L31" s="18" t="s">
        <v>26</v>
      </c>
    </row>
    <row r="32" spans="1:12" ht="15.5">
      <c r="A32" s="44"/>
      <c r="B32" s="37" t="s">
        <v>30</v>
      </c>
      <c r="C32" s="17">
        <v>15.1</v>
      </c>
      <c r="D32" s="19">
        <v>420</v>
      </c>
      <c r="E32" s="16">
        <v>0</v>
      </c>
      <c r="F32" s="18">
        <v>0</v>
      </c>
      <c r="G32" s="12">
        <v>1.443001443001443E-5</v>
      </c>
      <c r="H32" s="12">
        <v>4.3691971600218465E-5</v>
      </c>
      <c r="I32" s="16" t="s">
        <v>26</v>
      </c>
      <c r="J32" s="15" t="s">
        <v>26</v>
      </c>
      <c r="K32" s="16" t="s">
        <v>26</v>
      </c>
      <c r="L32" s="18" t="s">
        <v>26</v>
      </c>
    </row>
    <row r="33" spans="1:12" ht="15.5">
      <c r="A33" s="44"/>
      <c r="B33" s="37" t="s">
        <v>27</v>
      </c>
      <c r="C33" s="17">
        <v>17</v>
      </c>
      <c r="D33" s="19">
        <v>480</v>
      </c>
      <c r="E33" s="16">
        <v>0</v>
      </c>
      <c r="F33" s="18">
        <v>0</v>
      </c>
      <c r="G33" s="12">
        <v>1.443001443001443E-5</v>
      </c>
      <c r="H33" s="12">
        <v>4.3691971600218465E-5</v>
      </c>
      <c r="I33" s="16" t="s">
        <v>26</v>
      </c>
      <c r="J33" s="15" t="s">
        <v>26</v>
      </c>
      <c r="K33" s="16" t="s">
        <v>26</v>
      </c>
      <c r="L33" s="18" t="s">
        <v>26</v>
      </c>
    </row>
    <row r="34" spans="1:12" ht="15.5">
      <c r="A34" s="45"/>
      <c r="B34" s="37" t="s">
        <v>28</v>
      </c>
      <c r="C34" s="20">
        <v>16.600000000000001</v>
      </c>
      <c r="D34" s="21">
        <v>480</v>
      </c>
      <c r="E34" s="16">
        <v>0</v>
      </c>
      <c r="F34" s="18">
        <v>0</v>
      </c>
      <c r="G34" s="12">
        <v>1.443001443001443E-5</v>
      </c>
      <c r="H34" s="12">
        <v>4.3691971600218465E-5</v>
      </c>
      <c r="I34" s="16" t="s">
        <v>26</v>
      </c>
      <c r="J34" s="15" t="s">
        <v>26</v>
      </c>
      <c r="K34" s="16" t="s">
        <v>26</v>
      </c>
      <c r="L34" s="18" t="s">
        <v>26</v>
      </c>
    </row>
    <row r="35" spans="1:12" ht="15.5">
      <c r="A35" s="43">
        <v>2022</v>
      </c>
      <c r="B35" s="37" t="s">
        <v>29</v>
      </c>
      <c r="C35" s="20">
        <v>16.100000000000001</v>
      </c>
      <c r="D35" s="21">
        <v>470</v>
      </c>
      <c r="E35" s="16">
        <v>0</v>
      </c>
      <c r="F35" s="18">
        <v>0</v>
      </c>
      <c r="G35" s="12">
        <v>1.443001443001443E-5</v>
      </c>
      <c r="H35" s="12">
        <v>4.3691971600218465E-5</v>
      </c>
      <c r="I35" s="16" t="s">
        <v>26</v>
      </c>
      <c r="J35" s="15" t="s">
        <v>26</v>
      </c>
      <c r="K35" s="16" t="s">
        <v>26</v>
      </c>
      <c r="L35" s="18" t="s">
        <v>26</v>
      </c>
    </row>
    <row r="36" spans="1:12" ht="15.5">
      <c r="A36" s="44"/>
      <c r="B36" s="37" t="s">
        <v>30</v>
      </c>
      <c r="C36" s="20">
        <v>15.9</v>
      </c>
      <c r="D36" s="21">
        <v>460</v>
      </c>
      <c r="E36" s="16">
        <v>0</v>
      </c>
      <c r="F36" s="18">
        <v>0</v>
      </c>
      <c r="G36" s="12">
        <v>1.443001443001443E-5</v>
      </c>
      <c r="H36" s="12">
        <v>4.3691971600218465E-5</v>
      </c>
      <c r="I36" s="16" t="s">
        <v>26</v>
      </c>
      <c r="J36" s="15" t="s">
        <v>26</v>
      </c>
      <c r="K36" s="16" t="s">
        <v>26</v>
      </c>
      <c r="L36" s="18" t="s">
        <v>26</v>
      </c>
    </row>
    <row r="37" spans="1:12" ht="15.5">
      <c r="A37" s="44"/>
      <c r="B37" s="37" t="s">
        <v>27</v>
      </c>
      <c r="C37" s="20">
        <v>15</v>
      </c>
      <c r="D37" s="21">
        <v>440</v>
      </c>
      <c r="E37" s="16">
        <v>0</v>
      </c>
      <c r="F37" s="18">
        <v>0</v>
      </c>
      <c r="G37" s="12">
        <v>1.443001443001443E-5</v>
      </c>
      <c r="H37" s="12">
        <v>4.3691971600218465E-5</v>
      </c>
      <c r="I37" s="16" t="s">
        <v>26</v>
      </c>
      <c r="J37" s="15" t="s">
        <v>26</v>
      </c>
      <c r="K37" s="16" t="s">
        <v>26</v>
      </c>
      <c r="L37" s="18" t="s">
        <v>26</v>
      </c>
    </row>
    <row r="38" spans="1:12" ht="15.5">
      <c r="A38" s="44"/>
      <c r="B38" s="37" t="s">
        <v>28</v>
      </c>
      <c r="C38" s="20">
        <v>14.2</v>
      </c>
      <c r="D38" s="21">
        <v>420</v>
      </c>
      <c r="E38" s="16">
        <v>0</v>
      </c>
      <c r="F38" s="18">
        <v>0</v>
      </c>
      <c r="G38" s="12">
        <v>1.443001443001443E-5</v>
      </c>
      <c r="H38" s="12">
        <v>4.3691971600218465E-5</v>
      </c>
      <c r="I38" s="16" t="s">
        <v>26</v>
      </c>
      <c r="J38" s="15" t="s">
        <v>26</v>
      </c>
      <c r="K38" s="16" t="s">
        <v>26</v>
      </c>
      <c r="L38" s="18" t="s">
        <v>26</v>
      </c>
    </row>
    <row r="39" spans="1:12" ht="15.5">
      <c r="A39" s="44">
        <v>2023</v>
      </c>
      <c r="B39" s="37" t="s">
        <v>29</v>
      </c>
      <c r="C39" s="20">
        <v>11.7</v>
      </c>
      <c r="D39" s="21">
        <v>370</v>
      </c>
      <c r="E39" s="16">
        <v>0</v>
      </c>
      <c r="F39" s="18">
        <v>0</v>
      </c>
      <c r="G39" s="12">
        <v>1.443001443001443E-5</v>
      </c>
      <c r="H39" s="12">
        <v>4.3691971600218465E-5</v>
      </c>
      <c r="I39" s="16" t="s">
        <v>26</v>
      </c>
      <c r="J39" s="15" t="s">
        <v>26</v>
      </c>
      <c r="K39" s="16" t="s">
        <v>26</v>
      </c>
      <c r="L39" s="18" t="s">
        <v>26</v>
      </c>
    </row>
    <row r="40" spans="1:12" ht="15.5">
      <c r="A40" s="44"/>
      <c r="B40" s="37" t="s">
        <v>30</v>
      </c>
      <c r="C40" s="20">
        <v>10.9</v>
      </c>
      <c r="D40" s="21">
        <v>330</v>
      </c>
      <c r="E40" s="16">
        <v>0</v>
      </c>
      <c r="F40" s="18">
        <v>0</v>
      </c>
      <c r="G40" s="12">
        <v>1.443001443001443E-5</v>
      </c>
      <c r="H40" s="12">
        <v>4.3691971600218465E-5</v>
      </c>
      <c r="I40" s="16" t="s">
        <v>26</v>
      </c>
      <c r="J40" s="15" t="s">
        <v>26</v>
      </c>
      <c r="K40" s="16" t="s">
        <v>26</v>
      </c>
      <c r="L40" s="18" t="s">
        <v>26</v>
      </c>
    </row>
    <row r="41" spans="1:12" ht="15.5">
      <c r="A41" s="45"/>
      <c r="B41" s="37" t="s">
        <v>27</v>
      </c>
      <c r="C41" s="20">
        <v>10.1</v>
      </c>
      <c r="D41" s="21">
        <v>300</v>
      </c>
      <c r="E41" s="16">
        <v>0</v>
      </c>
      <c r="F41" s="18">
        <v>0</v>
      </c>
      <c r="G41" s="12">
        <v>1.443001443001443E-5</v>
      </c>
      <c r="H41" s="12">
        <v>4.3691971600218465E-5</v>
      </c>
      <c r="I41" s="16" t="s">
        <v>26</v>
      </c>
      <c r="J41" s="15" t="s">
        <v>26</v>
      </c>
      <c r="K41" s="16" t="s">
        <v>26</v>
      </c>
      <c r="L41" s="18" t="s">
        <v>26</v>
      </c>
    </row>
    <row r="42" spans="1:12" ht="33.5" customHeight="1">
      <c r="A42" s="46" t="s">
        <v>31</v>
      </c>
      <c r="B42" s="46"/>
      <c r="C42" s="46"/>
      <c r="D42" s="46"/>
      <c r="E42" s="46"/>
      <c r="F42" s="46"/>
      <c r="G42" s="46"/>
      <c r="H42" s="46"/>
      <c r="I42" s="46"/>
      <c r="J42" s="46"/>
      <c r="K42" s="46"/>
      <c r="L42" s="46"/>
    </row>
    <row r="43" spans="1:12">
      <c r="A43" s="3"/>
      <c r="B43" s="3"/>
      <c r="C43" s="5"/>
      <c r="D43" s="5"/>
      <c r="E43" s="6"/>
      <c r="F43" s="3"/>
      <c r="G43" s="3"/>
      <c r="H43" s="3"/>
      <c r="I43" s="3"/>
      <c r="J43" s="3"/>
      <c r="K43" s="3"/>
      <c r="L43" s="3"/>
    </row>
    <row r="44" spans="1:12" ht="15" customHeight="1">
      <c r="A44" s="47" t="s">
        <v>12</v>
      </c>
      <c r="B44" s="47"/>
      <c r="C44" s="47"/>
      <c r="D44" s="47"/>
      <c r="E44" s="47"/>
      <c r="F44" s="47"/>
      <c r="G44" s="47"/>
      <c r="H44" s="47"/>
      <c r="I44" s="47"/>
      <c r="J44" s="47"/>
      <c r="K44" s="47"/>
    </row>
    <row r="45" spans="1:12">
      <c r="A45" s="48" t="s">
        <v>14</v>
      </c>
      <c r="B45" s="48"/>
      <c r="C45" s="48"/>
      <c r="D45" s="48"/>
      <c r="E45" s="48"/>
      <c r="F45" s="48"/>
      <c r="G45" s="48"/>
      <c r="H45" s="48"/>
      <c r="I45" s="48"/>
      <c r="J45" s="48"/>
      <c r="K45" s="48"/>
    </row>
    <row r="46" spans="1:12">
      <c r="A46" s="49" t="s">
        <v>16</v>
      </c>
      <c r="B46" s="49"/>
      <c r="C46" s="49"/>
      <c r="D46" s="49"/>
      <c r="E46" s="49"/>
      <c r="F46" s="49"/>
      <c r="G46" s="49"/>
      <c r="H46" s="49"/>
      <c r="I46" s="49"/>
      <c r="J46" s="49"/>
      <c r="K46" s="49"/>
    </row>
    <row r="47" spans="1:12" ht="15" customHeight="1">
      <c r="A47" s="50" t="s">
        <v>25</v>
      </c>
      <c r="B47" s="50"/>
      <c r="C47" s="50"/>
      <c r="D47" s="50"/>
      <c r="E47" s="50"/>
      <c r="F47" s="50"/>
      <c r="G47" s="50"/>
      <c r="H47" s="50"/>
      <c r="I47" s="50"/>
      <c r="J47" s="50"/>
      <c r="K47" s="50"/>
    </row>
    <row r="48" spans="1:12" ht="15" customHeight="1">
      <c r="A48" s="48" t="s">
        <v>17</v>
      </c>
      <c r="B48" s="48"/>
      <c r="C48" s="48"/>
      <c r="D48" s="48"/>
      <c r="E48" s="48"/>
      <c r="F48" s="48"/>
      <c r="G48" s="48"/>
      <c r="H48" s="48"/>
      <c r="I48" s="48"/>
      <c r="J48" s="48"/>
      <c r="K48" s="48"/>
    </row>
    <row r="49" spans="1:11" ht="30.5" customHeight="1">
      <c r="A49" s="48" t="s">
        <v>19</v>
      </c>
      <c r="B49" s="48"/>
      <c r="C49" s="48"/>
      <c r="D49" s="48"/>
      <c r="E49" s="48"/>
      <c r="F49" s="48"/>
      <c r="G49" s="48"/>
      <c r="H49" s="48"/>
      <c r="I49" s="48"/>
      <c r="J49" s="48"/>
      <c r="K49" s="48"/>
    </row>
    <row r="50" spans="1:11" ht="15" customHeight="1">
      <c r="A50" s="51" t="s">
        <v>18</v>
      </c>
      <c r="B50" s="51"/>
      <c r="C50" s="51"/>
      <c r="D50" s="51"/>
      <c r="E50" s="51"/>
      <c r="F50" s="51"/>
      <c r="G50" s="51"/>
      <c r="H50" s="51"/>
      <c r="I50" s="51"/>
      <c r="J50" s="51"/>
      <c r="K50" s="51"/>
    </row>
    <row r="51" spans="1:11" ht="45" customHeight="1">
      <c r="A51" s="48" t="s">
        <v>22</v>
      </c>
      <c r="B51" s="48"/>
      <c r="C51" s="48"/>
      <c r="D51" s="48"/>
      <c r="E51" s="48"/>
      <c r="F51" s="48"/>
      <c r="G51" s="48"/>
      <c r="H51" s="48"/>
      <c r="I51" s="48"/>
      <c r="J51" s="48"/>
      <c r="K51" s="48"/>
    </row>
    <row r="53" spans="1:11">
      <c r="A53" s="4"/>
    </row>
  </sheetData>
  <mergeCells count="25">
    <mergeCell ref="A51:K51"/>
    <mergeCell ref="A48:K48"/>
    <mergeCell ref="I5:J5"/>
    <mergeCell ref="A42:L42"/>
    <mergeCell ref="A49:K49"/>
    <mergeCell ref="A11:A14"/>
    <mergeCell ref="A47:K47"/>
    <mergeCell ref="A1:L1"/>
    <mergeCell ref="A2:L2"/>
    <mergeCell ref="A3:L3"/>
    <mergeCell ref="A50:K50"/>
    <mergeCell ref="A23:A26"/>
    <mergeCell ref="A39:A41"/>
    <mergeCell ref="K5:L5"/>
    <mergeCell ref="A35:A38"/>
    <mergeCell ref="A44:K44"/>
    <mergeCell ref="A31:A34"/>
    <mergeCell ref="E5:H5"/>
    <mergeCell ref="A6:B6"/>
    <mergeCell ref="A7:A10"/>
    <mergeCell ref="A45:K45"/>
    <mergeCell ref="A46:K46"/>
    <mergeCell ref="A15:A18"/>
    <mergeCell ref="A27:A30"/>
    <mergeCell ref="A19:A22"/>
  </mergeCells>
  <phoneticPr fontId="15" type="noConversion"/>
  <pageMargins left="0.7" right="0.7" top="0.75" bottom="0.75" header="0.3" footer="0.3"/>
  <pageSetup scale="7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e2ce8b7-93fd-47d4-b6ce-7d3e60c492c9">
      <Terms xmlns="http://schemas.microsoft.com/office/infopath/2007/PartnerControls"/>
    </lcf76f155ced4ddcb4097134ff3c332f>
    <_ip_UnifiedCompliancePolicyProperties xmlns="http://schemas.microsoft.com/sharepoint/v3" xsi:nil="true"/>
    <Folder_x0020_Description xmlns="8e2ce8b7-93fd-47d4-b6ce-7d3e60c492c9" xsi:nil="true"/>
    <TaxCatchAll xmlns="2a2db8c4-56ab-4882-a5d0-0fe8165c6658"/>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B1C6FF60030546809DA2372D00398F" ma:contentTypeVersion="21" ma:contentTypeDescription="Create a new document." ma:contentTypeScope="" ma:versionID="960c68056e67842612e4998b45b2231b">
  <xsd:schema xmlns:xsd="http://www.w3.org/2001/XMLSchema" xmlns:xs="http://www.w3.org/2001/XMLSchema" xmlns:p="http://schemas.microsoft.com/office/2006/metadata/properties" xmlns:ns1="http://schemas.microsoft.com/sharepoint/v3" xmlns:ns2="41d6d728-afb5-49e6-a79f-5f3b4d7fb77b" xmlns:ns3="8e2ce8b7-93fd-47d4-b6ce-7d3e60c492c9" xmlns:ns4="2a2db8c4-56ab-4882-a5d0-0fe8165c6658" targetNamespace="http://schemas.microsoft.com/office/2006/metadata/properties" ma:root="true" ma:fieldsID="a4ae58212380d2b9d0822ef9a7a5dda2" ns1:_="" ns2:_="" ns3:_="" ns4:_="">
    <xsd:import namespace="http://schemas.microsoft.com/sharepoint/v3"/>
    <xsd:import namespace="41d6d728-afb5-49e6-a79f-5f3b4d7fb77b"/>
    <xsd:import namespace="8e2ce8b7-93fd-47d4-b6ce-7d3e60c492c9"/>
    <xsd:import namespace="2a2db8c4-56ab-4882-a5d0-0fe8165c665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MediaServiceEventHashCode" minOccurs="0"/>
                <xsd:element ref="ns3:MediaServiceGenerationTime" minOccurs="0"/>
                <xsd:element ref="ns3:MediaServiceDateTaken" minOccurs="0"/>
                <xsd:element ref="ns3:MediaServiceAutoTags" minOccurs="0"/>
                <xsd:element ref="ns3:MediaServiceOCR" minOccurs="0"/>
                <xsd:element ref="ns3:MediaServiceLocation" minOccurs="0"/>
                <xsd:element ref="ns3:MediaServiceAutoKeyPoints" minOccurs="0"/>
                <xsd:element ref="ns3:MediaServiceKeyPoints" minOccurs="0"/>
                <xsd:element ref="ns3:Folder_x0020_Descrip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d6d728-afb5-49e6-a79f-5f3b4d7fb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2ce8b7-93fd-47d4-b6ce-7d3e60c492c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Folder_x0020_Description" ma:index="23" nillable="true" ma:displayName="Folder/File Description" ma:description="Test" ma:format="Dropdown" ma:internalName="Folder_x0020_Description">
      <xsd:simpleType>
        <xsd:restriction base="dms:Note">
          <xsd:maxLength value="255"/>
        </xsd:restriction>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557479ed-16e3-4c54-a34b-e226e0af443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2db8c4-56ab-4882-a5d0-0fe8165c6658"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2c2c1190-4f17-478e-b1b2-58572ef7f49c}" ma:internalName="TaxCatchAll" ma:showField="CatchAllData" ma:web="41d6d728-afb5-49e6-a79f-5f3b4d7fb7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CF6EA7-7DFC-43D8-ADF3-380223FA7DB3}">
  <ds:schemaRefs>
    <ds:schemaRef ds:uri="http://purl.org/dc/terms/"/>
    <ds:schemaRef ds:uri="http://schemas.microsoft.com/office/infopath/2007/PartnerControls"/>
    <ds:schemaRef ds:uri="http://schemas.microsoft.com/office/2006/metadata/properties"/>
    <ds:schemaRef ds:uri="8e2ce8b7-93fd-47d4-b6ce-7d3e60c492c9"/>
    <ds:schemaRef ds:uri="http://www.w3.org/XML/1998/namespace"/>
    <ds:schemaRef ds:uri="http://purl.org/dc/elements/1.1/"/>
    <ds:schemaRef ds:uri="http://schemas.openxmlformats.org/package/2006/metadata/core-properties"/>
    <ds:schemaRef ds:uri="http://schemas.microsoft.com/office/2006/documentManagement/types"/>
    <ds:schemaRef ds:uri="http://purl.org/dc/dcmitype/"/>
    <ds:schemaRef ds:uri="41d6d728-afb5-49e6-a79f-5f3b4d7fb77b"/>
    <ds:schemaRef ds:uri="2a2db8c4-56ab-4882-a5d0-0fe8165c6658"/>
    <ds:schemaRef ds:uri="http://schemas.microsoft.com/sharepoint/v3"/>
  </ds:schemaRefs>
</ds:datastoreItem>
</file>

<file path=customXml/itemProps2.xml><?xml version="1.0" encoding="utf-8"?>
<ds:datastoreItem xmlns:ds="http://schemas.openxmlformats.org/officeDocument/2006/customXml" ds:itemID="{DCE07BC0-77AE-435F-B4C0-A067156679C3}">
  <ds:schemaRefs>
    <ds:schemaRef ds:uri="http://schemas.microsoft.com/sharepoint/v3/contenttype/forms"/>
  </ds:schemaRefs>
</ds:datastoreItem>
</file>

<file path=customXml/itemProps3.xml><?xml version="1.0" encoding="utf-8"?>
<ds:datastoreItem xmlns:ds="http://schemas.openxmlformats.org/officeDocument/2006/customXml" ds:itemID="{BE42C42E-A92F-4181-8F80-FDF0AFD2B8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d6d728-afb5-49e6-a79f-5f3b4d7fb77b"/>
    <ds:schemaRef ds:uri="8e2ce8b7-93fd-47d4-b6ce-7d3e60c492c9"/>
    <ds:schemaRef ds:uri="2a2db8c4-56ab-4882-a5d0-0fe8165c66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New DL Defaults</vt:lpstr>
    </vt:vector>
  </TitlesOfParts>
  <Company>U.S.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FSA</dc:creator>
  <cp:lastModifiedBy>Alexander Yurin</cp:lastModifiedBy>
  <cp:lastPrinted>2020-01-17T15:01:37Z</cp:lastPrinted>
  <dcterms:created xsi:type="dcterms:W3CDTF">2016-02-03T22:14:10Z</dcterms:created>
  <dcterms:modified xsi:type="dcterms:W3CDTF">2025-11-26T04:27:27Z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0x01010057DC98171ABF41439B409D0A1DDFBE39</vt:lpwstr>
  </property>
</Properties>
</file>