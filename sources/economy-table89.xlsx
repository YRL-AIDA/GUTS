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9C48CBD-30F0-4AA7-8EE7-405160CD2B7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ew DL Defa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1" l="1"/>
  <c r="H18" i="1"/>
  <c r="G22" i="1"/>
  <c r="H21" i="1"/>
  <c r="G21" i="1"/>
  <c r="H20" i="1"/>
  <c r="G20" i="1"/>
  <c r="H19" i="1"/>
  <c r="G19" i="1"/>
  <c r="G18" i="1"/>
  <c r="H17" i="1"/>
  <c r="G17" i="1"/>
  <c r="G16" i="1"/>
  <c r="H16" i="1"/>
  <c r="H15" i="1"/>
  <c r="G15" i="1"/>
  <c r="H14" i="1"/>
  <c r="G14" i="1"/>
  <c r="G13" i="1"/>
  <c r="H13" i="1"/>
  <c r="G9" i="1"/>
  <c r="G12" i="1"/>
  <c r="G11" i="1"/>
  <c r="G10" i="1"/>
  <c r="G8" i="1"/>
  <c r="H12" i="1"/>
  <c r="H11" i="1"/>
  <c r="H10" i="1"/>
  <c r="H9" i="1"/>
  <c r="H8" i="1"/>
  <c r="H7" i="1"/>
  <c r="H3" i="1"/>
  <c r="H6" i="1"/>
  <c r="H5" i="1"/>
  <c r="H4" i="1"/>
  <c r="E7" i="1"/>
  <c r="G7" i="1"/>
  <c r="E6" i="1"/>
  <c r="G6" i="1" s="1"/>
  <c r="E5" i="1"/>
  <c r="G5" i="1" s="1"/>
  <c r="E4" i="1"/>
  <c r="G4" i="1" s="1"/>
  <c r="E3" i="1"/>
  <c r="G3" i="1" s="1"/>
</calcChain>
</file>

<file path=xl/sharedStrings.xml><?xml version="1.0" encoding="utf-8"?>
<sst xmlns="http://schemas.openxmlformats.org/spreadsheetml/2006/main" count="141" uniqueCount="20">
  <si>
    <t>Loans Defaulting for the First Time</t>
  </si>
  <si>
    <t>Total Entering Default During the Quarter</t>
  </si>
  <si>
    <t>Federal Fiscal Year</t>
  </si>
  <si>
    <t>Dollars             (in billions)</t>
  </si>
  <si>
    <t>Borrowers     (in thousands)</t>
  </si>
  <si>
    <t>Q1</t>
  </si>
  <si>
    <t>Q2</t>
  </si>
  <si>
    <t>Q3</t>
  </si>
  <si>
    <t>Q4</t>
  </si>
  <si>
    <t>Unique Borrowers     (in thousands)</t>
  </si>
  <si>
    <t>Loans Defaulting for at least the Second Time</t>
  </si>
  <si>
    <t>Recipients In Repayment From Previous Quarter         (in thousands)</t>
  </si>
  <si>
    <t>Percent of Borrowers in Repayment Last Quarter That Defaulted</t>
  </si>
  <si>
    <t>Percent of Dollars in Repayment Last Quarter That Defaulted</t>
  </si>
  <si>
    <t>Dollars In Repayment From Previous Quarter         (in billions)</t>
  </si>
  <si>
    <t>NA*</t>
  </si>
  <si>
    <t>Q3*</t>
  </si>
  <si>
    <t>Q4*</t>
  </si>
  <si>
    <t>Q1*</t>
  </si>
  <si>
    <t>Q2*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</si>
</sst>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$&quot;#,##0.00"/>
    <numFmt numFmtId="168" formatCode="0.0"/>
    <numFmt numFmtId="169" formatCode="0.0%"/>
    <numFmt numFmtId="170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name val="Arial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5" fillId="0" borderId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5"/>
    <xf numFmtId="167" fontId="3" fillId="2" borderId="1" xfId="3" applyNumberFormat="1" applyFont="1" applyFill="1" applyBorder="1" applyAlignment="1">
      <alignment horizontal="center" vertical="center"/>
    </xf>
    <xf numFmtId="168" fontId="4" fillId="2" borderId="1" xfId="3" applyNumberFormat="1" applyFont="1" applyFill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167" fontId="3" fillId="3" borderId="1" xfId="3" applyNumberFormat="1" applyFont="1" applyFill="1" applyBorder="1" applyAlignment="1">
      <alignment horizontal="center" vertical="center"/>
    </xf>
    <xf numFmtId="168" fontId="4" fillId="3" borderId="1" xfId="3" applyNumberFormat="1" applyFont="1" applyFill="1" applyBorder="1" applyAlignment="1">
      <alignment horizontal="center" vertical="center"/>
    </xf>
    <xf numFmtId="169" fontId="7" fillId="3" borderId="1" xfId="7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4" fillId="0" borderId="1" xfId="5" applyFont="1" applyBorder="1" applyAlignment="1">
      <alignment horizontal="center" vertical="center"/>
    </xf>
    <xf numFmtId="167" fontId="4" fillId="0" borderId="1" xfId="5" applyNumberFormat="1" applyFont="1" applyBorder="1" applyAlignment="1">
      <alignment horizontal="center" vertical="center"/>
    </xf>
    <xf numFmtId="167" fontId="4" fillId="3" borderId="1" xfId="5" applyNumberFormat="1" applyFont="1" applyFill="1" applyBorder="1" applyAlignment="1">
      <alignment horizontal="center" vertical="center"/>
    </xf>
    <xf numFmtId="0" fontId="4" fillId="3" borderId="1" xfId="5" applyFont="1" applyFill="1" applyBorder="1" applyAlignment="1">
      <alignment horizontal="center" vertical="center"/>
    </xf>
    <xf numFmtId="169" fontId="4" fillId="3" borderId="1" xfId="7" applyNumberFormat="1" applyFont="1" applyFill="1" applyBorder="1" applyAlignment="1">
      <alignment horizontal="center" vertical="center"/>
    </xf>
    <xf numFmtId="167" fontId="4" fillId="2" borderId="1" xfId="2" quotePrefix="1" applyNumberFormat="1" applyFont="1" applyFill="1" applyBorder="1" applyAlignment="1">
      <alignment horizontal="center" vertical="center" wrapText="1"/>
    </xf>
    <xf numFmtId="167" fontId="4" fillId="0" borderId="1" xfId="2" applyNumberFormat="1" applyFont="1" applyBorder="1" applyAlignment="1">
      <alignment horizontal="center" vertical="center"/>
    </xf>
    <xf numFmtId="167" fontId="4" fillId="0" borderId="1" xfId="2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8" fontId="4" fillId="3" borderId="1" xfId="5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4" fillId="2" borderId="1" xfId="4" applyNumberFormat="1" applyFont="1" applyFill="1" applyBorder="1" applyAlignment="1">
      <alignment horizontal="center" vertical="center"/>
    </xf>
    <xf numFmtId="1" fontId="3" fillId="2" borderId="1" xfId="4" applyNumberFormat="1" applyFont="1" applyFill="1" applyBorder="1" applyAlignment="1">
      <alignment horizontal="center" vertical="center"/>
    </xf>
    <xf numFmtId="0" fontId="2" fillId="4" borderId="4" xfId="5" quotePrefix="1" applyFont="1" applyFill="1" applyBorder="1" applyAlignment="1">
      <alignment horizontal="center" vertical="center" wrapText="1"/>
    </xf>
    <xf numFmtId="170" fontId="8" fillId="4" borderId="2" xfId="1" applyNumberFormat="1" applyFont="1" applyFill="1" applyBorder="1" applyAlignment="1">
      <alignment horizontal="center" vertical="center" wrapText="1"/>
    </xf>
    <xf numFmtId="0" fontId="2" fillId="4" borderId="3" xfId="5" quotePrefix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4" borderId="2" xfId="5" quotePrefix="1" applyFont="1" applyFill="1" applyBorder="1" applyAlignment="1">
      <alignment horizontal="center" vertical="center" wrapText="1"/>
    </xf>
    <xf numFmtId="0" fontId="2" fillId="4" borderId="8" xfId="5" quotePrefix="1" applyFont="1" applyFill="1" applyBorder="1" applyAlignment="1">
      <alignment horizontal="center" vertical="center" wrapText="1"/>
    </xf>
    <xf numFmtId="0" fontId="2" fillId="4" borderId="9" xfId="5" quotePrefix="1" applyFont="1" applyFill="1" applyBorder="1" applyAlignment="1">
      <alignment horizontal="center" vertical="center" wrapText="1"/>
    </xf>
    <xf numFmtId="0" fontId="2" fillId="4" borderId="10" xfId="5" quotePrefix="1" applyFont="1" applyFill="1" applyBorder="1" applyAlignment="1">
      <alignment horizontal="center" vertical="center" wrapText="1"/>
    </xf>
    <xf numFmtId="0" fontId="2" fillId="4" borderId="4" xfId="5" quotePrefix="1" applyFont="1" applyFill="1" applyBorder="1" applyAlignment="1">
      <alignment horizontal="center" vertical="center" wrapText="1"/>
    </xf>
    <xf numFmtId="0" fontId="2" fillId="5" borderId="11" xfId="5" applyFont="1" applyFill="1" applyBorder="1" applyAlignment="1">
      <alignment horizontal="center" vertical="center"/>
    </xf>
    <xf numFmtId="0" fontId="2" fillId="5" borderId="1" xfId="5" quotePrefix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16" fontId="2" fillId="5" borderId="1" xfId="5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1" xfId="5" applyFont="1" applyFill="1" applyBorder="1" applyAlignment="1">
      <alignment horizontal="center" vertical="center"/>
    </xf>
    <xf numFmtId="0" fontId="2" fillId="5" borderId="2" xfId="5" applyFont="1" applyFill="1" applyBorder="1" applyAlignment="1">
      <alignment horizontal="center" vertical="center"/>
    </xf>
    <xf numFmtId="0" fontId="2" fillId="5" borderId="3" xfId="5" applyFont="1" applyFill="1" applyBorder="1" applyAlignment="1">
      <alignment horizontal="center" vertical="center"/>
    </xf>
    <xf numFmtId="0" fontId="2" fillId="5" borderId="5" xfId="5" applyFont="1" applyFill="1" applyBorder="1" applyAlignment="1">
      <alignment horizontal="center" vertical="center"/>
    </xf>
    <xf numFmtId="0" fontId="2" fillId="5" borderId="4" xfId="5" applyFont="1" applyFill="1" applyBorder="1" applyAlignment="1">
      <alignment horizontal="center" vertical="center"/>
    </xf>
    <xf numFmtId="0" fontId="2" fillId="5" borderId="6" xfId="5" applyFont="1" applyFill="1" applyBorder="1" applyAlignment="1">
      <alignment horizontal="center" vertical="center"/>
    </xf>
    <xf numFmtId="0" fontId="2" fillId="5" borderId="7" xfId="5" applyFont="1" applyFill="1" applyBorder="1" applyAlignment="1">
      <alignment horizontal="center" vertical="center"/>
    </xf>
  </cellXfs>
  <cellStyles count="8">
    <cellStyle name="Currency 2" xfId="3" xr:uid="{00000000-0005-0000-0000-000000000000}"/>
    <cellStyle name="Currency 3" xfId="4" xr:uid="{00000000-0005-0000-0000-000001000000}"/>
    <cellStyle name="Normal 2" xfId="5" xr:uid="{00000000-0005-0000-0000-000002000000}"/>
    <cellStyle name="Normal 3" xfId="6" xr:uid="{00000000-0005-0000-0000-000003000000}"/>
    <cellStyle name="Денежный" xfId="2" builtinId="4"/>
    <cellStyle name="Обычный" xfId="0" builtinId="0"/>
    <cellStyle name="Процентный" xfId="7" builtinId="5"/>
    <cellStyle name="Финансовый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9"/>
  <sheetViews>
    <sheetView tabSelected="1" workbookViewId="0">
      <selection activeCell="F8" sqref="F8"/>
    </sheetView>
  </sheetViews>
  <sheetFormatPr defaultRowHeight="15"/>
  <cols>
    <col min="3" max="4" width="18.28515625" customWidth="1"/>
    <col min="5" max="6" width="14.28515625" customWidth="1"/>
    <col min="7" max="8" width="18.28515625" customWidth="1"/>
    <col min="9" max="12" width="14.28515625" customWidth="1"/>
  </cols>
  <sheetData>
    <row r="1" spans="1:12" ht="36.75" customHeight="1">
      <c r="A1" s="1"/>
      <c r="B1" s="1"/>
      <c r="C1" s="1"/>
      <c r="D1" s="1"/>
      <c r="E1" s="28" t="s">
        <v>1</v>
      </c>
      <c r="F1" s="30"/>
      <c r="G1" s="30"/>
      <c r="H1" s="30"/>
      <c r="I1" s="28" t="s">
        <v>0</v>
      </c>
      <c r="J1" s="29"/>
      <c r="K1" s="28" t="s">
        <v>10</v>
      </c>
      <c r="L1" s="29"/>
    </row>
    <row r="2" spans="1:12" ht="78.75" customHeight="1">
      <c r="A2" s="28" t="s">
        <v>2</v>
      </c>
      <c r="B2" s="31"/>
      <c r="C2" s="23" t="s">
        <v>14</v>
      </c>
      <c r="D2" s="24" t="s">
        <v>11</v>
      </c>
      <c r="E2" s="25" t="s">
        <v>3</v>
      </c>
      <c r="F2" s="25" t="s">
        <v>9</v>
      </c>
      <c r="G2" s="25" t="s">
        <v>13</v>
      </c>
      <c r="H2" s="26" t="s">
        <v>12</v>
      </c>
      <c r="I2" s="27" t="s">
        <v>3</v>
      </c>
      <c r="J2" s="27" t="s">
        <v>4</v>
      </c>
      <c r="K2" s="25" t="s">
        <v>3</v>
      </c>
      <c r="L2" s="25" t="s">
        <v>4</v>
      </c>
    </row>
    <row r="3" spans="1:12" ht="15.75">
      <c r="A3" s="32">
        <v>2015</v>
      </c>
      <c r="B3" s="33" t="s">
        <v>5</v>
      </c>
      <c r="C3" s="14">
        <v>301.79999999999995</v>
      </c>
      <c r="D3" s="4">
        <v>12290</v>
      </c>
      <c r="E3" s="5">
        <f>I3+K3</f>
        <v>4.6500000000000004</v>
      </c>
      <c r="F3" s="6">
        <v>301.39999999999998</v>
      </c>
      <c r="G3" s="13">
        <f>E3/C3</f>
        <v>1.5407554671968195E-2</v>
      </c>
      <c r="H3" s="7">
        <f t="shared" ref="H3:H8" si="0">F3/D3</f>
        <v>2.45240032546786E-2</v>
      </c>
      <c r="I3" s="2">
        <v>4.13</v>
      </c>
      <c r="J3" s="3">
        <v>278.2</v>
      </c>
      <c r="K3" s="5">
        <v>0.52</v>
      </c>
      <c r="L3" s="6">
        <v>24.3</v>
      </c>
    </row>
    <row r="4" spans="1:12" ht="15.75">
      <c r="A4" s="34"/>
      <c r="B4" s="35" t="s">
        <v>6</v>
      </c>
      <c r="C4" s="15">
        <v>349.7</v>
      </c>
      <c r="D4" s="4">
        <v>13620</v>
      </c>
      <c r="E4" s="5">
        <f>I4+K4</f>
        <v>4.1100000000000003</v>
      </c>
      <c r="F4" s="6">
        <v>258.7</v>
      </c>
      <c r="G4" s="13">
        <f t="shared" ref="G4:G12" si="1">E4/C4</f>
        <v>1.1752931083786104E-2</v>
      </c>
      <c r="H4" s="7">
        <f t="shared" si="0"/>
        <v>1.8994126284875183E-2</v>
      </c>
      <c r="I4" s="2">
        <v>3.69</v>
      </c>
      <c r="J4" s="3">
        <v>240.1</v>
      </c>
      <c r="K4" s="5">
        <v>0.42</v>
      </c>
      <c r="L4" s="6">
        <v>19.7</v>
      </c>
    </row>
    <row r="5" spans="1:12" ht="15.75">
      <c r="A5" s="34"/>
      <c r="B5" s="35" t="s">
        <v>7</v>
      </c>
      <c r="C5" s="15">
        <v>368.20000000000005</v>
      </c>
      <c r="D5" s="4">
        <v>13960</v>
      </c>
      <c r="E5" s="5">
        <f>I5+K5</f>
        <v>4.82</v>
      </c>
      <c r="F5" s="6">
        <v>289.2</v>
      </c>
      <c r="G5" s="13">
        <f t="shared" si="1"/>
        <v>1.3090711569799022E-2</v>
      </c>
      <c r="H5" s="7">
        <f t="shared" si="0"/>
        <v>2.0716332378223495E-2</v>
      </c>
      <c r="I5" s="2">
        <v>4.26</v>
      </c>
      <c r="J5" s="3">
        <v>266.3</v>
      </c>
      <c r="K5" s="5">
        <v>0.56000000000000005</v>
      </c>
      <c r="L5" s="6">
        <v>24.1</v>
      </c>
    </row>
    <row r="6" spans="1:12" ht="15.75">
      <c r="A6" s="36"/>
      <c r="B6" s="35" t="s">
        <v>8</v>
      </c>
      <c r="C6" s="15">
        <v>394.00000000000006</v>
      </c>
      <c r="D6" s="4">
        <v>14660</v>
      </c>
      <c r="E6" s="5">
        <f>I6+K6</f>
        <v>4.78</v>
      </c>
      <c r="F6" s="6">
        <v>275.7</v>
      </c>
      <c r="G6" s="13">
        <f t="shared" si="1"/>
        <v>1.213197969543147E-2</v>
      </c>
      <c r="H6" s="7">
        <f t="shared" si="0"/>
        <v>1.8806275579809004E-2</v>
      </c>
      <c r="I6" s="2">
        <v>4.21</v>
      </c>
      <c r="J6" s="3">
        <v>254.2</v>
      </c>
      <c r="K6" s="5">
        <v>0.56999999999999995</v>
      </c>
      <c r="L6" s="6">
        <v>22.9</v>
      </c>
    </row>
    <row r="7" spans="1:12" ht="15.75">
      <c r="A7" s="37">
        <v>2016</v>
      </c>
      <c r="B7" s="35" t="s">
        <v>5</v>
      </c>
      <c r="C7" s="16">
        <v>397.09999999999997</v>
      </c>
      <c r="D7" s="4">
        <v>14520</v>
      </c>
      <c r="E7" s="5">
        <f>I7+K7</f>
        <v>6</v>
      </c>
      <c r="F7" s="6">
        <v>336.2</v>
      </c>
      <c r="G7" s="13">
        <f t="shared" si="1"/>
        <v>1.5109544195416772E-2</v>
      </c>
      <c r="H7" s="7">
        <f t="shared" si="0"/>
        <v>2.3154269972451791E-2</v>
      </c>
      <c r="I7" s="2">
        <v>5.43</v>
      </c>
      <c r="J7" s="3">
        <v>313.5</v>
      </c>
      <c r="K7" s="5">
        <v>0.56999999999999995</v>
      </c>
      <c r="L7" s="6">
        <v>24.5</v>
      </c>
    </row>
    <row r="8" spans="1:12" ht="15.75">
      <c r="A8" s="37"/>
      <c r="B8" s="35" t="s">
        <v>6</v>
      </c>
      <c r="C8" s="16">
        <v>440</v>
      </c>
      <c r="D8" s="8">
        <v>15500</v>
      </c>
      <c r="E8" s="5">
        <v>5.1469283739999998</v>
      </c>
      <c r="F8" s="6">
        <v>276.01</v>
      </c>
      <c r="G8" s="13">
        <f t="shared" si="1"/>
        <v>1.1697564486363636E-2</v>
      </c>
      <c r="H8" s="7">
        <f t="shared" si="0"/>
        <v>1.7807096774193548E-2</v>
      </c>
      <c r="I8" s="2">
        <v>4.593108269</v>
      </c>
      <c r="J8" s="3">
        <v>253.589</v>
      </c>
      <c r="K8" s="5">
        <v>0.55382010500000001</v>
      </c>
      <c r="L8" s="6">
        <v>24.01</v>
      </c>
    </row>
    <row r="9" spans="1:12" ht="15.75">
      <c r="A9" s="37"/>
      <c r="B9" s="35" t="s">
        <v>7</v>
      </c>
      <c r="C9" s="16">
        <v>440.79999999999995</v>
      </c>
      <c r="D9" s="8">
        <v>15270</v>
      </c>
      <c r="E9" s="5">
        <v>4.93</v>
      </c>
      <c r="F9" s="6">
        <v>259.7</v>
      </c>
      <c r="G9" s="13">
        <f>E9/C9</f>
        <v>1.118421052631579E-2</v>
      </c>
      <c r="H9" s="7">
        <f>F9/D9</f>
        <v>1.7007203667321544E-2</v>
      </c>
      <c r="I9" s="2">
        <v>4.4000000000000004</v>
      </c>
      <c r="J9" s="3">
        <v>238.4</v>
      </c>
      <c r="K9" s="5">
        <v>0.53</v>
      </c>
      <c r="L9" s="6">
        <v>22.7</v>
      </c>
    </row>
    <row r="10" spans="1:12" ht="15.75">
      <c r="A10" s="37"/>
      <c r="B10" s="35" t="s">
        <v>8</v>
      </c>
      <c r="C10" s="16">
        <v>468.09999999999997</v>
      </c>
      <c r="D10" s="9">
        <v>15940</v>
      </c>
      <c r="E10" s="11">
        <v>5.37</v>
      </c>
      <c r="F10" s="12">
        <v>281.2</v>
      </c>
      <c r="G10" s="13">
        <f t="shared" si="1"/>
        <v>1.1471907712027345E-2</v>
      </c>
      <c r="H10" s="13">
        <f t="shared" ref="H10:H15" si="2">F10/D10</f>
        <v>1.7641154328732749E-2</v>
      </c>
      <c r="I10" s="10">
        <v>4.84</v>
      </c>
      <c r="J10" s="9">
        <v>259.60000000000002</v>
      </c>
      <c r="K10" s="11">
        <v>0.53</v>
      </c>
      <c r="L10" s="12">
        <v>23.2</v>
      </c>
    </row>
    <row r="11" spans="1:12" ht="15.75">
      <c r="A11" s="38">
        <v>2017</v>
      </c>
      <c r="B11" s="35" t="s">
        <v>5</v>
      </c>
      <c r="C11" s="16">
        <v>478.5</v>
      </c>
      <c r="D11" s="9">
        <v>15930</v>
      </c>
      <c r="E11" s="11">
        <v>5.7087789960000004</v>
      </c>
      <c r="F11" s="12">
        <v>286.5</v>
      </c>
      <c r="G11" s="13">
        <f t="shared" si="1"/>
        <v>1.1930572614420064E-2</v>
      </c>
      <c r="H11" s="13">
        <f t="shared" si="2"/>
        <v>1.7984934086629004E-2</v>
      </c>
      <c r="I11" s="10">
        <v>5.2278550240000001</v>
      </c>
      <c r="J11" s="9">
        <v>265.5</v>
      </c>
      <c r="K11" s="11">
        <v>0.48092397199999998</v>
      </c>
      <c r="L11" s="12">
        <v>22.8</v>
      </c>
    </row>
    <row r="12" spans="1:12" ht="15.75">
      <c r="A12" s="39"/>
      <c r="B12" s="35" t="s">
        <v>6</v>
      </c>
      <c r="C12" s="17">
        <v>522.5</v>
      </c>
      <c r="D12" s="9">
        <v>16840</v>
      </c>
      <c r="E12" s="11">
        <v>5.01</v>
      </c>
      <c r="F12" s="12">
        <v>248.1</v>
      </c>
      <c r="G12" s="13">
        <f t="shared" si="1"/>
        <v>9.588516746411483E-3</v>
      </c>
      <c r="H12" s="13">
        <f t="shared" si="2"/>
        <v>1.4732779097387173E-2</v>
      </c>
      <c r="I12" s="10">
        <v>4.53</v>
      </c>
      <c r="J12" s="9">
        <v>226.7</v>
      </c>
      <c r="K12" s="11">
        <v>0.48</v>
      </c>
      <c r="L12" s="12">
        <v>22.9</v>
      </c>
    </row>
    <row r="13" spans="1:12" ht="15.75">
      <c r="A13" s="39"/>
      <c r="B13" s="35" t="s">
        <v>7</v>
      </c>
      <c r="C13" s="17">
        <v>535.5</v>
      </c>
      <c r="D13" s="9">
        <v>16910</v>
      </c>
      <c r="E13" s="11">
        <v>5.66</v>
      </c>
      <c r="F13" s="12">
        <v>265.5</v>
      </c>
      <c r="G13" s="13">
        <f t="shared" ref="G13:G18" si="3">E13/C13</f>
        <v>1.0569561157796453E-2</v>
      </c>
      <c r="H13" s="13">
        <f t="shared" si="2"/>
        <v>1.5700768775872266E-2</v>
      </c>
      <c r="I13" s="10">
        <v>5.0199999999999996</v>
      </c>
      <c r="J13" s="9">
        <v>237.3</v>
      </c>
      <c r="K13" s="11">
        <v>0.64</v>
      </c>
      <c r="L13" s="18">
        <v>30</v>
      </c>
    </row>
    <row r="14" spans="1:12" ht="15.75">
      <c r="A14" s="40"/>
      <c r="B14" s="35" t="s">
        <v>8</v>
      </c>
      <c r="C14" s="17">
        <v>553.69999999999993</v>
      </c>
      <c r="D14" s="9">
        <v>17480</v>
      </c>
      <c r="E14" s="11">
        <v>6.33</v>
      </c>
      <c r="F14" s="12">
        <v>297.60000000000002</v>
      </c>
      <c r="G14" s="13">
        <f t="shared" si="3"/>
        <v>1.1432183492866175E-2</v>
      </c>
      <c r="H14" s="13">
        <f t="shared" si="2"/>
        <v>1.702517162471396E-2</v>
      </c>
      <c r="I14" s="10">
        <v>5.7659460239999998</v>
      </c>
      <c r="J14" s="9">
        <v>273.60000000000002</v>
      </c>
      <c r="K14" s="11">
        <v>0.56711521600000003</v>
      </c>
      <c r="L14" s="18">
        <v>26.2</v>
      </c>
    </row>
    <row r="15" spans="1:12" ht="15.75">
      <c r="A15" s="38">
        <v>2018</v>
      </c>
      <c r="B15" s="35" t="s">
        <v>5</v>
      </c>
      <c r="C15" s="17">
        <v>547.29999999999995</v>
      </c>
      <c r="D15" s="9">
        <v>16910</v>
      </c>
      <c r="E15" s="11">
        <v>6.84</v>
      </c>
      <c r="F15" s="12">
        <v>312.2</v>
      </c>
      <c r="G15" s="13">
        <f t="shared" si="3"/>
        <v>1.249771606066143E-2</v>
      </c>
      <c r="H15" s="13">
        <f t="shared" si="2"/>
        <v>1.8462448255470134E-2</v>
      </c>
      <c r="I15" s="10" t="s">
        <v>15</v>
      </c>
      <c r="J15" s="9" t="s">
        <v>15</v>
      </c>
      <c r="K15" s="11" t="s">
        <v>15</v>
      </c>
      <c r="L15" s="18" t="s">
        <v>15</v>
      </c>
    </row>
    <row r="16" spans="1:12" ht="15.75">
      <c r="A16" s="39"/>
      <c r="B16" s="35" t="s">
        <v>6</v>
      </c>
      <c r="C16" s="17">
        <v>599.9</v>
      </c>
      <c r="D16" s="19">
        <v>18080</v>
      </c>
      <c r="E16" s="11">
        <v>6.11</v>
      </c>
      <c r="F16" s="12">
        <v>273.10000000000002</v>
      </c>
      <c r="G16" s="13">
        <f t="shared" si="3"/>
        <v>1.018503083847308E-2</v>
      </c>
      <c r="H16" s="13">
        <f t="shared" ref="H16:H21" si="4">F16/D16</f>
        <v>1.5105088495575222E-2</v>
      </c>
      <c r="I16" s="10" t="s">
        <v>15</v>
      </c>
      <c r="J16" s="9" t="s">
        <v>15</v>
      </c>
      <c r="K16" s="11" t="s">
        <v>15</v>
      </c>
      <c r="L16" s="18" t="s">
        <v>15</v>
      </c>
    </row>
    <row r="17" spans="1:12" ht="15.75">
      <c r="A17" s="39"/>
      <c r="B17" s="35" t="s">
        <v>7</v>
      </c>
      <c r="C17" s="17">
        <v>604.00000000000011</v>
      </c>
      <c r="D17" s="19">
        <v>17880</v>
      </c>
      <c r="E17" s="11">
        <v>5.72</v>
      </c>
      <c r="F17" s="12">
        <v>247.6</v>
      </c>
      <c r="G17" s="13">
        <f t="shared" si="3"/>
        <v>9.4701986754966872E-3</v>
      </c>
      <c r="H17" s="13">
        <f t="shared" si="4"/>
        <v>1.3847874720357941E-2</v>
      </c>
      <c r="I17" s="10" t="s">
        <v>15</v>
      </c>
      <c r="J17" s="9" t="s">
        <v>15</v>
      </c>
      <c r="K17" s="11" t="s">
        <v>15</v>
      </c>
      <c r="L17" s="18" t="s">
        <v>15</v>
      </c>
    </row>
    <row r="18" spans="1:12" ht="15.75">
      <c r="A18" s="40"/>
      <c r="B18" s="35" t="s">
        <v>8</v>
      </c>
      <c r="C18" s="17">
        <v>630.1</v>
      </c>
      <c r="D18" s="19">
        <v>18590</v>
      </c>
      <c r="E18" s="11">
        <v>5.76</v>
      </c>
      <c r="F18" s="12">
        <v>247.4</v>
      </c>
      <c r="G18" s="13">
        <f t="shared" si="3"/>
        <v>9.1414061260117439E-3</v>
      </c>
      <c r="H18" s="13">
        <f>F18/D18</f>
        <v>1.3308230231307155E-2</v>
      </c>
      <c r="I18" s="10" t="s">
        <v>15</v>
      </c>
      <c r="J18" s="9" t="s">
        <v>15</v>
      </c>
      <c r="K18" s="11" t="s">
        <v>15</v>
      </c>
      <c r="L18" s="18" t="s">
        <v>15</v>
      </c>
    </row>
    <row r="19" spans="1:12" ht="15.75">
      <c r="A19" s="37">
        <v>2019</v>
      </c>
      <c r="B19" s="35" t="s">
        <v>5</v>
      </c>
      <c r="C19" s="17">
        <v>623.5</v>
      </c>
      <c r="D19" s="19">
        <v>18150</v>
      </c>
      <c r="E19" s="11">
        <v>6.68</v>
      </c>
      <c r="F19" s="18">
        <v>279</v>
      </c>
      <c r="G19" s="13">
        <f>E19/C19</f>
        <v>1.0713712910986366E-2</v>
      </c>
      <c r="H19" s="13">
        <f t="shared" si="4"/>
        <v>1.537190082644628E-2</v>
      </c>
      <c r="I19" s="10" t="s">
        <v>15</v>
      </c>
      <c r="J19" s="9" t="s">
        <v>15</v>
      </c>
      <c r="K19" s="11" t="s">
        <v>15</v>
      </c>
      <c r="L19" s="18" t="s">
        <v>15</v>
      </c>
    </row>
    <row r="20" spans="1:12" ht="15.75">
      <c r="A20" s="37"/>
      <c r="B20" s="35" t="s">
        <v>6</v>
      </c>
      <c r="C20" s="17">
        <v>665</v>
      </c>
      <c r="D20" s="19">
        <v>18940</v>
      </c>
      <c r="E20" s="11">
        <v>8.1</v>
      </c>
      <c r="F20" s="18">
        <v>337.6</v>
      </c>
      <c r="G20" s="13">
        <f>E20/C20</f>
        <v>1.2180451127819548E-2</v>
      </c>
      <c r="H20" s="13">
        <f t="shared" si="4"/>
        <v>1.7824709609292503E-2</v>
      </c>
      <c r="I20" s="10" t="s">
        <v>15</v>
      </c>
      <c r="J20" s="9" t="s">
        <v>15</v>
      </c>
      <c r="K20" s="11" t="s">
        <v>15</v>
      </c>
      <c r="L20" s="18" t="s">
        <v>15</v>
      </c>
    </row>
    <row r="21" spans="1:12" ht="15.75">
      <c r="A21" s="37"/>
      <c r="B21" s="35" t="s">
        <v>7</v>
      </c>
      <c r="C21" s="17">
        <v>672.5</v>
      </c>
      <c r="D21" s="19">
        <v>18880</v>
      </c>
      <c r="E21" s="11">
        <v>8.5299999999999994</v>
      </c>
      <c r="F21" s="18">
        <v>352.1</v>
      </c>
      <c r="G21" s="13">
        <f>E21/C21</f>
        <v>1.2684014869888474E-2</v>
      </c>
      <c r="H21" s="13">
        <f t="shared" si="4"/>
        <v>1.8649364406779664E-2</v>
      </c>
      <c r="I21" s="10" t="s">
        <v>15</v>
      </c>
      <c r="J21" s="9" t="s">
        <v>15</v>
      </c>
      <c r="K21" s="11" t="s">
        <v>15</v>
      </c>
      <c r="L21" s="18" t="s">
        <v>15</v>
      </c>
    </row>
    <row r="22" spans="1:12" ht="15.75">
      <c r="A22" s="37"/>
      <c r="B22" s="35" t="s">
        <v>8</v>
      </c>
      <c r="C22" s="17">
        <v>687.7</v>
      </c>
      <c r="D22" s="19">
        <v>19160</v>
      </c>
      <c r="E22" s="11">
        <v>6.32</v>
      </c>
      <c r="F22" s="18">
        <v>259.89999999999998</v>
      </c>
      <c r="G22" s="13">
        <f>E22/C22</f>
        <v>9.1900538025301726E-3</v>
      </c>
      <c r="H22" s="13">
        <f>F22/D22</f>
        <v>1.3564718162839247E-2</v>
      </c>
      <c r="I22" s="10" t="s">
        <v>15</v>
      </c>
      <c r="J22" s="9" t="s">
        <v>15</v>
      </c>
      <c r="K22" s="11" t="s">
        <v>15</v>
      </c>
      <c r="L22" s="18" t="s">
        <v>15</v>
      </c>
    </row>
    <row r="23" spans="1:12" ht="15.75">
      <c r="A23" s="41">
        <v>2020</v>
      </c>
      <c r="B23" s="35" t="s">
        <v>5</v>
      </c>
      <c r="C23" s="17">
        <v>685.50000000000011</v>
      </c>
      <c r="D23" s="19">
        <v>18850</v>
      </c>
      <c r="E23" s="11">
        <v>7.63</v>
      </c>
      <c r="F23" s="18">
        <v>302</v>
      </c>
      <c r="G23" s="13">
        <v>1.0999999999999999E-2</v>
      </c>
      <c r="H23" s="13">
        <v>1.6E-2</v>
      </c>
      <c r="I23" s="10" t="s">
        <v>15</v>
      </c>
      <c r="J23" s="9" t="s">
        <v>15</v>
      </c>
      <c r="K23" s="11" t="s">
        <v>15</v>
      </c>
      <c r="L23" s="18" t="s">
        <v>15</v>
      </c>
    </row>
    <row r="24" spans="1:12" ht="15.75">
      <c r="A24" s="42"/>
      <c r="B24" s="35" t="s">
        <v>6</v>
      </c>
      <c r="C24" s="17">
        <v>728.3</v>
      </c>
      <c r="D24" s="19">
        <v>19640</v>
      </c>
      <c r="E24" s="11">
        <v>6.35</v>
      </c>
      <c r="F24" s="18">
        <v>248</v>
      </c>
      <c r="G24" s="13">
        <v>8.9999999999999993E-3</v>
      </c>
      <c r="H24" s="13">
        <v>1.2999999999999999E-2</v>
      </c>
      <c r="I24" s="10" t="s">
        <v>15</v>
      </c>
      <c r="J24" s="9" t="s">
        <v>15</v>
      </c>
      <c r="K24" s="11" t="s">
        <v>15</v>
      </c>
      <c r="L24" s="18" t="s">
        <v>15</v>
      </c>
    </row>
    <row r="25" spans="1:12" ht="15.75">
      <c r="A25" s="42"/>
      <c r="B25" s="35" t="s">
        <v>16</v>
      </c>
      <c r="C25" s="17">
        <v>693</v>
      </c>
      <c r="D25" s="19">
        <v>18310</v>
      </c>
      <c r="E25" s="11">
        <v>0</v>
      </c>
      <c r="F25" s="18">
        <v>0</v>
      </c>
      <c r="G25" s="13">
        <v>1.443001443001443E-5</v>
      </c>
      <c r="H25" s="13">
        <v>4.3691971600218465E-5</v>
      </c>
      <c r="I25" s="10" t="s">
        <v>15</v>
      </c>
      <c r="J25" s="9" t="s">
        <v>15</v>
      </c>
      <c r="K25" s="11" t="s">
        <v>15</v>
      </c>
      <c r="L25" s="18" t="s">
        <v>15</v>
      </c>
    </row>
    <row r="26" spans="1:12" ht="15.75">
      <c r="A26" s="43"/>
      <c r="B26" s="35" t="s">
        <v>17</v>
      </c>
      <c r="C26" s="17">
        <v>11.3</v>
      </c>
      <c r="D26" s="19">
        <v>310</v>
      </c>
      <c r="E26" s="11">
        <v>0</v>
      </c>
      <c r="F26" s="18">
        <v>0</v>
      </c>
      <c r="G26" s="13">
        <v>1.443001443001443E-5</v>
      </c>
      <c r="H26" s="13">
        <v>4.3691971600218465E-5</v>
      </c>
      <c r="I26" s="10" t="s">
        <v>15</v>
      </c>
      <c r="J26" s="9" t="s">
        <v>15</v>
      </c>
      <c r="K26" s="11" t="s">
        <v>15</v>
      </c>
      <c r="L26" s="18" t="s">
        <v>15</v>
      </c>
    </row>
    <row r="27" spans="1:12" ht="15.75">
      <c r="A27" s="41">
        <v>2021</v>
      </c>
      <c r="B27" s="35" t="s">
        <v>18</v>
      </c>
      <c r="C27" s="17">
        <v>14.2</v>
      </c>
      <c r="D27" s="19">
        <v>390</v>
      </c>
      <c r="E27" s="11">
        <v>0</v>
      </c>
      <c r="F27" s="18">
        <v>0</v>
      </c>
      <c r="G27" s="13">
        <v>1.443001443001443E-5</v>
      </c>
      <c r="H27" s="13">
        <v>4.3691971600218465E-5</v>
      </c>
      <c r="I27" s="10" t="s">
        <v>15</v>
      </c>
      <c r="J27" s="9" t="s">
        <v>15</v>
      </c>
      <c r="K27" s="11" t="s">
        <v>15</v>
      </c>
      <c r="L27" s="18" t="s">
        <v>15</v>
      </c>
    </row>
    <row r="28" spans="1:12" ht="15.75">
      <c r="A28" s="42"/>
      <c r="B28" s="35" t="s">
        <v>19</v>
      </c>
      <c r="C28" s="17">
        <v>15.1</v>
      </c>
      <c r="D28" s="19">
        <v>420</v>
      </c>
      <c r="E28" s="11">
        <v>0</v>
      </c>
      <c r="F28" s="18">
        <v>0</v>
      </c>
      <c r="G28" s="13">
        <v>1.443001443001443E-5</v>
      </c>
      <c r="H28" s="13">
        <v>4.3691971600218465E-5</v>
      </c>
      <c r="I28" s="10" t="s">
        <v>15</v>
      </c>
      <c r="J28" s="9" t="s">
        <v>15</v>
      </c>
      <c r="K28" s="11" t="s">
        <v>15</v>
      </c>
      <c r="L28" s="18" t="s">
        <v>15</v>
      </c>
    </row>
    <row r="29" spans="1:12" ht="15.75">
      <c r="A29" s="42"/>
      <c r="B29" s="35" t="s">
        <v>16</v>
      </c>
      <c r="C29" s="17">
        <v>17</v>
      </c>
      <c r="D29" s="19">
        <v>480</v>
      </c>
      <c r="E29" s="11">
        <v>0</v>
      </c>
      <c r="F29" s="18">
        <v>0</v>
      </c>
      <c r="G29" s="13">
        <v>1.443001443001443E-5</v>
      </c>
      <c r="H29" s="13">
        <v>4.3691971600218465E-5</v>
      </c>
      <c r="I29" s="10" t="s">
        <v>15</v>
      </c>
      <c r="J29" s="9" t="s">
        <v>15</v>
      </c>
      <c r="K29" s="11" t="s">
        <v>15</v>
      </c>
      <c r="L29" s="18" t="s">
        <v>15</v>
      </c>
    </row>
    <row r="30" spans="1:12" ht="15.75">
      <c r="A30" s="43"/>
      <c r="B30" s="35" t="s">
        <v>17</v>
      </c>
      <c r="C30" s="21">
        <v>16.600000000000001</v>
      </c>
      <c r="D30" s="22">
        <v>480</v>
      </c>
      <c r="E30" s="11">
        <v>0</v>
      </c>
      <c r="F30" s="18">
        <v>0</v>
      </c>
      <c r="G30" s="13">
        <v>1.443001443001443E-5</v>
      </c>
      <c r="H30" s="13">
        <v>4.3691971600218465E-5</v>
      </c>
      <c r="I30" s="10" t="s">
        <v>15</v>
      </c>
      <c r="J30" s="9" t="s">
        <v>15</v>
      </c>
      <c r="K30" s="11" t="s">
        <v>15</v>
      </c>
      <c r="L30" s="18" t="s">
        <v>15</v>
      </c>
    </row>
    <row r="31" spans="1:12" ht="15.75">
      <c r="A31" s="41">
        <v>2022</v>
      </c>
      <c r="B31" s="35" t="s">
        <v>18</v>
      </c>
      <c r="C31" s="21">
        <v>16.100000000000001</v>
      </c>
      <c r="D31" s="22">
        <v>470</v>
      </c>
      <c r="E31" s="11">
        <v>0</v>
      </c>
      <c r="F31" s="18">
        <v>0</v>
      </c>
      <c r="G31" s="13">
        <v>1.443001443001443E-5</v>
      </c>
      <c r="H31" s="13">
        <v>4.3691971600218465E-5</v>
      </c>
      <c r="I31" s="10" t="s">
        <v>15</v>
      </c>
      <c r="J31" s="9" t="s">
        <v>15</v>
      </c>
      <c r="K31" s="11" t="s">
        <v>15</v>
      </c>
      <c r="L31" s="18" t="s">
        <v>15</v>
      </c>
    </row>
    <row r="32" spans="1:12" ht="15.75">
      <c r="A32" s="42"/>
      <c r="B32" s="35" t="s">
        <v>19</v>
      </c>
      <c r="C32" s="21">
        <v>15.9</v>
      </c>
      <c r="D32" s="22">
        <v>460</v>
      </c>
      <c r="E32" s="11">
        <v>0</v>
      </c>
      <c r="F32" s="18">
        <v>0</v>
      </c>
      <c r="G32" s="13">
        <v>1.443001443001443E-5</v>
      </c>
      <c r="H32" s="13">
        <v>4.3691971600218465E-5</v>
      </c>
      <c r="I32" s="10" t="s">
        <v>15</v>
      </c>
      <c r="J32" s="9" t="s">
        <v>15</v>
      </c>
      <c r="K32" s="11" t="s">
        <v>15</v>
      </c>
      <c r="L32" s="18" t="s">
        <v>15</v>
      </c>
    </row>
    <row r="33" spans="1:12" ht="15.75">
      <c r="A33" s="42"/>
      <c r="B33" s="35" t="s">
        <v>16</v>
      </c>
      <c r="C33" s="21">
        <v>15</v>
      </c>
      <c r="D33" s="22">
        <v>440</v>
      </c>
      <c r="E33" s="11">
        <v>0</v>
      </c>
      <c r="F33" s="18">
        <v>0</v>
      </c>
      <c r="G33" s="13">
        <v>1.443001443001443E-5</v>
      </c>
      <c r="H33" s="13">
        <v>4.3691971600218465E-5</v>
      </c>
      <c r="I33" s="10" t="s">
        <v>15</v>
      </c>
      <c r="J33" s="9" t="s">
        <v>15</v>
      </c>
      <c r="K33" s="11" t="s">
        <v>15</v>
      </c>
      <c r="L33" s="18" t="s">
        <v>15</v>
      </c>
    </row>
    <row r="34" spans="1:12" ht="15.75">
      <c r="A34" s="42"/>
      <c r="B34" s="35" t="s">
        <v>17</v>
      </c>
      <c r="C34" s="21">
        <v>14.2</v>
      </c>
      <c r="D34" s="22">
        <v>420</v>
      </c>
      <c r="E34" s="11">
        <v>0</v>
      </c>
      <c r="F34" s="18">
        <v>0</v>
      </c>
      <c r="G34" s="13">
        <v>1.443001443001443E-5</v>
      </c>
      <c r="H34" s="13">
        <v>4.3691971600218465E-5</v>
      </c>
      <c r="I34" s="10" t="s">
        <v>15</v>
      </c>
      <c r="J34" s="9" t="s">
        <v>15</v>
      </c>
      <c r="K34" s="11" t="s">
        <v>15</v>
      </c>
      <c r="L34" s="18" t="s">
        <v>15</v>
      </c>
    </row>
    <row r="35" spans="1:12" ht="15.75">
      <c r="A35" s="42">
        <v>2023</v>
      </c>
      <c r="B35" s="35" t="s">
        <v>18</v>
      </c>
      <c r="C35" s="21">
        <v>11.7</v>
      </c>
      <c r="D35" s="22">
        <v>370</v>
      </c>
      <c r="E35" s="11">
        <v>0</v>
      </c>
      <c r="F35" s="18">
        <v>0</v>
      </c>
      <c r="G35" s="13">
        <v>1.443001443001443E-5</v>
      </c>
      <c r="H35" s="13">
        <v>4.3691971600218465E-5</v>
      </c>
      <c r="I35" s="10" t="s">
        <v>15</v>
      </c>
      <c r="J35" s="9" t="s">
        <v>15</v>
      </c>
      <c r="K35" s="11" t="s">
        <v>15</v>
      </c>
      <c r="L35" s="18" t="s">
        <v>15</v>
      </c>
    </row>
    <row r="36" spans="1:12" ht="15.75">
      <c r="A36" s="42"/>
      <c r="B36" s="35" t="s">
        <v>19</v>
      </c>
      <c r="C36" s="21">
        <v>10.9</v>
      </c>
      <c r="D36" s="22">
        <v>330</v>
      </c>
      <c r="E36" s="11">
        <v>0</v>
      </c>
      <c r="F36" s="18">
        <v>0</v>
      </c>
      <c r="G36" s="13">
        <v>1.443001443001443E-5</v>
      </c>
      <c r="H36" s="13">
        <v>4.3691971600218465E-5</v>
      </c>
      <c r="I36" s="10" t="s">
        <v>15</v>
      </c>
      <c r="J36" s="9" t="s">
        <v>15</v>
      </c>
      <c r="K36" s="11" t="s">
        <v>15</v>
      </c>
      <c r="L36" s="18" t="s">
        <v>15</v>
      </c>
    </row>
    <row r="37" spans="1:12" ht="15.75">
      <c r="A37" s="43"/>
      <c r="B37" s="35" t="s">
        <v>16</v>
      </c>
      <c r="C37" s="21">
        <v>10.1</v>
      </c>
      <c r="D37" s="22">
        <v>300</v>
      </c>
      <c r="E37" s="11">
        <v>0</v>
      </c>
      <c r="F37" s="18">
        <v>0</v>
      </c>
      <c r="G37" s="13">
        <v>1.443001443001443E-5</v>
      </c>
      <c r="H37" s="13">
        <v>4.3691971600218465E-5</v>
      </c>
      <c r="I37" s="10" t="s">
        <v>15</v>
      </c>
      <c r="J37" s="9" t="s">
        <v>15</v>
      </c>
      <c r="K37" s="11" t="s">
        <v>15</v>
      </c>
      <c r="L37" s="18" t="s">
        <v>15</v>
      </c>
    </row>
    <row r="39" spans="1:12">
      <c r="A39" s="20"/>
    </row>
  </sheetData>
  <mergeCells count="13">
    <mergeCell ref="I1:J1"/>
    <mergeCell ref="A7:A10"/>
    <mergeCell ref="A19:A22"/>
    <mergeCell ref="A35:A37"/>
    <mergeCell ref="K1:L1"/>
    <mergeCell ref="A31:A34"/>
    <mergeCell ref="A27:A30"/>
    <mergeCell ref="E1:H1"/>
    <mergeCell ref="A2:B2"/>
    <mergeCell ref="A3:A6"/>
    <mergeCell ref="A11:A14"/>
    <mergeCell ref="A23:A26"/>
    <mergeCell ref="A15:A18"/>
  </mergeCells>
  <phoneticPr fontId="9" type="noConversion"/>
  <pageMargins left="0.7" right="0.7" top="0.75" bottom="0.75" header="0.3" footer="0.3"/>
  <pageSetup scale="7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e2ce8b7-93fd-47d4-b6ce-7d3e60c492c9">
      <Terms xmlns="http://schemas.microsoft.com/office/infopath/2007/PartnerControls"/>
    </lcf76f155ced4ddcb4097134ff3c332f>
    <_ip_UnifiedCompliancePolicyProperties xmlns="http://schemas.microsoft.com/sharepoint/v3" xsi:nil="true"/>
    <Folder_x0020_Description xmlns="8e2ce8b7-93fd-47d4-b6ce-7d3e60c492c9" xsi:nil="true"/>
    <TaxCatchAll xmlns="2a2db8c4-56ab-4882-a5d0-0fe8165c6658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1C6FF60030546809DA2372D00398F" ma:contentTypeVersion="21" ma:contentTypeDescription="Create a new document." ma:contentTypeScope="" ma:versionID="960c68056e67842612e4998b45b2231b">
  <xsd:schema xmlns:xsd="http://www.w3.org/2001/XMLSchema" xmlns:xs="http://www.w3.org/2001/XMLSchema" xmlns:p="http://schemas.microsoft.com/office/2006/metadata/properties" xmlns:ns1="http://schemas.microsoft.com/sharepoint/v3" xmlns:ns2="41d6d728-afb5-49e6-a79f-5f3b4d7fb77b" xmlns:ns3="8e2ce8b7-93fd-47d4-b6ce-7d3e60c492c9" xmlns:ns4="2a2db8c4-56ab-4882-a5d0-0fe8165c6658" targetNamespace="http://schemas.microsoft.com/office/2006/metadata/properties" ma:root="true" ma:fieldsID="a4ae58212380d2b9d0822ef9a7a5dda2" ns1:_="" ns2:_="" ns3:_="" ns4:_="">
    <xsd:import namespace="http://schemas.microsoft.com/sharepoint/v3"/>
    <xsd:import namespace="41d6d728-afb5-49e6-a79f-5f3b4d7fb77b"/>
    <xsd:import namespace="8e2ce8b7-93fd-47d4-b6ce-7d3e60c492c9"/>
    <xsd:import namespace="2a2db8c4-56ab-4882-a5d0-0fe8165c66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Folder_x0020_Description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6d728-afb5-49e6-a79f-5f3b4d7fb77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ce8b7-93fd-47d4-b6ce-7d3e60c49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older_x0020_Description" ma:index="23" nillable="true" ma:displayName="Folder/File Description" ma:description="Test" ma:format="Dropdown" ma:internalName="Folder_x0020_Description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557479ed-16e3-4c54-a34b-e226e0af44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b8c4-56ab-4882-a5d0-0fe8165c6658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2c2c1190-4f17-478e-b1b2-58572ef7f49c}" ma:internalName="TaxCatchAll" ma:showField="CatchAllData" ma:web="41d6d728-afb5-49e6-a79f-5f3b4d7fb7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E07BC0-77AE-435F-B4C0-A067156679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F6EA7-7DFC-43D8-ADF3-380223FA7DB3}">
  <ds:schemaRefs>
    <ds:schemaRef ds:uri="http://purl.org/dc/terms/"/>
    <ds:schemaRef ds:uri="http://schemas.microsoft.com/office/infopath/2007/PartnerControls"/>
    <ds:schemaRef ds:uri="http://schemas.microsoft.com/office/2006/metadata/properties"/>
    <ds:schemaRef ds:uri="8e2ce8b7-93fd-47d4-b6ce-7d3e60c492c9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41d6d728-afb5-49e6-a79f-5f3b4d7fb77b"/>
    <ds:schemaRef ds:uri="2a2db8c4-56ab-4882-a5d0-0fe8165c665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E42C42E-A92F-4181-8F80-FDF0AFD2B8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d6d728-afb5-49e6-a79f-5f3b4d7fb77b"/>
    <ds:schemaRef ds:uri="8e2ce8b7-93fd-47d4-b6ce-7d3e60c492c9"/>
    <ds:schemaRef ds:uri="2a2db8c4-56ab-4882-a5d0-0fe8165c6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 DL Defaults</vt:lpstr>
    </vt:vector>
  </TitlesOfParts>
  <Company>U.S.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Илья Охотин</cp:lastModifiedBy>
  <cp:lastPrinted>2020-01-17T15:01:37Z</cp:lastPrinted>
  <dcterms:created xsi:type="dcterms:W3CDTF">2016-02-03T22:14:10Z</dcterms:created>
  <dcterms:modified xsi:type="dcterms:W3CDTF">2025-12-04T03:32:13Z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</Properties>
</file>