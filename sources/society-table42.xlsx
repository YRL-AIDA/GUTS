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9377062-4CAB-41C8-84BE-C2E6BDAB127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Package_or_Individual">[1]Intro!$W$3:$W$4</definedName>
    <definedName name="Percent_Prevalence_at_End_of_Projection_Period">'[2]Detailed COVID Calculations - 1'!$C$9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5" i="1"/>
</calcChain>
</file>

<file path=xl/sharedStrings.xml><?xml version="1.0" encoding="utf-8"?>
<sst xmlns="http://schemas.openxmlformats.org/spreadsheetml/2006/main" count="32" uniqueCount="29">
  <si>
    <t xml:space="preserve">Risk of COVID Transmission </t>
  </si>
  <si>
    <t>Variable</t>
  </si>
  <si>
    <t>Mean</t>
  </si>
  <si>
    <t>Suggested Range</t>
  </si>
  <si>
    <t>Comment</t>
  </si>
  <si>
    <t>Current percentage of population that has or has had COVID</t>
  </si>
  <si>
    <t>0% - 72%</t>
  </si>
  <si>
    <t>Number of COVID cases in 2020 divided by total population</t>
  </si>
  <si>
    <t>Number of months until country expects to achieve herd immunity</t>
  </si>
  <si>
    <t>Original study in June 2020:  5-6 months - more likely at least 1 year</t>
  </si>
  <si>
    <r>
      <rPr>
        <sz val="9"/>
        <color theme="1"/>
        <rFont val="Century Gothic"/>
        <charset val="134"/>
      </rPr>
      <t>Length of community spread (in months).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</si>
  <si>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</si>
  <si>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38% - 72%</t>
  </si>
  <si>
    <r>
      <rPr>
        <sz val="9"/>
        <color theme="1"/>
        <rFont val="Century Gothic"/>
        <charset val="134"/>
      </rPr>
      <t>Herd immunity calculated based on R</t>
    </r>
    <r>
      <rPr>
        <vertAlign val="subscript"/>
        <sz val="9"/>
        <color theme="1"/>
        <rFont val="Century Gothic"/>
        <charset val="134"/>
      </rPr>
      <t>0:</t>
    </r>
    <r>
      <rPr>
        <sz val="9"/>
        <color theme="1"/>
        <rFont val="Century Gothic"/>
        <charset val="134"/>
      </rPr>
      <t xml:space="preserve">
=1 - 1/R</t>
    </r>
    <r>
      <rPr>
        <vertAlign val="subscript"/>
        <sz val="9"/>
        <color theme="1"/>
        <rFont val="Century Gothic"/>
        <charset val="134"/>
      </rPr>
      <t>0</t>
    </r>
  </si>
  <si>
    <t>Reproduction number for SARS-CoV2</t>
  </si>
  <si>
    <t>1.6 - 3.6</t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</si>
  <si>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</si>
  <si>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Increased risk of infection for inpatient stay vs. ambulatory visit (1 day stay vs. 1 outpatient visit)</t>
  </si>
  <si>
    <t>2-6</t>
  </si>
  <si>
    <t xml:space="preserve">Higher risk of getting infected  due to a) longer stay in a potentially contagious environment, b) contacts with more health care providers, </t>
  </si>
  <si>
    <t>Infection rate within household</t>
  </si>
  <si>
    <t>Assumption that if either child or caretaker gets infected they will infect a large percentage of other household members, owing to the high secondary attack rates observed for family gatherings</t>
  </si>
  <si>
    <t>Infection fatality rate</t>
  </si>
  <si>
    <t>Children (aged &lt;20)</t>
  </si>
  <si>
    <t>Based on Ghisolfi S, Almås I,Sandefur JC, et al. Predicted
COVID-19 fatality rates basedon age, sex, comorbidities
and health system capacity.BMJ Global Health 2020;5:
e003094. doi:10.1136/bmjgh-2020-003094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</si>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</sst>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0000%"/>
    <numFmt numFmtId="169" formatCode="0.0"/>
  </numFmts>
  <fonts count="13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b/>
      <sz val="9"/>
      <color theme="0"/>
      <name val="Century Gothic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9"/>
      <color rgb="FF000000"/>
      <name val="Century Gothic"/>
      <charset val="134"/>
    </font>
    <font>
      <sz val="10"/>
      <color theme="1"/>
      <name val="Century Gothic"/>
      <charset val="134"/>
    </font>
    <font>
      <vertAlign val="subscript"/>
      <sz val="9"/>
      <color theme="1"/>
      <name val="Century Gothic"/>
      <charset val="134"/>
    </font>
    <font>
      <vertAlign val="subscript"/>
      <sz val="10.8"/>
      <color theme="1"/>
      <name val="Century Gothic"/>
      <charset val="134"/>
    </font>
    <font>
      <sz val="9"/>
      <color rgb="FF0B0080"/>
      <name val="Century Gothic"/>
      <charset val="134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</borders>
  <cellStyleXfs count="4">
    <xf numFmtId="0" fontId="0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0" fontId="8" fillId="0" borderId="0"/>
  </cellStyleXfs>
  <cellXfs count="32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vertical="center" wrapText="1"/>
    </xf>
    <xf numFmtId="9" fontId="3" fillId="3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wrapText="1"/>
    </xf>
    <xf numFmtId="9" fontId="3" fillId="3" borderId="2" xfId="1" applyFont="1" applyFill="1" applyBorder="1" applyAlignment="1">
      <alignment horizontal="center" vertical="center"/>
    </xf>
    <xf numFmtId="9" fontId="3" fillId="2" borderId="2" xfId="1" applyFont="1" applyFill="1" applyBorder="1" applyAlignment="1"/>
    <xf numFmtId="0" fontId="5" fillId="4" borderId="2" xfId="0" applyFont="1" applyFill="1" applyBorder="1">
      <alignment vertical="center"/>
    </xf>
    <xf numFmtId="0" fontId="0" fillId="4" borderId="2" xfId="0" applyFill="1" applyBorder="1" applyAlignment="1"/>
    <xf numFmtId="168" fontId="3" fillId="3" borderId="2" xfId="1" applyNumberFormat="1" applyFont="1" applyFill="1" applyBorder="1" applyAlignment="1"/>
    <xf numFmtId="168" fontId="3" fillId="2" borderId="2" xfId="1" applyNumberFormat="1" applyFont="1" applyFill="1" applyBorder="1" applyAlignment="1"/>
    <xf numFmtId="169" fontId="3" fillId="5" borderId="2" xfId="1" applyNumberFormat="1" applyFont="1" applyFill="1" applyBorder="1" applyAlignment="1"/>
    <xf numFmtId="169" fontId="3" fillId="2" borderId="2" xfId="1" applyNumberFormat="1" applyFont="1" applyFill="1" applyBorder="1" applyAlignment="1"/>
    <xf numFmtId="169" fontId="3" fillId="3" borderId="2" xfId="1" applyNumberFormat="1" applyFont="1" applyFill="1" applyBorder="1" applyAlignment="1"/>
    <xf numFmtId="0" fontId="3" fillId="2" borderId="2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3" fillId="2" borderId="2" xfId="0" quotePrefix="1" applyFont="1" applyFill="1" applyBorder="1" applyAlignment="1">
      <alignment vertical="top" wrapText="1"/>
    </xf>
    <xf numFmtId="0" fontId="6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" fillId="6" borderId="0" xfId="0" applyFont="1" applyFill="1" applyAlignment="1"/>
    <xf numFmtId="0" fontId="2" fillId="7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vertical="center" wrapText="1"/>
    </xf>
    <xf numFmtId="0" fontId="7" fillId="7" borderId="2" xfId="0" applyFont="1" applyFill="1" applyBorder="1">
      <alignment vertical="center"/>
    </xf>
  </cellXfs>
  <cellStyles count="4">
    <cellStyle name="Normal 14" xfId="2" xr:uid="{00000000-0005-0000-0000-000031000000}"/>
    <cellStyle name="Normal 2" xfId="3" xr:uid="{00000000-0005-0000-0000-000032000000}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A13" activeCellId="1" sqref="A9 A13"/>
    </sheetView>
  </sheetViews>
  <sheetFormatPr defaultColWidth="9.85546875" defaultRowHeight="15"/>
  <cols>
    <col min="1" max="1" width="42.5703125" style="1" customWidth="1"/>
    <col min="2" max="2" width="8.7109375" style="1" customWidth="1"/>
    <col min="3" max="3" width="25.28515625" style="1" customWidth="1"/>
    <col min="4" max="4" width="24.5703125" style="1" customWidth="1"/>
    <col min="5" max="16384" width="9.85546875" style="1"/>
  </cols>
  <sheetData>
    <row r="1" spans="1:4" ht="19.5">
      <c r="A1" s="27" t="s">
        <v>0</v>
      </c>
      <c r="B1" s="2"/>
      <c r="C1" s="3"/>
      <c r="D1" s="2"/>
    </row>
    <row r="2" spans="1:4">
      <c r="A2" s="28" t="s">
        <v>1</v>
      </c>
      <c r="B2" s="28" t="s">
        <v>2</v>
      </c>
      <c r="C2" s="28" t="s">
        <v>3</v>
      </c>
      <c r="D2" s="28" t="s">
        <v>4</v>
      </c>
    </row>
    <row r="3" spans="1:4" ht="42.75">
      <c r="A3" s="29" t="s">
        <v>5</v>
      </c>
      <c r="B3" s="5">
        <v>1.4999999999999999E-2</v>
      </c>
      <c r="C3" s="20" t="s">
        <v>6</v>
      </c>
      <c r="D3" s="6" t="s">
        <v>7</v>
      </c>
    </row>
    <row r="4" spans="1:4" ht="115.5">
      <c r="A4" s="29" t="s">
        <v>8</v>
      </c>
      <c r="B4" s="7">
        <v>8</v>
      </c>
      <c r="C4" s="21" t="s">
        <v>9</v>
      </c>
      <c r="D4" s="4" t="s">
        <v>10</v>
      </c>
    </row>
    <row r="5" spans="1:4" ht="42.75">
      <c r="A5" s="29" t="s">
        <v>11</v>
      </c>
      <c r="B5" s="8">
        <f>1-1/B6</f>
        <v>0.33333333333333298</v>
      </c>
      <c r="C5" s="8" t="s">
        <v>12</v>
      </c>
      <c r="D5" s="22" t="s">
        <v>13</v>
      </c>
    </row>
    <row r="6" spans="1:4" ht="85.5">
      <c r="A6" s="29" t="s">
        <v>14</v>
      </c>
      <c r="B6" s="7">
        <v>1.5</v>
      </c>
      <c r="C6" s="20" t="s">
        <v>15</v>
      </c>
      <c r="D6" s="6" t="s">
        <v>16</v>
      </c>
    </row>
    <row r="7" spans="1:4" ht="85.5">
      <c r="A7" s="30" t="s">
        <v>17</v>
      </c>
      <c r="B7" s="9">
        <v>3</v>
      </c>
      <c r="C7" s="23" t="s">
        <v>18</v>
      </c>
      <c r="D7" s="10" t="s">
        <v>19</v>
      </c>
    </row>
    <row r="8" spans="1:4" ht="114">
      <c r="A8" s="30" t="s">
        <v>20</v>
      </c>
      <c r="B8" s="11">
        <v>0.9</v>
      </c>
      <c r="C8" s="12"/>
      <c r="D8" s="4" t="s">
        <v>21</v>
      </c>
    </row>
    <row r="9" spans="1:4">
      <c r="A9" s="31" t="s">
        <v>22</v>
      </c>
      <c r="B9" s="13"/>
      <c r="C9" s="13"/>
      <c r="D9" s="14"/>
    </row>
    <row r="10" spans="1:4" ht="15.75">
      <c r="A10" s="30" t="s">
        <v>23</v>
      </c>
      <c r="B10" s="15">
        <f t="shared" ref="B10:B12" si="0">T47/100</f>
        <v>0</v>
      </c>
      <c r="C10" s="16"/>
      <c r="D10" s="24" t="s">
        <v>24</v>
      </c>
    </row>
    <row r="11" spans="1:4" ht="15.75">
      <c r="A11" s="30" t="s">
        <v>25</v>
      </c>
      <c r="B11" s="15">
        <f t="shared" si="0"/>
        <v>0</v>
      </c>
      <c r="C11" s="16"/>
      <c r="D11" s="25"/>
    </row>
    <row r="12" spans="1:4" ht="15.75">
      <c r="A12" s="30" t="s">
        <v>26</v>
      </c>
      <c r="B12" s="15">
        <f t="shared" si="0"/>
        <v>0</v>
      </c>
      <c r="C12" s="16"/>
      <c r="D12" s="26"/>
    </row>
    <row r="13" spans="1:4">
      <c r="A13" s="31" t="s">
        <v>27</v>
      </c>
      <c r="B13" s="13"/>
      <c r="C13" s="13"/>
      <c r="D13" s="14"/>
    </row>
    <row r="14" spans="1:4" ht="15.75">
      <c r="A14" s="30" t="s">
        <v>28</v>
      </c>
      <c r="B14" s="17">
        <v>6.3</v>
      </c>
      <c r="C14" s="18"/>
      <c r="D14" s="19"/>
    </row>
    <row r="15" spans="1:4" ht="15.75">
      <c r="A15" s="30" t="s">
        <v>23</v>
      </c>
      <c r="B15" s="17">
        <v>3.2</v>
      </c>
      <c r="C15" s="18"/>
      <c r="D15" s="19"/>
    </row>
    <row r="16" spans="1:4" ht="15.75">
      <c r="A16" s="30" t="s">
        <v>25</v>
      </c>
      <c r="B16" s="17">
        <v>2.8</v>
      </c>
      <c r="C16" s="18"/>
      <c r="D16" s="19"/>
    </row>
    <row r="17" spans="1:4" ht="15.75">
      <c r="A17" s="30" t="s">
        <v>26</v>
      </c>
      <c r="B17" s="17">
        <v>0.3</v>
      </c>
      <c r="C17" s="18"/>
      <c r="D17" s="19"/>
    </row>
  </sheetData>
  <mergeCells count="1">
    <mergeCell ref="D10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2024-11-19T07:27:00Z</dcterms:created>
  <dcterms:modified xsi:type="dcterms:W3CDTF">2025-12-10T05:59:10Z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D1E670DFB2734473A417F3DBFE95567C_11</vt:lpwstr>
  </property>
  <property fmtid="{D5CDD505-2E9C-101B-9397-08002B2CF9AE}" pid="3" name="KSOProductBuildVer">
    <vt:lpwstr>2052-12.1.0.19302</vt:lpwstr>
  </property>
</Properties>
</file>