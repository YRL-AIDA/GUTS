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G4" i="1"/>
  <c r="E4" i="1"/>
  <c r="E3" i="1"/>
  <c r="C3" i="1"/>
  <c r="B3" i="1"/>
</calcChain>
</file>

<file path=xl/sharedStrings.xml><?xml version="1.0" encoding="utf-8"?>
<sst xmlns="http://schemas.openxmlformats.org/spreadsheetml/2006/main" count="92" uniqueCount="46">
  <si>
    <t>Customer Invoice Report</t>
  </si>
  <si>
    <t>Room Seasons Ltd.</t>
  </si>
  <si>
    <t>to</t>
  </si>
  <si>
    <t>TOTAL</t>
  </si>
  <si>
    <t>Reference</t>
  </si>
  <si>
    <t>To</t>
  </si>
  <si>
    <t>Invoice Number</t>
  </si>
  <si>
    <t>Date</t>
  </si>
  <si>
    <t>Invoice Total</t>
  </si>
  <si>
    <t>Day</t>
  </si>
  <si>
    <t>Commissionable</t>
  </si>
  <si>
    <t>Commission Amount</t>
  </si>
  <si>
    <t>Holiday Inn Docklands</t>
  </si>
  <si>
    <t>'201509211758303583306'</t>
  </si>
  <si>
    <t>2015-09-21</t>
  </si>
  <si>
    <t>Monday</t>
  </si>
  <si>
    <t>'201509221822548423327'</t>
  </si>
  <si>
    <t>2015-09-22</t>
  </si>
  <si>
    <t>Tuesday</t>
  </si>
  <si>
    <t>'201509221906146623368'</t>
  </si>
  <si>
    <t>'201509221944242803329'</t>
  </si>
  <si>
    <t>'201509221950206853330'</t>
  </si>
  <si>
    <t>'201509222250044193333'</t>
  </si>
  <si>
    <t>'201509231853127663337'</t>
  </si>
  <si>
    <t>2015-09-23</t>
  </si>
  <si>
    <t>Wednesday</t>
  </si>
  <si>
    <t>'201509231857374753338'</t>
  </si>
  <si>
    <t>'201509231904498113339'</t>
  </si>
  <si>
    <t>'201509232032417663342'</t>
  </si>
  <si>
    <t>'201509232329109193350'</t>
  </si>
  <si>
    <t>'201509241712455623378'</t>
  </si>
  <si>
    <t>2015-09-24</t>
  </si>
  <si>
    <t>Thursday</t>
  </si>
  <si>
    <t>'201509242024582003385'</t>
  </si>
  <si>
    <t>'201509242151384513390'</t>
  </si>
  <si>
    <t>'201509252044517943407'</t>
  </si>
  <si>
    <t>2015-09-25</t>
  </si>
  <si>
    <t>Friday</t>
  </si>
  <si>
    <t>'201509252049563523408'</t>
  </si>
  <si>
    <t>'201509261916222443456'</t>
  </si>
  <si>
    <t>2015-09-26</t>
  </si>
  <si>
    <t>Saturday</t>
  </si>
  <si>
    <t>'201509262246148573462'</t>
  </si>
  <si>
    <t>'20150928195121263486'</t>
  </si>
  <si>
    <t>2015-09-28</t>
  </si>
  <si>
    <t>'201509282351431953491'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</si>
</sst>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dd/mm/yy;@"/>
    <numFmt numFmtId="167" formatCode="[$£-809]#,##0.00;&quot;-&quot;[$£-809]#,##0.00"/>
    <numFmt numFmtId="168" formatCode="&quot; &quot;* #,##0&quot; &quot;;&quot;-&quot;* #,##0&quot; &quot;;&quot; &quot;* &quot;-&quot;??&quot; &quot;"/>
    <numFmt numFmtId="169" formatCode="_-&quot;£&quot;* #,##0.00_-;\-&quot;£&quot;* #,##0.00_-;_-&quot;£&quot;* &quot;-&quot;??_-;_-@_-"/>
    <numFmt numFmtId="170" formatCode="_-* #,##0.00\ _€_-;\-* #,##0.00\ _€_-;_-* &quot;-&quot;??\ _€_-;_-@_-"/>
  </numFmts>
  <fonts count="7">
    <font>
      <sz val="11"/>
      <color theme="1"/>
      <name val="Calibri"/>
      <charset val="134"/>
      <scheme val="minor"/>
    </font>
    <font>
      <b/>
      <sz val="12"/>
      <color indexed="8"/>
      <name val="Arial"/>
      <charset val="134"/>
    </font>
    <font>
      <b/>
      <sz val="10"/>
      <color indexed="8"/>
      <name val="Arial"/>
      <charset val="134"/>
    </font>
    <font>
      <sz val="12"/>
      <color indexed="8"/>
      <name val="Verdana"/>
      <charset val="134"/>
    </font>
    <font>
      <sz val="11"/>
      <color theme="1"/>
      <name val="Calibri"/>
      <charset val="134"/>
      <scheme val="minor"/>
    </font>
    <font>
      <b/>
      <sz val="9"/>
      <color indexed="8"/>
      <name val="Arial"/>
      <charset val="134"/>
    </font>
    <font>
      <sz val="9"/>
      <color indexed="8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Protection="0">
      <alignment vertical="top" wrapText="1"/>
    </xf>
  </cellStyleXfs>
  <cellXfs count="27">
    <xf numFmtId="0" fontId="0" fillId="0" borderId="0" xfId="0">
      <alignment vertical="center"/>
    </xf>
    <xf numFmtId="0" fontId="2" fillId="0" borderId="2" xfId="3" applyNumberFormat="1" applyFont="1" applyBorder="1" applyAlignment="1">
      <alignment horizontal="right" vertical="center"/>
    </xf>
    <xf numFmtId="0" fontId="3" fillId="0" borderId="3" xfId="3" applyFont="1" applyBorder="1" applyAlignment="1">
      <alignment vertical="top" wrapText="1"/>
    </xf>
    <xf numFmtId="0" fontId="3" fillId="0" borderId="4" xfId="3" applyFont="1" applyBorder="1" applyAlignment="1">
      <alignment vertical="top" wrapText="1"/>
    </xf>
    <xf numFmtId="0" fontId="4" fillId="0" borderId="6" xfId="0" applyFont="1" applyFill="1" applyBorder="1" applyAlignment="1"/>
    <xf numFmtId="0" fontId="4" fillId="0" borderId="6" xfId="0" applyFont="1" applyFill="1" applyBorder="1" applyAlignment="1">
      <alignment horizontal="left"/>
    </xf>
    <xf numFmtId="166" fontId="4" fillId="0" borderId="6" xfId="0" applyNumberFormat="1" applyFont="1" applyFill="1" applyBorder="1" applyAlignment="1"/>
    <xf numFmtId="0" fontId="2" fillId="0" borderId="8" xfId="3" applyNumberFormat="1" applyFont="1" applyBorder="1" applyAlignment="1">
      <alignment vertical="center"/>
    </xf>
    <xf numFmtId="0" fontId="2" fillId="0" borderId="9" xfId="3" applyNumberFormat="1" applyFont="1" applyBorder="1" applyAlignment="1">
      <alignment vertical="center"/>
    </xf>
    <xf numFmtId="169" fontId="4" fillId="0" borderId="6" xfId="2" applyNumberFormat="1" applyFont="1" applyBorder="1" applyAlignment="1"/>
    <xf numFmtId="170" fontId="4" fillId="0" borderId="6" xfId="1" applyNumberFormat="1" applyFont="1" applyBorder="1" applyAlignment="1">
      <alignment horizontal="center"/>
    </xf>
    <xf numFmtId="168" fontId="6" fillId="0" borderId="6" xfId="3" applyNumberFormat="1" applyFont="1" applyBorder="1" applyAlignment="1">
      <alignment vertical="center"/>
    </xf>
    <xf numFmtId="167" fontId="6" fillId="0" borderId="6" xfId="3" applyNumberFormat="1" applyFont="1" applyBorder="1" applyAlignment="1">
      <alignment vertical="center"/>
    </xf>
    <xf numFmtId="0" fontId="2" fillId="3" borderId="6" xfId="3" applyNumberFormat="1" applyFont="1" applyFill="1" applyBorder="1" applyAlignment="1">
      <alignment vertical="center"/>
    </xf>
    <xf numFmtId="0" fontId="2" fillId="3" borderId="6" xfId="3" applyNumberFormat="1" applyFont="1" applyFill="1" applyBorder="1" applyAlignment="1">
      <alignment horizontal="center" vertical="center"/>
    </xf>
    <xf numFmtId="0" fontId="1" fillId="2" borderId="1" xfId="3" applyNumberFormat="1" applyFont="1" applyFill="1" applyBorder="1" applyAlignment="1">
      <alignment horizontal="center" vertical="center"/>
    </xf>
    <xf numFmtId="0" fontId="1" fillId="2" borderId="7" xfId="3" applyNumberFormat="1" applyFont="1" applyFill="1" applyBorder="1" applyAlignment="1">
      <alignment horizontal="center" vertical="center"/>
    </xf>
    <xf numFmtId="0" fontId="2" fillId="3" borderId="1" xfId="3" applyNumberFormat="1" applyFont="1" applyFill="1" applyBorder="1" applyAlignment="1">
      <alignment horizontal="center" vertical="center"/>
    </xf>
    <xf numFmtId="0" fontId="2" fillId="3" borderId="7" xfId="3" applyNumberFormat="1" applyFont="1" applyFill="1" applyBorder="1" applyAlignment="1">
      <alignment horizontal="center" vertical="center"/>
    </xf>
    <xf numFmtId="166" fontId="2" fillId="0" borderId="2" xfId="3" applyNumberFormat="1" applyFont="1" applyFill="1" applyBorder="1" applyAlignment="1">
      <alignment vertical="center"/>
    </xf>
    <xf numFmtId="0" fontId="2" fillId="0" borderId="8" xfId="3" applyNumberFormat="1" applyFont="1" applyFill="1" applyBorder="1" applyAlignment="1">
      <alignment vertical="center"/>
    </xf>
    <xf numFmtId="0" fontId="2" fillId="4" borderId="2" xfId="3" applyNumberFormat="1" applyFont="1" applyFill="1" applyBorder="1" applyAlignment="1">
      <alignment horizontal="center" vertical="center"/>
    </xf>
    <xf numFmtId="0" fontId="2" fillId="4" borderId="2" xfId="3" applyNumberFormat="1" applyFont="1" applyFill="1" applyBorder="1" applyAlignment="1">
      <alignment horizontal="right" vertical="center"/>
    </xf>
    <xf numFmtId="0" fontId="2" fillId="4" borderId="5" xfId="3" applyNumberFormat="1" applyFont="1" applyFill="1" applyBorder="1" applyAlignment="1">
      <alignment vertical="center"/>
    </xf>
    <xf numFmtId="167" fontId="5" fillId="0" borderId="5" xfId="3" applyNumberFormat="1" applyFont="1" applyFill="1" applyBorder="1" applyAlignment="1">
      <alignment vertical="center"/>
    </xf>
    <xf numFmtId="0" fontId="2" fillId="0" borderId="5" xfId="3" applyNumberFormat="1" applyFont="1" applyFill="1" applyBorder="1" applyAlignment="1">
      <alignment horizontal="center" vertical="center"/>
    </xf>
    <xf numFmtId="168" fontId="5" fillId="0" borderId="5" xfId="3" applyNumberFormat="1" applyFont="1" applyFill="1" applyBorder="1" applyAlignment="1">
      <alignment vertical="center"/>
    </xf>
  </cellXfs>
  <cellStyles count="4">
    <cellStyle name="Normal 2" xfId="3"/>
    <cellStyle name="Денежный" xfId="2" builtinId="4"/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C9" sqref="C9"/>
    </sheetView>
  </sheetViews>
  <sheetFormatPr defaultColWidth="9.26953125" defaultRowHeight="14.5"/>
  <cols>
    <col min="1" max="1" width="30.6328125" customWidth="1"/>
    <col min="3" max="3" width="25.1796875" customWidth="1"/>
    <col min="4" max="4" width="15.08984375" customWidth="1"/>
    <col min="5" max="5" width="19.90625" customWidth="1"/>
    <col min="6" max="6" width="14.90625" customWidth="1"/>
    <col min="7" max="7" width="21" customWidth="1"/>
    <col min="8" max="8" width="21.6328125" customWidth="1"/>
  </cols>
  <sheetData>
    <row r="1" spans="1:8" ht="15.5">
      <c r="A1" s="15" t="s">
        <v>0</v>
      </c>
      <c r="B1" s="15"/>
      <c r="C1" s="15"/>
      <c r="D1" s="15"/>
      <c r="E1" s="15"/>
      <c r="F1" s="15"/>
      <c r="G1" s="15"/>
      <c r="H1" s="16"/>
    </row>
    <row r="2" spans="1:8">
      <c r="A2" s="17" t="s">
        <v>1</v>
      </c>
      <c r="B2" s="17"/>
      <c r="C2" s="17"/>
      <c r="D2" s="17"/>
      <c r="E2" s="17"/>
      <c r="F2" s="17"/>
      <c r="G2" s="17"/>
      <c r="H2" s="18"/>
    </row>
    <row r="3" spans="1:8">
      <c r="A3" s="1"/>
      <c r="B3" s="22" t="str">
        <f>"From"</f>
        <v>From</v>
      </c>
      <c r="C3" s="19" t="str">
        <f>$D$6</f>
        <v>2015-09-21</v>
      </c>
      <c r="D3" s="21" t="s">
        <v>2</v>
      </c>
      <c r="E3" s="20" t="str">
        <f>VLOOKUP(CHAR(255),D:D,1)</f>
        <v>2015-09-28</v>
      </c>
      <c r="F3" s="7"/>
      <c r="G3" s="7"/>
      <c r="H3" s="8"/>
    </row>
    <row r="4" spans="1:8" ht="15">
      <c r="A4" s="2"/>
      <c r="B4" s="2"/>
      <c r="C4" s="3"/>
      <c r="D4" s="23" t="s">
        <v>3</v>
      </c>
      <c r="E4" s="24">
        <f>SUM($E$6:$E$500)</f>
        <v>411.5</v>
      </c>
      <c r="F4" s="25"/>
      <c r="G4" s="26">
        <f>SUM($G$6:$G$500)</f>
        <v>20</v>
      </c>
      <c r="H4" s="24">
        <f>SUM($H$6:$H$500)</f>
        <v>20.574999999999999</v>
      </c>
    </row>
    <row r="5" spans="1:8">
      <c r="A5" s="13" t="s">
        <v>4</v>
      </c>
      <c r="B5" s="14" t="s">
        <v>5</v>
      </c>
      <c r="C5" s="14" t="s">
        <v>6</v>
      </c>
      <c r="D5" s="14" t="s">
        <v>7</v>
      </c>
      <c r="E5" s="14" t="s">
        <v>8</v>
      </c>
      <c r="F5" s="14" t="s">
        <v>9</v>
      </c>
      <c r="G5" s="14" t="s">
        <v>10</v>
      </c>
      <c r="H5" s="14" t="s">
        <v>11</v>
      </c>
    </row>
    <row r="6" spans="1:8">
      <c r="A6" s="4" t="s">
        <v>12</v>
      </c>
      <c r="B6" s="5">
        <v>417</v>
      </c>
      <c r="C6" s="4" t="s">
        <v>13</v>
      </c>
      <c r="D6" s="6" t="s">
        <v>14</v>
      </c>
      <c r="E6" s="9">
        <v>21</v>
      </c>
      <c r="F6" s="10" t="s">
        <v>15</v>
      </c>
      <c r="G6" s="11">
        <v>1</v>
      </c>
      <c r="H6" s="12">
        <v>1.05</v>
      </c>
    </row>
    <row r="7" spans="1:8">
      <c r="A7" s="4" t="s">
        <v>12</v>
      </c>
      <c r="B7" s="5">
        <v>408</v>
      </c>
      <c r="C7" s="4" t="s">
        <v>16</v>
      </c>
      <c r="D7" s="6" t="s">
        <v>17</v>
      </c>
      <c r="E7" s="9">
        <v>19</v>
      </c>
      <c r="F7" s="10" t="s">
        <v>18</v>
      </c>
      <c r="G7" s="11">
        <v>1</v>
      </c>
      <c r="H7" s="12">
        <v>0.95</v>
      </c>
    </row>
    <row r="8" spans="1:8">
      <c r="A8" s="4" t="s">
        <v>12</v>
      </c>
      <c r="B8" s="5">
        <v>307</v>
      </c>
      <c r="C8" s="4" t="s">
        <v>19</v>
      </c>
      <c r="D8" s="6" t="s">
        <v>17</v>
      </c>
      <c r="E8" s="9">
        <v>16</v>
      </c>
      <c r="F8" s="10" t="s">
        <v>18</v>
      </c>
      <c r="G8" s="11">
        <v>1</v>
      </c>
      <c r="H8" s="12">
        <v>0.8</v>
      </c>
    </row>
    <row r="9" spans="1:8">
      <c r="A9" s="4" t="s">
        <v>12</v>
      </c>
      <c r="B9" s="5">
        <v>401</v>
      </c>
      <c r="C9" s="4" t="s">
        <v>20</v>
      </c>
      <c r="D9" s="6" t="s">
        <v>17</v>
      </c>
      <c r="E9" s="9">
        <v>19</v>
      </c>
      <c r="F9" s="10" t="s">
        <v>18</v>
      </c>
      <c r="G9" s="11">
        <v>1</v>
      </c>
      <c r="H9" s="12">
        <v>0.95</v>
      </c>
    </row>
    <row r="10" spans="1:8">
      <c r="A10" s="4" t="s">
        <v>12</v>
      </c>
      <c r="B10" s="5">
        <v>229</v>
      </c>
      <c r="C10" s="4" t="s">
        <v>21</v>
      </c>
      <c r="D10" s="6" t="s">
        <v>17</v>
      </c>
      <c r="E10" s="9">
        <v>19</v>
      </c>
      <c r="F10" s="10" t="s">
        <v>18</v>
      </c>
      <c r="G10" s="11">
        <v>1</v>
      </c>
      <c r="H10" s="12">
        <v>0.95</v>
      </c>
    </row>
    <row r="11" spans="1:8">
      <c r="A11" s="4" t="s">
        <v>12</v>
      </c>
      <c r="B11" s="5">
        <v>402</v>
      </c>
      <c r="C11" s="4" t="s">
        <v>22</v>
      </c>
      <c r="D11" s="6" t="s">
        <v>17</v>
      </c>
      <c r="E11" s="9">
        <v>24</v>
      </c>
      <c r="F11" s="10" t="s">
        <v>18</v>
      </c>
      <c r="G11" s="11">
        <v>1</v>
      </c>
      <c r="H11" s="12">
        <v>1.2</v>
      </c>
    </row>
    <row r="12" spans="1:8">
      <c r="A12" s="4" t="s">
        <v>12</v>
      </c>
      <c r="B12" s="5">
        <v>431</v>
      </c>
      <c r="C12" s="4" t="s">
        <v>23</v>
      </c>
      <c r="D12" s="6" t="s">
        <v>24</v>
      </c>
      <c r="E12" s="9">
        <v>22</v>
      </c>
      <c r="F12" s="10" t="s">
        <v>25</v>
      </c>
      <c r="G12" s="11">
        <v>1</v>
      </c>
      <c r="H12" s="12">
        <v>1.1000000000000001</v>
      </c>
    </row>
    <row r="13" spans="1:8">
      <c r="A13" s="4" t="s">
        <v>12</v>
      </c>
      <c r="B13" s="5">
        <v>234</v>
      </c>
      <c r="C13" s="4" t="s">
        <v>26</v>
      </c>
      <c r="D13" s="6" t="s">
        <v>24</v>
      </c>
      <c r="E13" s="9">
        <v>13</v>
      </c>
      <c r="F13" s="10" t="s">
        <v>25</v>
      </c>
      <c r="G13" s="11">
        <v>1</v>
      </c>
      <c r="H13" s="12">
        <v>0.65</v>
      </c>
    </row>
    <row r="14" spans="1:8">
      <c r="A14" s="4" t="s">
        <v>12</v>
      </c>
      <c r="B14" s="5">
        <v>233</v>
      </c>
      <c r="C14" s="4" t="s">
        <v>27</v>
      </c>
      <c r="D14" s="6" t="s">
        <v>24</v>
      </c>
      <c r="E14" s="9">
        <v>23</v>
      </c>
      <c r="F14" s="10" t="s">
        <v>25</v>
      </c>
      <c r="G14" s="11">
        <v>1</v>
      </c>
      <c r="H14" s="12">
        <v>1.1499999999999999</v>
      </c>
    </row>
    <row r="15" spans="1:8">
      <c r="A15" s="4" t="s">
        <v>12</v>
      </c>
      <c r="B15" s="5">
        <v>332</v>
      </c>
      <c r="C15" s="4" t="s">
        <v>28</v>
      </c>
      <c r="D15" s="6" t="s">
        <v>24</v>
      </c>
      <c r="E15" s="9">
        <v>20</v>
      </c>
      <c r="F15" s="10" t="s">
        <v>25</v>
      </c>
      <c r="G15" s="11">
        <v>1</v>
      </c>
      <c r="H15" s="12">
        <v>1</v>
      </c>
    </row>
    <row r="16" spans="1:8">
      <c r="A16" s="4" t="s">
        <v>12</v>
      </c>
      <c r="B16" s="5">
        <v>208</v>
      </c>
      <c r="C16" s="4" t="s">
        <v>29</v>
      </c>
      <c r="D16" s="6" t="s">
        <v>24</v>
      </c>
      <c r="E16" s="9">
        <v>19</v>
      </c>
      <c r="F16" s="10" t="s">
        <v>25</v>
      </c>
      <c r="G16" s="11">
        <v>1</v>
      </c>
      <c r="H16" s="12">
        <v>0.95</v>
      </c>
    </row>
    <row r="17" spans="1:8">
      <c r="A17" s="4" t="s">
        <v>12</v>
      </c>
      <c r="B17" s="5">
        <v>228</v>
      </c>
      <c r="C17" s="4" t="s">
        <v>30</v>
      </c>
      <c r="D17" s="6" t="s">
        <v>31</v>
      </c>
      <c r="E17" s="9">
        <v>30.5</v>
      </c>
      <c r="F17" s="10" t="s">
        <v>32</v>
      </c>
      <c r="G17" s="11">
        <v>1</v>
      </c>
      <c r="H17" s="12">
        <v>1.5249999999999999</v>
      </c>
    </row>
    <row r="18" spans="1:8">
      <c r="A18" s="4" t="s">
        <v>12</v>
      </c>
      <c r="B18" s="5">
        <v>328</v>
      </c>
      <c r="C18" s="4" t="s">
        <v>33</v>
      </c>
      <c r="D18" s="6" t="s">
        <v>31</v>
      </c>
      <c r="E18" s="9">
        <v>18</v>
      </c>
      <c r="F18" s="10" t="s">
        <v>32</v>
      </c>
      <c r="G18" s="11">
        <v>1</v>
      </c>
      <c r="H18" s="12">
        <v>0.9</v>
      </c>
    </row>
    <row r="19" spans="1:8">
      <c r="A19" s="4" t="s">
        <v>12</v>
      </c>
      <c r="B19" s="5">
        <v>332</v>
      </c>
      <c r="C19" s="4" t="s">
        <v>34</v>
      </c>
      <c r="D19" s="6" t="s">
        <v>31</v>
      </c>
      <c r="E19" s="9">
        <v>14.5</v>
      </c>
      <c r="F19" s="10" t="s">
        <v>32</v>
      </c>
      <c r="G19" s="11">
        <v>1</v>
      </c>
      <c r="H19" s="12">
        <v>0.72499999999999998</v>
      </c>
    </row>
    <row r="20" spans="1:8">
      <c r="A20" s="4" t="s">
        <v>12</v>
      </c>
      <c r="B20" s="5">
        <v>312</v>
      </c>
      <c r="C20" s="4" t="s">
        <v>35</v>
      </c>
      <c r="D20" s="6" t="s">
        <v>36</v>
      </c>
      <c r="E20" s="9">
        <v>26</v>
      </c>
      <c r="F20" s="10" t="s">
        <v>37</v>
      </c>
      <c r="G20" s="11">
        <v>1</v>
      </c>
      <c r="H20" s="12">
        <v>1.3</v>
      </c>
    </row>
    <row r="21" spans="1:8">
      <c r="A21" s="4" t="s">
        <v>12</v>
      </c>
      <c r="B21" s="5">
        <v>216</v>
      </c>
      <c r="C21" s="4" t="s">
        <v>38</v>
      </c>
      <c r="D21" s="6" t="s">
        <v>36</v>
      </c>
      <c r="E21" s="9">
        <v>22</v>
      </c>
      <c r="F21" s="10" t="s">
        <v>37</v>
      </c>
      <c r="G21" s="11">
        <v>1</v>
      </c>
      <c r="H21" s="12">
        <v>1.1000000000000001</v>
      </c>
    </row>
    <row r="22" spans="1:8">
      <c r="A22" s="4" t="s">
        <v>12</v>
      </c>
      <c r="B22" s="5">
        <v>127</v>
      </c>
      <c r="C22" s="4" t="s">
        <v>39</v>
      </c>
      <c r="D22" s="6" t="s">
        <v>40</v>
      </c>
      <c r="E22" s="9">
        <v>21</v>
      </c>
      <c r="F22" s="10" t="s">
        <v>41</v>
      </c>
      <c r="G22" s="11">
        <v>1</v>
      </c>
      <c r="H22" s="12">
        <v>1.05</v>
      </c>
    </row>
    <row r="23" spans="1:8">
      <c r="A23" s="4" t="s">
        <v>12</v>
      </c>
      <c r="B23" s="5">
        <v>115</v>
      </c>
      <c r="C23" s="4" t="s">
        <v>42</v>
      </c>
      <c r="D23" s="6" t="s">
        <v>40</v>
      </c>
      <c r="E23" s="9">
        <v>15</v>
      </c>
      <c r="F23" s="10" t="s">
        <v>41</v>
      </c>
      <c r="G23" s="11">
        <v>1</v>
      </c>
      <c r="H23" s="12">
        <v>0.75</v>
      </c>
    </row>
    <row r="24" spans="1:8">
      <c r="A24" s="4" t="s">
        <v>12</v>
      </c>
      <c r="B24" s="5">
        <v>317</v>
      </c>
      <c r="C24" s="4" t="s">
        <v>43</v>
      </c>
      <c r="D24" s="6" t="s">
        <v>44</v>
      </c>
      <c r="E24" s="9">
        <v>23</v>
      </c>
      <c r="F24" s="10" t="s">
        <v>15</v>
      </c>
      <c r="G24" s="11">
        <v>1</v>
      </c>
      <c r="H24" s="12">
        <v>1.1499999999999999</v>
      </c>
    </row>
    <row r="25" spans="1:8">
      <c r="A25" s="4" t="s">
        <v>12</v>
      </c>
      <c r="B25" s="5">
        <v>101</v>
      </c>
      <c r="C25" s="4" t="s">
        <v>45</v>
      </c>
      <c r="D25" s="6" t="s">
        <v>44</v>
      </c>
      <c r="E25" s="9">
        <v>26.5</v>
      </c>
      <c r="F25" s="10" t="s">
        <v>15</v>
      </c>
      <c r="G25" s="11">
        <v>1</v>
      </c>
      <c r="H25" s="12">
        <v>1.325</v>
      </c>
    </row>
  </sheetData>
  <mergeCells count="2">
    <mergeCell ref="A1:H1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2025-01-13T18:41:29Z</dcterms:created>
  <dcterms:modified xsi:type="dcterms:W3CDTF">2026-05-07T02:00:26Z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5C8404D66CE46598D9ED84675EC3020E_41</vt:lpwstr>
  </property>
  <property fmtid="{D5CDD505-2E9C-101B-9397-08002B2CF9AE}" pid="3" name="KSOProductBuildVer">
    <vt:lpwstr>2052-6.8.2.8850</vt:lpwstr>
  </property>
</Properties>
</file>