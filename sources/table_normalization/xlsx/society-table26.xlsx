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Fatality_Rate_Adult">'[1]Detailed COVID Calculations - 1'!$C$52</definedName>
    <definedName name="Fatality_Rate_Child">'[1]Detailed COVID Calculations - 1'!$C$51</definedName>
    <definedName name="Fatality_Rate_Over_60">'[1]Detailed COVID Calculations - 1'!$C$53</definedName>
    <definedName name="HH_Adults">'[1]Detailed COVID Calculations - 1'!$C$58</definedName>
    <definedName name="HH_Children">'[1]Detailed COVID Calculations - 1'!$C$57</definedName>
    <definedName name="HH_Over_60">'[1]Detailed COVID Calculations - 1'!$C$59</definedName>
    <definedName name="HH_Size">'[1]Detailed COVID Calculations - 1'!$C$56</definedName>
    <definedName name="Infection_Rate_within_HH">'[1]Detailed COVID Calculations - 1'!$C$48</definedName>
    <definedName name="Package_or_Individual2">'[1]2a. Coverage General Recovery'!$E$3</definedName>
    <definedName name="Percent_Prevalence_at_Beginning_of_Projection_Period">'[1]Detailed COVID Calculations - 1'!$C$7</definedName>
    <definedName name="Percent_Prevalence_at_End_of_Projection_Period">'[1]Detailed COVID Calculations - 1'!$C$9</definedName>
    <definedName name="Reduction_in_Risk_PPE">'[1]Detailed COVID Calculations - 1'!$C$23</definedName>
    <definedName name="Reduction_in_Risk_TS">'[1]Detailed COVID Calculations - 1'!$C$24</definedName>
    <definedName name="Risk_of_Community_Member_being_Infected">'[1]Detailed COVID Calculations - 1'!$C$17</definedName>
    <definedName name="Risk_of_Provider_Being_Infected">'[1]Detailed COVID Calculations - 1'!$C$18</definedName>
    <definedName name="Transmission_Risk_Contact_Health_Care_Provider">'[1]Detailed COVID Calculations - 1'!$C$20</definedName>
    <definedName name="Transmission_Risk_Hospital_Stay">'[1]Detailed COVID Calculations - 1'!$C$21</definedName>
    <definedName name="Transmission_Risk_in_Community">'[1]Detailed COVID Calculations - 1'!$C$19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  <c r="G88" i="1"/>
  <c r="F88" i="1"/>
  <c r="A88" i="1"/>
  <c r="I87" i="1"/>
  <c r="Z87" i="1" s="1"/>
  <c r="AA87" i="1" s="1"/>
  <c r="G87" i="1"/>
  <c r="F87" i="1"/>
  <c r="A87" i="1"/>
  <c r="I86" i="1"/>
  <c r="Z86" i="1" s="1"/>
  <c r="AA86" i="1" s="1"/>
  <c r="G86" i="1"/>
  <c r="F86" i="1"/>
  <c r="A86" i="1"/>
  <c r="I85" i="1"/>
  <c r="Z85" i="1" s="1"/>
  <c r="AA85" i="1" s="1"/>
  <c r="H85" i="1"/>
  <c r="G85" i="1"/>
  <c r="F85" i="1"/>
  <c r="A85" i="1"/>
  <c r="I84" i="1"/>
  <c r="Z84" i="1" s="1"/>
  <c r="AA84" i="1" s="1"/>
  <c r="G84" i="1"/>
  <c r="F84" i="1"/>
  <c r="A84" i="1"/>
  <c r="I83" i="1"/>
  <c r="Z83" i="1" s="1"/>
  <c r="AA83" i="1" s="1"/>
  <c r="H83" i="1"/>
  <c r="G83" i="1"/>
  <c r="F83" i="1"/>
  <c r="AC83" i="1" s="1"/>
  <c r="A83" i="1"/>
  <c r="I82" i="1"/>
  <c r="Z82" i="1" s="1"/>
  <c r="AA82" i="1" s="1"/>
  <c r="H82" i="1"/>
  <c r="G82" i="1"/>
  <c r="F82" i="1"/>
  <c r="AC82" i="1" s="1"/>
  <c r="A82" i="1"/>
  <c r="I81" i="1"/>
  <c r="Z81" i="1" s="1"/>
  <c r="AA81" i="1" s="1"/>
  <c r="H81" i="1"/>
  <c r="G81" i="1"/>
  <c r="F81" i="1"/>
  <c r="AC81" i="1" s="1"/>
  <c r="A81" i="1"/>
  <c r="I80" i="1"/>
  <c r="Z80" i="1" s="1"/>
  <c r="AA80" i="1" s="1"/>
  <c r="H80" i="1"/>
  <c r="G80" i="1"/>
  <c r="F80" i="1"/>
  <c r="A80" i="1"/>
  <c r="Z79" i="1"/>
  <c r="AA79" i="1" s="1"/>
  <c r="I79" i="1"/>
  <c r="G79" i="1"/>
  <c r="H79" i="1" s="1"/>
  <c r="F79" i="1"/>
  <c r="A79" i="1"/>
  <c r="AA78" i="1"/>
  <c r="AB78" i="1" s="1"/>
  <c r="Z78" i="1"/>
  <c r="I78" i="1"/>
  <c r="H78" i="1"/>
  <c r="G78" i="1"/>
  <c r="F78" i="1"/>
  <c r="AC78" i="1" s="1"/>
  <c r="A78" i="1"/>
  <c r="Z77" i="1"/>
  <c r="AA77" i="1" s="1"/>
  <c r="AB77" i="1" s="1"/>
  <c r="I77" i="1"/>
  <c r="H77" i="1"/>
  <c r="G77" i="1"/>
  <c r="F77" i="1"/>
  <c r="A77" i="1"/>
  <c r="Z76" i="1"/>
  <c r="AA76" i="1" s="1"/>
  <c r="I76" i="1"/>
  <c r="G76" i="1"/>
  <c r="H76" i="1" s="1"/>
  <c r="F76" i="1"/>
  <c r="A76" i="1"/>
  <c r="AA75" i="1"/>
  <c r="AB75" i="1" s="1"/>
  <c r="I75" i="1"/>
  <c r="G75" i="1"/>
  <c r="Z75" i="1" s="1"/>
  <c r="F75" i="1"/>
  <c r="A75" i="1"/>
  <c r="AB74" i="1"/>
  <c r="I74" i="1"/>
  <c r="G74" i="1"/>
  <c r="Z74" i="1" s="1"/>
  <c r="AA74" i="1" s="1"/>
  <c r="AC74" i="1" s="1"/>
  <c r="F74" i="1"/>
  <c r="A74" i="1"/>
  <c r="AC73" i="1"/>
  <c r="I73" i="1"/>
  <c r="Z73" i="1" s="1"/>
  <c r="AA73" i="1" s="1"/>
  <c r="H73" i="1"/>
  <c r="G73" i="1"/>
  <c r="F73" i="1"/>
  <c r="A73" i="1"/>
  <c r="I72" i="1"/>
  <c r="Z72" i="1" s="1"/>
  <c r="AA72" i="1" s="1"/>
  <c r="G72" i="1"/>
  <c r="F72" i="1"/>
  <c r="A72" i="1"/>
  <c r="I71" i="1"/>
  <c r="Z71" i="1" s="1"/>
  <c r="AA71" i="1" s="1"/>
  <c r="G71" i="1"/>
  <c r="F71" i="1"/>
  <c r="A71" i="1"/>
  <c r="I70" i="1"/>
  <c r="Z70" i="1" s="1"/>
  <c r="AA70" i="1" s="1"/>
  <c r="H70" i="1"/>
  <c r="G70" i="1"/>
  <c r="F70" i="1"/>
  <c r="A70" i="1"/>
  <c r="I68" i="1"/>
  <c r="Z68" i="1" s="1"/>
  <c r="AA68" i="1" s="1"/>
  <c r="G68" i="1"/>
  <c r="H68" i="1" s="1"/>
  <c r="F68" i="1"/>
  <c r="A68" i="1"/>
  <c r="I67" i="1"/>
  <c r="Z67" i="1" s="1"/>
  <c r="AA67" i="1" s="1"/>
  <c r="H67" i="1"/>
  <c r="G67" i="1"/>
  <c r="F67" i="1"/>
  <c r="A67" i="1"/>
  <c r="I66" i="1"/>
  <c r="G66" i="1"/>
  <c r="F66" i="1"/>
  <c r="A66" i="1"/>
  <c r="AA65" i="1"/>
  <c r="AB65" i="1" s="1"/>
  <c r="Z65" i="1"/>
  <c r="I65" i="1"/>
  <c r="H65" i="1"/>
  <c r="G65" i="1"/>
  <c r="F65" i="1"/>
  <c r="AC65" i="1" s="1"/>
  <c r="A65" i="1"/>
  <c r="Z64" i="1"/>
  <c r="AA64" i="1" s="1"/>
  <c r="AB64" i="1" s="1"/>
  <c r="I64" i="1"/>
  <c r="H64" i="1"/>
  <c r="G64" i="1"/>
  <c r="F64" i="1"/>
  <c r="A64" i="1"/>
  <c r="Z63" i="1"/>
  <c r="AA63" i="1" s="1"/>
  <c r="I63" i="1"/>
  <c r="G63" i="1"/>
  <c r="H63" i="1" s="1"/>
  <c r="F63" i="1"/>
  <c r="A63" i="1"/>
  <c r="I62" i="1"/>
  <c r="G62" i="1"/>
  <c r="F62" i="1"/>
  <c r="A62" i="1"/>
  <c r="I61" i="1"/>
  <c r="G61" i="1"/>
  <c r="F61" i="1"/>
  <c r="A61" i="1"/>
  <c r="I59" i="1"/>
  <c r="H59" i="1"/>
  <c r="G59" i="1"/>
  <c r="F59" i="1"/>
  <c r="A59" i="1"/>
  <c r="I58" i="1"/>
  <c r="G58" i="1"/>
  <c r="F58" i="1"/>
  <c r="A58" i="1"/>
  <c r="I56" i="1"/>
  <c r="G56" i="1"/>
  <c r="H56" i="1" s="1"/>
  <c r="F56" i="1"/>
  <c r="A56" i="1"/>
  <c r="I55" i="1"/>
  <c r="Z55" i="1" s="1"/>
  <c r="AA55" i="1" s="1"/>
  <c r="H55" i="1"/>
  <c r="G55" i="1"/>
  <c r="F55" i="1"/>
  <c r="A55" i="1"/>
  <c r="I54" i="1"/>
  <c r="G54" i="1"/>
  <c r="F54" i="1"/>
  <c r="A54" i="1"/>
  <c r="AA53" i="1"/>
  <c r="Z53" i="1"/>
  <c r="I53" i="1"/>
  <c r="H53" i="1"/>
  <c r="G53" i="1"/>
  <c r="F53" i="1"/>
  <c r="A53" i="1"/>
  <c r="Z52" i="1"/>
  <c r="AA52" i="1" s="1"/>
  <c r="AB52" i="1" s="1"/>
  <c r="I52" i="1"/>
  <c r="H52" i="1"/>
  <c r="G52" i="1"/>
  <c r="F52" i="1"/>
  <c r="A52" i="1"/>
  <c r="Z51" i="1"/>
  <c r="AA51" i="1" s="1"/>
  <c r="I51" i="1"/>
  <c r="G51" i="1"/>
  <c r="H51" i="1" s="1"/>
  <c r="F51" i="1"/>
  <c r="A51" i="1"/>
  <c r="I50" i="1"/>
  <c r="G50" i="1"/>
  <c r="F50" i="1"/>
  <c r="A50" i="1"/>
  <c r="I49" i="1"/>
  <c r="G49" i="1"/>
  <c r="F49" i="1"/>
  <c r="A49" i="1"/>
  <c r="I48" i="1"/>
  <c r="H48" i="1"/>
  <c r="G48" i="1"/>
  <c r="F48" i="1"/>
  <c r="A48" i="1"/>
  <c r="I47" i="1"/>
  <c r="G47" i="1"/>
  <c r="F47" i="1"/>
  <c r="A47" i="1"/>
  <c r="I46" i="1"/>
  <c r="H46" i="1"/>
  <c r="G46" i="1"/>
  <c r="F46" i="1"/>
  <c r="A46" i="1"/>
  <c r="I45" i="1"/>
  <c r="Z45" i="1" s="1"/>
  <c r="AA45" i="1" s="1"/>
  <c r="H45" i="1"/>
  <c r="G45" i="1"/>
  <c r="F45" i="1"/>
  <c r="A45" i="1"/>
  <c r="I44" i="1"/>
  <c r="G44" i="1"/>
  <c r="F44" i="1"/>
  <c r="A44" i="1"/>
  <c r="I43" i="1"/>
  <c r="H43" i="1"/>
  <c r="G43" i="1"/>
  <c r="F43" i="1"/>
  <c r="A43" i="1"/>
  <c r="I42" i="1"/>
  <c r="G42" i="1"/>
  <c r="F42" i="1"/>
  <c r="A42" i="1"/>
  <c r="Z41" i="1"/>
  <c r="AA41" i="1" s="1"/>
  <c r="I41" i="1"/>
  <c r="H41" i="1"/>
  <c r="G41" i="1"/>
  <c r="F41" i="1"/>
  <c r="A41" i="1"/>
  <c r="Z40" i="1"/>
  <c r="AA40" i="1" s="1"/>
  <c r="AB40" i="1" s="1"/>
  <c r="I40" i="1"/>
  <c r="H40" i="1"/>
  <c r="G40" i="1"/>
  <c r="F40" i="1"/>
  <c r="A40" i="1"/>
  <c r="Z39" i="1"/>
  <c r="AA39" i="1" s="1"/>
  <c r="I39" i="1"/>
  <c r="G39" i="1"/>
  <c r="H39" i="1" s="1"/>
  <c r="F39" i="1"/>
  <c r="A39" i="1"/>
  <c r="I38" i="1"/>
  <c r="H38" i="1"/>
  <c r="G38" i="1"/>
  <c r="F38" i="1"/>
  <c r="A38" i="1"/>
  <c r="I37" i="1"/>
  <c r="G37" i="1"/>
  <c r="F37" i="1"/>
  <c r="A37" i="1"/>
  <c r="I36" i="1"/>
  <c r="G36" i="1"/>
  <c r="F36" i="1"/>
  <c r="A36" i="1"/>
  <c r="I35" i="1"/>
  <c r="H35" i="1"/>
  <c r="G35" i="1"/>
  <c r="F35" i="1"/>
  <c r="A35" i="1"/>
  <c r="I34" i="1"/>
  <c r="G34" i="1"/>
  <c r="F34" i="1"/>
  <c r="A34" i="1"/>
  <c r="I33" i="1"/>
  <c r="Z33" i="1" s="1"/>
  <c r="AA33" i="1" s="1"/>
  <c r="AC33" i="1" s="1"/>
  <c r="H33" i="1"/>
  <c r="G33" i="1"/>
  <c r="F33" i="1"/>
  <c r="A33" i="1"/>
  <c r="I32" i="1"/>
  <c r="H32" i="1"/>
  <c r="G32" i="1"/>
  <c r="F32" i="1"/>
  <c r="A32" i="1"/>
  <c r="I31" i="1"/>
  <c r="G31" i="1"/>
  <c r="F31" i="1"/>
  <c r="A31" i="1"/>
  <c r="I30" i="1"/>
  <c r="G30" i="1"/>
  <c r="H30" i="1" s="1"/>
  <c r="F30" i="1"/>
  <c r="A30" i="1"/>
  <c r="I29" i="1"/>
  <c r="Z29" i="1" s="1"/>
  <c r="AA29" i="1" s="1"/>
  <c r="AC29" i="1" s="1"/>
  <c r="H29" i="1"/>
  <c r="G29" i="1"/>
  <c r="F29" i="1"/>
  <c r="A29" i="1"/>
  <c r="AA28" i="1"/>
  <c r="AB28" i="1" s="1"/>
  <c r="I28" i="1"/>
  <c r="Z28" i="1" s="1"/>
  <c r="H28" i="1"/>
  <c r="G28" i="1"/>
  <c r="F28" i="1"/>
  <c r="A28" i="1"/>
  <c r="I27" i="1"/>
  <c r="G27" i="1"/>
  <c r="H27" i="1" s="1"/>
  <c r="F27" i="1"/>
  <c r="A27" i="1"/>
  <c r="I26" i="1"/>
  <c r="H26" i="1"/>
  <c r="Z26" i="1" s="1"/>
  <c r="AA26" i="1" s="1"/>
  <c r="G26" i="1"/>
  <c r="F26" i="1"/>
  <c r="A26" i="1"/>
  <c r="I25" i="1"/>
  <c r="G25" i="1"/>
  <c r="F25" i="1"/>
  <c r="A25" i="1"/>
  <c r="I24" i="1"/>
  <c r="H24" i="1"/>
  <c r="F24" i="1"/>
  <c r="I23" i="1"/>
  <c r="Z23" i="1" s="1"/>
  <c r="AA23" i="1" s="1"/>
  <c r="AC23" i="1" s="1"/>
  <c r="F23" i="1"/>
  <c r="I22" i="1"/>
  <c r="G22" i="1"/>
  <c r="H22" i="1" s="1"/>
  <c r="F22" i="1"/>
  <c r="A22" i="1"/>
  <c r="I21" i="1"/>
  <c r="H21" i="1"/>
  <c r="G21" i="1"/>
  <c r="F21" i="1"/>
  <c r="A21" i="1"/>
  <c r="I20" i="1"/>
  <c r="G20" i="1"/>
  <c r="F20" i="1"/>
  <c r="A20" i="1"/>
  <c r="I19" i="1"/>
  <c r="H19" i="1"/>
  <c r="Z19" i="1" s="1"/>
  <c r="AA19" i="1" s="1"/>
  <c r="G19" i="1"/>
  <c r="F19" i="1"/>
  <c r="A19" i="1"/>
  <c r="I18" i="1"/>
  <c r="H18" i="1"/>
  <c r="Z18" i="1" s="1"/>
  <c r="AA18" i="1" s="1"/>
  <c r="G18" i="1"/>
  <c r="F18" i="1"/>
  <c r="A18" i="1"/>
  <c r="I17" i="1"/>
  <c r="G17" i="1"/>
  <c r="F17" i="1"/>
  <c r="A17" i="1"/>
  <c r="I16" i="1"/>
  <c r="H16" i="1"/>
  <c r="G16" i="1"/>
  <c r="F16" i="1"/>
  <c r="A16" i="1"/>
  <c r="N15" i="1"/>
  <c r="O15" i="1" s="1"/>
  <c r="Q15" i="1" s="1"/>
  <c r="I15" i="1"/>
  <c r="H15" i="1"/>
  <c r="G15" i="1"/>
  <c r="F15" i="1"/>
  <c r="A15" i="1"/>
  <c r="I13" i="1"/>
  <c r="G13" i="1"/>
  <c r="F13" i="1"/>
  <c r="I12" i="1"/>
  <c r="G12" i="1"/>
  <c r="F12" i="1"/>
  <c r="I11" i="1"/>
  <c r="F11" i="1"/>
  <c r="I10" i="1"/>
  <c r="Z10" i="1" s="1"/>
  <c r="AA10" i="1" s="1"/>
  <c r="H10" i="1"/>
  <c r="G10" i="1"/>
  <c r="F10" i="1"/>
  <c r="I9" i="1"/>
  <c r="G9" i="1"/>
  <c r="F9" i="1"/>
  <c r="I8" i="1"/>
  <c r="G8" i="1"/>
  <c r="H8" i="1" s="1"/>
  <c r="F8" i="1"/>
  <c r="I7" i="1"/>
  <c r="G7" i="1"/>
  <c r="F7" i="1"/>
  <c r="I6" i="1"/>
  <c r="G6" i="1"/>
  <c r="H6" i="1" s="1"/>
  <c r="F5" i="1"/>
  <c r="B4" i="1"/>
  <c r="V80" i="1"/>
  <c r="J80" i="1"/>
  <c r="J79" i="1"/>
  <c r="V78" i="1"/>
  <c r="J78" i="1"/>
  <c r="V65" i="1"/>
  <c r="J65" i="1"/>
  <c r="J53" i="1"/>
  <c r="R45" i="1"/>
  <c r="J77" i="1"/>
  <c r="J64" i="1"/>
  <c r="V57" i="1"/>
  <c r="J52" i="1"/>
  <c r="J40" i="1"/>
  <c r="J76" i="1"/>
  <c r="J63" i="1"/>
  <c r="R55" i="1"/>
  <c r="J51" i="1"/>
  <c r="J50" i="1"/>
  <c r="J83" i="1"/>
  <c r="N79" i="1"/>
  <c r="R75" i="1"/>
  <c r="N66" i="1"/>
  <c r="J82" i="1"/>
  <c r="N78" i="1"/>
  <c r="J70" i="1"/>
  <c r="N65" i="1"/>
  <c r="R85" i="1"/>
  <c r="V81" i="1"/>
  <c r="J81" i="1"/>
  <c r="N77" i="1"/>
  <c r="R73" i="1"/>
  <c r="V82" i="1"/>
  <c r="J56" i="1"/>
  <c r="J55" i="1"/>
  <c r="V46" i="1"/>
  <c r="J41" i="1"/>
  <c r="N26" i="1"/>
  <c r="N21" i="1"/>
  <c r="R82" i="1"/>
  <c r="R67" i="1"/>
  <c r="N64" i="1"/>
  <c r="V63" i="1"/>
  <c r="N52" i="1"/>
  <c r="N23" i="1"/>
  <c r="N87" i="1"/>
  <c r="J68" i="1"/>
  <c r="R59" i="1"/>
  <c r="R43" i="1"/>
  <c r="R32" i="1"/>
  <c r="R84" i="1"/>
  <c r="V64" i="1"/>
  <c r="N55" i="1"/>
  <c r="J54" i="1"/>
  <c r="V53" i="1"/>
  <c r="N51" i="1"/>
  <c r="J45" i="1"/>
  <c r="R41" i="1"/>
  <c r="N40" i="1"/>
  <c r="V79" i="1"/>
  <c r="V77" i="1"/>
  <c r="V68" i="1"/>
  <c r="R53" i="1"/>
  <c r="V52" i="1"/>
  <c r="N50" i="1"/>
  <c r="J46" i="1"/>
  <c r="V39" i="1"/>
  <c r="J26" i="1"/>
  <c r="J21" i="1"/>
  <c r="R77" i="1"/>
  <c r="V73" i="1"/>
  <c r="R64" i="1"/>
  <c r="R52" i="1"/>
  <c r="V51" i="1"/>
  <c r="J23" i="1"/>
  <c r="N86" i="1"/>
  <c r="R81" i="1"/>
  <c r="N73" i="1"/>
  <c r="R62" i="1"/>
  <c r="N45" i="1"/>
  <c r="J43" i="1"/>
  <c r="J38" i="1"/>
  <c r="N32" i="1"/>
  <c r="R28" i="1"/>
  <c r="J24" i="1"/>
  <c r="V83" i="1"/>
  <c r="V40" i="1"/>
  <c r="R83" i="1"/>
  <c r="V67" i="1"/>
  <c r="R65" i="1"/>
  <c r="V55" i="1"/>
  <c r="R48" i="1"/>
  <c r="R40" i="1"/>
  <c r="N76" i="1"/>
  <c r="R72" i="1"/>
  <c r="V70" i="1"/>
  <c r="J66" i="1"/>
  <c r="N43" i="1"/>
  <c r="N41" i="1"/>
  <c r="N39" i="1"/>
  <c r="N88" i="1"/>
  <c r="V85" i="1"/>
  <c r="R70" i="1"/>
  <c r="J67" i="1"/>
  <c r="N62" i="1"/>
  <c r="V60" i="1"/>
  <c r="N54" i="1"/>
  <c r="J32" i="1"/>
  <c r="N28" i="1"/>
  <c r="R24" i="1"/>
  <c r="J15" i="1"/>
  <c r="N85" i="1"/>
  <c r="R80" i="1"/>
  <c r="R78" i="1"/>
  <c r="V76" i="1"/>
  <c r="N72" i="1"/>
  <c r="N63" i="1"/>
  <c r="N53" i="1"/>
  <c r="R50" i="1"/>
  <c r="V45" i="1"/>
  <c r="J39" i="1"/>
  <c r="R38" i="1"/>
  <c r="R35" i="1"/>
  <c r="V38" i="1"/>
  <c r="R19" i="1"/>
  <c r="N8" i="1"/>
  <c r="N38" i="1"/>
  <c r="R34" i="1"/>
  <c r="N29" i="1"/>
  <c r="R26" i="1"/>
  <c r="N6" i="1"/>
  <c r="N27" i="1"/>
  <c r="R23" i="1"/>
  <c r="R21" i="1"/>
  <c r="J18" i="1"/>
  <c r="R31" i="1"/>
  <c r="V29" i="1"/>
  <c r="N22" i="1"/>
  <c r="R33" i="1"/>
  <c r="N35" i="1"/>
  <c r="J28" i="1"/>
  <c r="R25" i="1"/>
  <c r="R6" i="1"/>
  <c r="N7" i="1"/>
  <c r="R37" i="1"/>
  <c r="J27" i="1"/>
  <c r="N13" i="1"/>
  <c r="V10" i="1"/>
  <c r="V33" i="1"/>
  <c r="J29" i="1"/>
  <c r="N24" i="1"/>
  <c r="J22" i="1"/>
  <c r="N10" i="1"/>
  <c r="N37" i="1"/>
  <c r="R15" i="1"/>
  <c r="R8" i="1"/>
  <c r="R49" i="1"/>
  <c r="J35" i="1"/>
  <c r="N12" i="1"/>
  <c r="V56" i="1"/>
  <c r="V41" i="1"/>
  <c r="N19" i="1"/>
  <c r="J33" i="1"/>
  <c r="V24" i="1"/>
  <c r="R18" i="1"/>
  <c r="V43" i="1"/>
  <c r="J19" i="1"/>
  <c r="R10" i="1"/>
  <c r="N9" i="1"/>
  <c r="N18" i="1"/>
  <c r="V16" i="1"/>
  <c r="V15" i="1"/>
  <c r="V27" i="1"/>
  <c r="J7" i="1"/>
  <c r="V22" i="1"/>
  <c r="V6" i="1"/>
  <c r="R13" i="1"/>
  <c r="V8" i="1"/>
  <c r="W8" i="1" l="1"/>
  <c r="X8" i="1" s="1"/>
  <c r="S13" i="1"/>
  <c r="U13" i="1" s="1"/>
  <c r="W6" i="1"/>
  <c r="W22" i="1"/>
  <c r="Y22" i="1" s="1"/>
  <c r="M7" i="1"/>
  <c r="K7" i="1"/>
  <c r="L7" i="1" s="1"/>
  <c r="W27" i="1"/>
  <c r="Y27" i="1" s="1"/>
  <c r="W15" i="1"/>
  <c r="W16" i="1"/>
  <c r="O18" i="1"/>
  <c r="O9" i="1"/>
  <c r="S10" i="1"/>
  <c r="U10" i="1" s="1"/>
  <c r="K19" i="1"/>
  <c r="M19" i="1"/>
  <c r="W43" i="1"/>
  <c r="Y43" i="1" s="1"/>
  <c r="S18" i="1"/>
  <c r="U18" i="1" s="1"/>
  <c r="W24" i="1"/>
  <c r="M33" i="1"/>
  <c r="K33" i="1"/>
  <c r="O19" i="1"/>
  <c r="W41" i="1"/>
  <c r="W56" i="1"/>
  <c r="X56" i="1" s="1"/>
  <c r="O12" i="1"/>
  <c r="K35" i="1"/>
  <c r="L35" i="1" s="1"/>
  <c r="S49" i="1"/>
  <c r="S8" i="1"/>
  <c r="S15" i="1"/>
  <c r="U15" i="1" s="1"/>
  <c r="O37" i="1"/>
  <c r="O10" i="1"/>
  <c r="M22" i="1"/>
  <c r="K22" i="1"/>
  <c r="O24" i="1"/>
  <c r="K29" i="1"/>
  <c r="L29" i="1" s="1"/>
  <c r="M29" i="1"/>
  <c r="W33" i="1"/>
  <c r="Y33" i="1" s="1"/>
  <c r="W10" i="1"/>
  <c r="X10" i="1" s="1"/>
  <c r="O13" i="1"/>
  <c r="M27" i="1"/>
  <c r="K27" i="1"/>
  <c r="S37" i="1"/>
  <c r="O7" i="1"/>
  <c r="S6" i="1"/>
  <c r="S25" i="1"/>
  <c r="U25" i="1" s="1"/>
  <c r="K28" i="1"/>
  <c r="L28" i="1" s="1"/>
  <c r="M28" i="1"/>
  <c r="O35" i="1"/>
  <c r="S33" i="1"/>
  <c r="O22" i="1"/>
  <c r="W29" i="1"/>
  <c r="S31" i="1"/>
  <c r="K18" i="1"/>
  <c r="S21" i="1"/>
  <c r="U21" i="1" s="1"/>
  <c r="S23" i="1"/>
  <c r="U23" i="1" s="1"/>
  <c r="O27" i="1"/>
  <c r="O6" i="1"/>
  <c r="S26" i="1"/>
  <c r="O29" i="1"/>
  <c r="Q29" i="1" s="1"/>
  <c r="S34" i="1"/>
  <c r="U34" i="1" s="1"/>
  <c r="O38" i="1"/>
  <c r="Q38" i="1" s="1"/>
  <c r="O8" i="1"/>
  <c r="Q8" i="1" s="1"/>
  <c r="S19" i="1"/>
  <c r="T19" i="1" s="1"/>
  <c r="W38" i="1"/>
  <c r="X38" i="1" s="1"/>
  <c r="S35" i="1"/>
  <c r="T35" i="1" s="1"/>
  <c r="S38" i="1"/>
  <c r="U38" i="1" s="1"/>
  <c r="M39" i="1"/>
  <c r="K39" i="1"/>
  <c r="L39" i="1" s="1"/>
  <c r="W45" i="1"/>
  <c r="S50" i="1"/>
  <c r="O53" i="1"/>
  <c r="P53" i="1" s="1"/>
  <c r="O63" i="1"/>
  <c r="O72" i="1"/>
  <c r="W76" i="1"/>
  <c r="S78" i="1"/>
  <c r="S80" i="1"/>
  <c r="O85" i="1"/>
  <c r="K15" i="1"/>
  <c r="L15" i="1" s="1"/>
  <c r="S24" i="1"/>
  <c r="U24" i="1" s="1"/>
  <c r="O28" i="1"/>
  <c r="P28" i="1" s="1"/>
  <c r="K32" i="1"/>
  <c r="O54" i="1"/>
  <c r="O62" i="1"/>
  <c r="Q62" i="1" s="1"/>
  <c r="M67" i="1"/>
  <c r="K67" i="1"/>
  <c r="L67" i="1" s="1"/>
  <c r="S70" i="1"/>
  <c r="W85" i="1"/>
  <c r="O88" i="1"/>
  <c r="O39" i="1"/>
  <c r="O41" i="1"/>
  <c r="O43" i="1"/>
  <c r="M66" i="1"/>
  <c r="K66" i="1"/>
  <c r="L66" i="1" s="1"/>
  <c r="W70" i="1"/>
  <c r="S72" i="1"/>
  <c r="U72" i="1" s="1"/>
  <c r="O76" i="1"/>
  <c r="S40" i="1"/>
  <c r="S48" i="1"/>
  <c r="T48" i="1" s="1"/>
  <c r="W55" i="1"/>
  <c r="S65" i="1"/>
  <c r="W67" i="1"/>
  <c r="S83" i="1"/>
  <c r="W40" i="1"/>
  <c r="W83" i="1"/>
  <c r="X83" i="1" s="1"/>
  <c r="K24" i="1"/>
  <c r="M24" i="1"/>
  <c r="S28" i="1"/>
  <c r="U28" i="1" s="1"/>
  <c r="O32" i="1"/>
  <c r="Q32" i="1" s="1"/>
  <c r="M38" i="1"/>
  <c r="K38" i="1"/>
  <c r="L38" i="1" s="1"/>
  <c r="M43" i="1"/>
  <c r="K43" i="1"/>
  <c r="L43" i="1" s="1"/>
  <c r="O45" i="1"/>
  <c r="S62" i="1"/>
  <c r="T62" i="1" s="1"/>
  <c r="O73" i="1"/>
  <c r="Q73" i="1" s="1"/>
  <c r="S81" i="1"/>
  <c r="O86" i="1"/>
  <c r="K23" i="1"/>
  <c r="L23" i="1" s="1"/>
  <c r="M23" i="1"/>
  <c r="W51" i="1"/>
  <c r="X51" i="1" s="1"/>
  <c r="S52" i="1"/>
  <c r="S64" i="1"/>
  <c r="U64" i="1" s="1"/>
  <c r="W73" i="1"/>
  <c r="S77" i="1"/>
  <c r="U77" i="1" s="1"/>
  <c r="K21" i="1"/>
  <c r="L21" i="1" s="1"/>
  <c r="K26" i="1"/>
  <c r="W39" i="1"/>
  <c r="X39" i="1" s="1"/>
  <c r="K46" i="1"/>
  <c r="L46" i="1" s="1"/>
  <c r="O50" i="1"/>
  <c r="Q50" i="1" s="1"/>
  <c r="W52" i="1"/>
  <c r="Y52" i="1" s="1"/>
  <c r="S53" i="1"/>
  <c r="W68" i="1"/>
  <c r="X68" i="1" s="1"/>
  <c r="W77" i="1"/>
  <c r="W79" i="1"/>
  <c r="O40" i="1"/>
  <c r="P40" i="1" s="1"/>
  <c r="S41" i="1"/>
  <c r="K45" i="1"/>
  <c r="O51" i="1"/>
  <c r="W53" i="1"/>
  <c r="K54" i="1"/>
  <c r="L54" i="1" s="1"/>
  <c r="M54" i="1"/>
  <c r="O55" i="1"/>
  <c r="W64" i="1"/>
  <c r="S84" i="1"/>
  <c r="S32" i="1"/>
  <c r="U32" i="1" s="1"/>
  <c r="S43" i="1"/>
  <c r="T43" i="1" s="1"/>
  <c r="S59" i="1"/>
  <c r="U59" i="1" s="1"/>
  <c r="K68" i="1"/>
  <c r="L68" i="1" s="1"/>
  <c r="O87" i="1"/>
  <c r="O23" i="1"/>
  <c r="O52" i="1"/>
  <c r="P52" i="1" s="1"/>
  <c r="W63" i="1"/>
  <c r="O64" i="1"/>
  <c r="P64" i="1" s="1"/>
  <c r="S67" i="1"/>
  <c r="T67" i="1" s="1"/>
  <c r="S82" i="1"/>
  <c r="O21" i="1"/>
  <c r="Q21" i="1" s="1"/>
  <c r="O26" i="1"/>
  <c r="P26" i="1" s="1"/>
  <c r="K41" i="1"/>
  <c r="L41" i="1" s="1"/>
  <c r="M41" i="1"/>
  <c r="W46" i="1"/>
  <c r="M55" i="1"/>
  <c r="K55" i="1"/>
  <c r="L55" i="1" s="1"/>
  <c r="K56" i="1"/>
  <c r="L56" i="1" s="1"/>
  <c r="W82" i="1"/>
  <c r="X82" i="1" s="1"/>
  <c r="S73" i="1"/>
  <c r="T73" i="1" s="1"/>
  <c r="O77" i="1"/>
  <c r="P77" i="1" s="1"/>
  <c r="M81" i="1"/>
  <c r="K81" i="1"/>
  <c r="L81" i="1" s="1"/>
  <c r="W81" i="1"/>
  <c r="S85" i="1"/>
  <c r="U85" i="1" s="1"/>
  <c r="O65" i="1"/>
  <c r="P65" i="1" s="1"/>
  <c r="K70" i="1"/>
  <c r="O78" i="1"/>
  <c r="P78" i="1" s="1"/>
  <c r="K82" i="1"/>
  <c r="L82" i="1" s="1"/>
  <c r="O66" i="1"/>
  <c r="S75" i="1"/>
  <c r="T75" i="1" s="1"/>
  <c r="O79" i="1"/>
  <c r="Q79" i="1" s="1"/>
  <c r="K83" i="1"/>
  <c r="L83" i="1" s="1"/>
  <c r="K50" i="1"/>
  <c r="K51" i="1"/>
  <c r="L51" i="1" s="1"/>
  <c r="S55" i="1"/>
  <c r="T55" i="1" s="1"/>
  <c r="M63" i="1"/>
  <c r="K63" i="1"/>
  <c r="L63" i="1" s="1"/>
  <c r="M76" i="1"/>
  <c r="K76" i="1"/>
  <c r="L76" i="1" s="1"/>
  <c r="M40" i="1"/>
  <c r="K40" i="1"/>
  <c r="L40" i="1" s="1"/>
  <c r="K52" i="1"/>
  <c r="L52" i="1" s="1"/>
  <c r="M52" i="1"/>
  <c r="K64" i="1"/>
  <c r="L64" i="1" s="1"/>
  <c r="M64" i="1"/>
  <c r="M77" i="1"/>
  <c r="K77" i="1"/>
  <c r="L77" i="1" s="1"/>
  <c r="S45" i="1"/>
  <c r="K53" i="1"/>
  <c r="L53" i="1" s="1"/>
  <c r="M53" i="1"/>
  <c r="K65" i="1"/>
  <c r="L65" i="1" s="1"/>
  <c r="M65" i="1"/>
  <c r="W65" i="1"/>
  <c r="K78" i="1"/>
  <c r="L78" i="1" s="1"/>
  <c r="M78" i="1"/>
  <c r="W78" i="1"/>
  <c r="K79" i="1"/>
  <c r="L79" i="1" s="1"/>
  <c r="M79" i="1"/>
  <c r="M80" i="1"/>
  <c r="K80" i="1"/>
  <c r="L80" i="1" s="1"/>
  <c r="W80" i="1"/>
  <c r="Z30" i="1"/>
  <c r="AA30" i="1" s="1"/>
  <c r="AB30" i="1" s="1"/>
  <c r="T15" i="1"/>
  <c r="AB19" i="1"/>
  <c r="AC19" i="1"/>
  <c r="T8" i="1"/>
  <c r="H36" i="1"/>
  <c r="G5" i="1"/>
  <c r="Q7" i="1"/>
  <c r="P7" i="1"/>
  <c r="Q9" i="1"/>
  <c r="P9" i="1"/>
  <c r="M21" i="1"/>
  <c r="Z22" i="1"/>
  <c r="AA22" i="1" s="1"/>
  <c r="AB23" i="1"/>
  <c r="Z27" i="1"/>
  <c r="AA27" i="1" s="1"/>
  <c r="Q12" i="1"/>
  <c r="P12" i="1"/>
  <c r="H20" i="1"/>
  <c r="P24" i="1"/>
  <c r="X24" i="1"/>
  <c r="L24" i="1"/>
  <c r="T25" i="1"/>
  <c r="AC25" i="1"/>
  <c r="M26" i="1"/>
  <c r="U26" i="1"/>
  <c r="T26" i="1"/>
  <c r="AB26" i="1"/>
  <c r="AC26" i="1"/>
  <c r="Z20" i="1"/>
  <c r="AA20" i="1" s="1"/>
  <c r="AC20" i="1" s="1"/>
  <c r="Z21" i="1"/>
  <c r="AA21" i="1" s="1"/>
  <c r="AC21" i="1" s="1"/>
  <c r="X22" i="1"/>
  <c r="H25" i="1"/>
  <c r="U31" i="1"/>
  <c r="T31" i="1"/>
  <c r="AB31" i="1"/>
  <c r="AC51" i="1"/>
  <c r="AB51" i="1"/>
  <c r="AC63" i="1"/>
  <c r="AB63" i="1"/>
  <c r="Z16" i="1"/>
  <c r="AA16" i="1" s="1"/>
  <c r="T18" i="1"/>
  <c r="T23" i="1"/>
  <c r="Z25" i="1"/>
  <c r="AA25" i="1" s="1"/>
  <c r="AB25" i="1" s="1"/>
  <c r="X27" i="1"/>
  <c r="H31" i="1"/>
  <c r="Z32" i="1"/>
  <c r="AA32" i="1" s="1"/>
  <c r="AC32" i="1" s="1"/>
  <c r="AC35" i="1"/>
  <c r="U37" i="1"/>
  <c r="T37" i="1"/>
  <c r="Q37" i="1"/>
  <c r="P37" i="1"/>
  <c r="AB29" i="1"/>
  <c r="I5" i="1"/>
  <c r="AC10" i="1"/>
  <c r="Q10" i="1"/>
  <c r="AB10" i="1"/>
  <c r="P10" i="1"/>
  <c r="Z31" i="1"/>
  <c r="AA31" i="1" s="1"/>
  <c r="AC31" i="1" s="1"/>
  <c r="T13" i="1"/>
  <c r="Q13" i="1"/>
  <c r="P13" i="1"/>
  <c r="Z35" i="1"/>
  <c r="AA35" i="1" s="1"/>
  <c r="AB39" i="1"/>
  <c r="AC39" i="1"/>
  <c r="Z7" i="1"/>
  <c r="AA7" i="1" s="1"/>
  <c r="AC7" i="1" s="1"/>
  <c r="F6" i="1"/>
  <c r="U8" i="1"/>
  <c r="H17" i="1"/>
  <c r="H5" i="1" s="1"/>
  <c r="Q24" i="1"/>
  <c r="L26" i="1"/>
  <c r="AB33" i="1"/>
  <c r="H7" i="1"/>
  <c r="Z17" i="1"/>
  <c r="AA17" i="1" s="1"/>
  <c r="AB17" i="1" s="1"/>
  <c r="AC18" i="1"/>
  <c r="Q18" i="1"/>
  <c r="AB18" i="1"/>
  <c r="P18" i="1"/>
  <c r="M18" i="1"/>
  <c r="L18" i="1"/>
  <c r="P15" i="1"/>
  <c r="Y15" i="1"/>
  <c r="M15" i="1"/>
  <c r="X15" i="1"/>
  <c r="T24" i="1"/>
  <c r="Q26" i="1"/>
  <c r="Z8" i="1"/>
  <c r="AA8" i="1" s="1"/>
  <c r="AC8" i="1" s="1"/>
  <c r="Z15" i="1"/>
  <c r="AA15" i="1" s="1"/>
  <c r="AB15" i="1" s="1"/>
  <c r="Y24" i="1"/>
  <c r="Z6" i="1"/>
  <c r="AA6" i="1" s="1"/>
  <c r="Y8" i="1"/>
  <c r="G11" i="1"/>
  <c r="AC15" i="1"/>
  <c r="Z24" i="1"/>
  <c r="AA24" i="1" s="1"/>
  <c r="AC24" i="1" s="1"/>
  <c r="X33" i="1"/>
  <c r="H42" i="1"/>
  <c r="AC70" i="1"/>
  <c r="H34" i="1"/>
  <c r="Z34" i="1" s="1"/>
  <c r="AA34" i="1" s="1"/>
  <c r="T34" i="1"/>
  <c r="T38" i="1"/>
  <c r="Q43" i="1"/>
  <c r="P43" i="1"/>
  <c r="X43" i="1"/>
  <c r="Z48" i="1"/>
  <c r="AA48" i="1" s="1"/>
  <c r="AC48" i="1" s="1"/>
  <c r="AC40" i="1"/>
  <c r="L32" i="1"/>
  <c r="U35" i="1"/>
  <c r="AB46" i="1"/>
  <c r="H47" i="1"/>
  <c r="AC76" i="1"/>
  <c r="AB76" i="1"/>
  <c r="U19" i="1"/>
  <c r="AC28" i="1"/>
  <c r="P29" i="1"/>
  <c r="M32" i="1"/>
  <c r="L33" i="1"/>
  <c r="H37" i="1"/>
  <c r="Z38" i="1"/>
  <c r="AA38" i="1" s="1"/>
  <c r="AC38" i="1" s="1"/>
  <c r="Y38" i="1"/>
  <c r="Z43" i="1"/>
  <c r="AA43" i="1" s="1"/>
  <c r="AB43" i="1" s="1"/>
  <c r="AC45" i="1"/>
  <c r="Z47" i="1"/>
  <c r="AA47" i="1" s="1"/>
  <c r="AC47" i="1" s="1"/>
  <c r="H61" i="1"/>
  <c r="Z61" i="1" s="1"/>
  <c r="AA61" i="1" s="1"/>
  <c r="P62" i="1"/>
  <c r="AB73" i="1"/>
  <c r="AB86" i="1"/>
  <c r="H44" i="1"/>
  <c r="Y51" i="1"/>
  <c r="AC59" i="1"/>
  <c r="T77" i="1"/>
  <c r="AC30" i="1"/>
  <c r="Z46" i="1"/>
  <c r="AA46" i="1" s="1"/>
  <c r="AC46" i="1" s="1"/>
  <c r="M50" i="1"/>
  <c r="L50" i="1"/>
  <c r="U50" i="1"/>
  <c r="T50" i="1"/>
  <c r="AC53" i="1"/>
  <c r="AC68" i="1"/>
  <c r="AC71" i="1"/>
  <c r="AC79" i="1"/>
  <c r="L19" i="1"/>
  <c r="P32" i="1"/>
  <c r="AB32" i="1"/>
  <c r="M35" i="1"/>
  <c r="AC41" i="1"/>
  <c r="U55" i="1"/>
  <c r="H71" i="1"/>
  <c r="AC84" i="1"/>
  <c r="U49" i="1"/>
  <c r="T49" i="1"/>
  <c r="Z50" i="1"/>
  <c r="AA50" i="1" s="1"/>
  <c r="AC56" i="1"/>
  <c r="Z59" i="1"/>
  <c r="AA59" i="1" s="1"/>
  <c r="AB59" i="1" s="1"/>
  <c r="Y39" i="1"/>
  <c r="H49" i="1"/>
  <c r="H58" i="1"/>
  <c r="U67" i="1"/>
  <c r="L22" i="1"/>
  <c r="L27" i="1"/>
  <c r="P35" i="1"/>
  <c r="AB35" i="1"/>
  <c r="P38" i="1"/>
  <c r="AB48" i="1"/>
  <c r="P50" i="1"/>
  <c r="Z56" i="1"/>
  <c r="AA56" i="1" s="1"/>
  <c r="Q35" i="1"/>
  <c r="T59" i="1"/>
  <c r="AC72" i="1"/>
  <c r="Q72" i="1"/>
  <c r="AB72" i="1"/>
  <c r="P72" i="1"/>
  <c r="AC80" i="1"/>
  <c r="AC85" i="1"/>
  <c r="Q86" i="1"/>
  <c r="AC86" i="1"/>
  <c r="P87" i="1"/>
  <c r="AB87" i="1"/>
  <c r="H72" i="1"/>
  <c r="AC75" i="1"/>
  <c r="H84" i="1"/>
  <c r="Q87" i="1"/>
  <c r="AC87" i="1"/>
  <c r="P88" i="1"/>
  <c r="Q88" i="1"/>
  <c r="Q40" i="1"/>
  <c r="P41" i="1"/>
  <c r="AB41" i="1"/>
  <c r="L45" i="1"/>
  <c r="X45" i="1"/>
  <c r="Q52" i="1"/>
  <c r="AC52" i="1"/>
  <c r="AB53" i="1"/>
  <c r="M56" i="1"/>
  <c r="Y56" i="1"/>
  <c r="Q64" i="1"/>
  <c r="AC64" i="1"/>
  <c r="M68" i="1"/>
  <c r="Y68" i="1"/>
  <c r="L70" i="1"/>
  <c r="X70" i="1"/>
  <c r="U73" i="1"/>
  <c r="H74" i="1"/>
  <c r="AC77" i="1"/>
  <c r="H86" i="1"/>
  <c r="Q41" i="1"/>
  <c r="M45" i="1"/>
  <c r="Y45" i="1"/>
  <c r="X46" i="1"/>
  <c r="H50" i="1"/>
  <c r="Q53" i="1"/>
  <c r="P54" i="1"/>
  <c r="AB54" i="1"/>
  <c r="H62" i="1"/>
  <c r="Q65" i="1"/>
  <c r="P66" i="1"/>
  <c r="M70" i="1"/>
  <c r="Y70" i="1"/>
  <c r="H75" i="1"/>
  <c r="Q78" i="1"/>
  <c r="P79" i="1"/>
  <c r="AB79" i="1"/>
  <c r="M82" i="1"/>
  <c r="H87" i="1"/>
  <c r="M46" i="1"/>
  <c r="Y46" i="1"/>
  <c r="Q54" i="1"/>
  <c r="P55" i="1"/>
  <c r="AB55" i="1"/>
  <c r="Q66" i="1"/>
  <c r="AB67" i="1"/>
  <c r="U75" i="1"/>
  <c r="AB80" i="1"/>
  <c r="M83" i="1"/>
  <c r="H88" i="1"/>
  <c r="Q55" i="1"/>
  <c r="AC55" i="1"/>
  <c r="AB56" i="1"/>
  <c r="AC67" i="1"/>
  <c r="AB68" i="1"/>
  <c r="X73" i="1"/>
  <c r="AB81" i="1"/>
  <c r="X85" i="1"/>
  <c r="P45" i="1"/>
  <c r="AB45" i="1"/>
  <c r="AB70" i="1"/>
  <c r="Y73" i="1"/>
  <c r="AB82" i="1"/>
  <c r="Y85" i="1"/>
  <c r="Q45" i="1"/>
  <c r="H54" i="1"/>
  <c r="Z54" i="1" s="1"/>
  <c r="AA54" i="1" s="1"/>
  <c r="AC54" i="1" s="1"/>
  <c r="H66" i="1"/>
  <c r="AB71" i="1"/>
  <c r="AB83" i="1"/>
  <c r="AB84" i="1"/>
  <c r="M51" i="1"/>
  <c r="P73" i="1"/>
  <c r="P85" i="1"/>
  <c r="AB85" i="1"/>
  <c r="Q85" i="1"/>
  <c r="P86" i="1"/>
  <c r="J36" i="1"/>
  <c r="R16" i="1"/>
  <c r="V21" i="1"/>
  <c r="J61" i="1"/>
  <c r="R47" i="1"/>
  <c r="J71" i="1"/>
  <c r="N58" i="1"/>
  <c r="J58" i="1"/>
  <c r="V74" i="1"/>
  <c r="J85" i="1"/>
  <c r="N74" i="1"/>
  <c r="J75" i="1"/>
  <c r="V30" i="1"/>
  <c r="N16" i="1"/>
  <c r="J9" i="1"/>
  <c r="V7" i="1"/>
  <c r="R9" i="1"/>
  <c r="R7" i="1"/>
  <c r="V71" i="1"/>
  <c r="R86" i="1"/>
  <c r="R54" i="1"/>
  <c r="V59" i="1"/>
  <c r="R63" i="1"/>
  <c r="V75" i="1"/>
  <c r="R36" i="1"/>
  <c r="N20" i="1"/>
  <c r="N25" i="1"/>
  <c r="J12" i="1"/>
  <c r="J10" i="1"/>
  <c r="R61" i="1"/>
  <c r="N59" i="1"/>
  <c r="R76" i="1"/>
  <c r="J20" i="1"/>
  <c r="J25" i="1"/>
  <c r="J16" i="1"/>
  <c r="J13" i="1"/>
  <c r="J42" i="1"/>
  <c r="N47" i="1"/>
  <c r="J37" i="1"/>
  <c r="J59" i="1"/>
  <c r="J30" i="1"/>
  <c r="R17" i="1"/>
  <c r="R12" i="1"/>
  <c r="J47" i="1"/>
  <c r="N82" i="1"/>
  <c r="J86" i="1"/>
  <c r="N75" i="1"/>
  <c r="V28" i="1"/>
  <c r="V31" i="1"/>
  <c r="R30" i="1"/>
  <c r="N17" i="1"/>
  <c r="V18" i="1"/>
  <c r="R42" i="1"/>
  <c r="R22" i="1"/>
  <c r="V23" i="1"/>
  <c r="J44" i="1"/>
  <c r="N49" i="1"/>
  <c r="N67" i="1"/>
  <c r="N80" i="1"/>
  <c r="N84" i="1"/>
  <c r="J84" i="1"/>
  <c r="V48" i="1"/>
  <c r="J88" i="1"/>
  <c r="R56" i="1"/>
  <c r="N31" i="1"/>
  <c r="N30" i="1"/>
  <c r="V17" i="1"/>
  <c r="R27" i="1"/>
  <c r="V25" i="1"/>
  <c r="J49" i="1"/>
  <c r="R51" i="1"/>
  <c r="J62" i="1"/>
  <c r="N48" i="1"/>
  <c r="R88" i="1"/>
  <c r="R79" i="1"/>
  <c r="J31" i="1"/>
  <c r="R20" i="1"/>
  <c r="J34" i="1"/>
  <c r="R29" i="1"/>
  <c r="V50" i="1"/>
  <c r="N68" i="1"/>
  <c r="N81" i="1"/>
  <c r="N70" i="1"/>
  <c r="R66" i="1"/>
  <c r="N83" i="1"/>
  <c r="R68" i="1"/>
  <c r="R74" i="1"/>
  <c r="V32" i="1"/>
  <c r="J6" i="1"/>
  <c r="R46" i="1"/>
  <c r="N42" i="1"/>
  <c r="V26" i="1"/>
  <c r="V72" i="1"/>
  <c r="R87" i="1"/>
  <c r="V86" i="1"/>
  <c r="J74" i="1"/>
  <c r="V35" i="1"/>
  <c r="J17" i="1"/>
  <c r="J8" i="1"/>
  <c r="N46" i="1"/>
  <c r="V44" i="1"/>
  <c r="V58" i="1"/>
  <c r="V20" i="1"/>
  <c r="V47" i="1"/>
  <c r="R44" i="1"/>
  <c r="N33" i="1"/>
  <c r="R71" i="1"/>
  <c r="J48" i="1"/>
  <c r="J72" i="1"/>
  <c r="N36" i="1"/>
  <c r="V19" i="1"/>
  <c r="N61" i="1"/>
  <c r="N44" i="1"/>
  <c r="N34" i="1"/>
  <c r="N71" i="1"/>
  <c r="R58" i="1"/>
  <c r="R39" i="1"/>
  <c r="N56" i="1"/>
  <c r="J73" i="1"/>
  <c r="J87" i="1"/>
  <c r="V5" i="1"/>
  <c r="T10" i="1" l="1"/>
  <c r="Y10" i="1"/>
  <c r="U62" i="1"/>
  <c r="Q28" i="1"/>
  <c r="U43" i="1"/>
  <c r="T64" i="1"/>
  <c r="P8" i="1"/>
  <c r="T21" i="1"/>
  <c r="Y83" i="1"/>
  <c r="T85" i="1"/>
  <c r="U48" i="1"/>
  <c r="T72" i="1"/>
  <c r="T28" i="1"/>
  <c r="Y82" i="1"/>
  <c r="Q77" i="1"/>
  <c r="X52" i="1"/>
  <c r="W5" i="1"/>
  <c r="K87" i="1"/>
  <c r="L87" i="1" s="1"/>
  <c r="M87" i="1"/>
  <c r="K73" i="1"/>
  <c r="L73" i="1" s="1"/>
  <c r="M73" i="1"/>
  <c r="O56" i="1"/>
  <c r="S39" i="1"/>
  <c r="S58" i="1"/>
  <c r="O71" i="1"/>
  <c r="O34" i="1"/>
  <c r="O44" i="1"/>
  <c r="O61" i="1"/>
  <c r="W19" i="1"/>
  <c r="O36" i="1"/>
  <c r="K72" i="1"/>
  <c r="L72" i="1" s="1"/>
  <c r="M72" i="1"/>
  <c r="K48" i="1"/>
  <c r="L48" i="1" s="1"/>
  <c r="M48" i="1"/>
  <c r="S71" i="1"/>
  <c r="O33" i="1"/>
  <c r="S44" i="1"/>
  <c r="W47" i="1"/>
  <c r="W20" i="1"/>
  <c r="W58" i="1"/>
  <c r="W44" i="1"/>
  <c r="O46" i="1"/>
  <c r="M8" i="1"/>
  <c r="K8" i="1"/>
  <c r="L8" i="1" s="1"/>
  <c r="K17" i="1"/>
  <c r="L17" i="1" s="1"/>
  <c r="M17" i="1"/>
  <c r="W35" i="1"/>
  <c r="K74" i="1"/>
  <c r="L74" i="1" s="1"/>
  <c r="M74" i="1"/>
  <c r="W86" i="1"/>
  <c r="S87" i="1"/>
  <c r="W72" i="1"/>
  <c r="W26" i="1"/>
  <c r="O42" i="1"/>
  <c r="S46" i="1"/>
  <c r="K6" i="1"/>
  <c r="L6" i="1" s="1"/>
  <c r="W32" i="1"/>
  <c r="S74" i="1"/>
  <c r="S68" i="1"/>
  <c r="O83" i="1"/>
  <c r="S66" i="1"/>
  <c r="O70" i="1"/>
  <c r="O81" i="1"/>
  <c r="O68" i="1"/>
  <c r="W50" i="1"/>
  <c r="S29" i="1"/>
  <c r="K34" i="1"/>
  <c r="L34" i="1" s="1"/>
  <c r="M34" i="1"/>
  <c r="S20" i="1"/>
  <c r="K31" i="1"/>
  <c r="L31" i="1" s="1"/>
  <c r="M31" i="1"/>
  <c r="S79" i="1"/>
  <c r="S88" i="1"/>
  <c r="O48" i="1"/>
  <c r="K62" i="1"/>
  <c r="L62" i="1" s="1"/>
  <c r="M62" i="1"/>
  <c r="S51" i="1"/>
  <c r="K49" i="1"/>
  <c r="L49" i="1" s="1"/>
  <c r="M49" i="1"/>
  <c r="W25" i="1"/>
  <c r="S27" i="1"/>
  <c r="W17" i="1"/>
  <c r="O30" i="1"/>
  <c r="O31" i="1"/>
  <c r="S56" i="1"/>
  <c r="K88" i="1"/>
  <c r="L88" i="1" s="1"/>
  <c r="M88" i="1"/>
  <c r="W48" i="1"/>
  <c r="K84" i="1"/>
  <c r="L84" i="1" s="1"/>
  <c r="M84" i="1"/>
  <c r="O84" i="1"/>
  <c r="O80" i="1"/>
  <c r="O67" i="1"/>
  <c r="O49" i="1"/>
  <c r="K44" i="1"/>
  <c r="L44" i="1" s="1"/>
  <c r="M44" i="1"/>
  <c r="W23" i="1"/>
  <c r="S22" i="1"/>
  <c r="S42" i="1"/>
  <c r="W18" i="1"/>
  <c r="O17" i="1"/>
  <c r="S30" i="1"/>
  <c r="W31" i="1"/>
  <c r="W28" i="1"/>
  <c r="O75" i="1"/>
  <c r="K86" i="1"/>
  <c r="L86" i="1" s="1"/>
  <c r="M86" i="1"/>
  <c r="O82" i="1"/>
  <c r="K47" i="1"/>
  <c r="L47" i="1" s="1"/>
  <c r="M47" i="1"/>
  <c r="S12" i="1"/>
  <c r="S17" i="1"/>
  <c r="M30" i="1"/>
  <c r="K30" i="1"/>
  <c r="L30" i="1" s="1"/>
  <c r="K59" i="1"/>
  <c r="L59" i="1" s="1"/>
  <c r="M59" i="1"/>
  <c r="K37" i="1"/>
  <c r="L37" i="1" s="1"/>
  <c r="M37" i="1"/>
  <c r="O47" i="1"/>
  <c r="M42" i="1"/>
  <c r="K42" i="1"/>
  <c r="L42" i="1" s="1"/>
  <c r="K13" i="1"/>
  <c r="L13" i="1" s="1"/>
  <c r="M13" i="1"/>
  <c r="M16" i="1"/>
  <c r="K16" i="1"/>
  <c r="L16" i="1" s="1"/>
  <c r="K25" i="1"/>
  <c r="L25" i="1" s="1"/>
  <c r="M25" i="1"/>
  <c r="K20" i="1"/>
  <c r="L20" i="1" s="1"/>
  <c r="M20" i="1"/>
  <c r="S76" i="1"/>
  <c r="O59" i="1"/>
  <c r="S61" i="1"/>
  <c r="K10" i="1"/>
  <c r="L10" i="1" s="1"/>
  <c r="M10" i="1"/>
  <c r="M12" i="1"/>
  <c r="K12" i="1"/>
  <c r="L12" i="1" s="1"/>
  <c r="O25" i="1"/>
  <c r="O20" i="1"/>
  <c r="S36" i="1"/>
  <c r="W75" i="1"/>
  <c r="S63" i="1"/>
  <c r="W59" i="1"/>
  <c r="S54" i="1"/>
  <c r="S86" i="1"/>
  <c r="W71" i="1"/>
  <c r="S7" i="1"/>
  <c r="S9" i="1"/>
  <c r="W7" i="1"/>
  <c r="M9" i="1"/>
  <c r="K9" i="1"/>
  <c r="L9" i="1" s="1"/>
  <c r="O16" i="1"/>
  <c r="W30" i="1"/>
  <c r="K75" i="1"/>
  <c r="L75" i="1" s="1"/>
  <c r="M75" i="1"/>
  <c r="O74" i="1"/>
  <c r="K85" i="1"/>
  <c r="L85" i="1" s="1"/>
  <c r="M85" i="1"/>
  <c r="W74" i="1"/>
  <c r="K58" i="1"/>
  <c r="L58" i="1" s="1"/>
  <c r="M58" i="1"/>
  <c r="O58" i="1"/>
  <c r="K71" i="1"/>
  <c r="L71" i="1" s="1"/>
  <c r="M71" i="1"/>
  <c r="S47" i="1"/>
  <c r="K61" i="1"/>
  <c r="L61" i="1" s="1"/>
  <c r="M61" i="1"/>
  <c r="W21" i="1"/>
  <c r="S16" i="1"/>
  <c r="M36" i="1"/>
  <c r="K36" i="1"/>
  <c r="L36" i="1" s="1"/>
  <c r="AB34" i="1"/>
  <c r="AC34" i="1"/>
  <c r="H12" i="1"/>
  <c r="H13" i="1"/>
  <c r="AC43" i="1"/>
  <c r="AB8" i="1"/>
  <c r="Z5" i="1"/>
  <c r="AA5" i="1" s="1"/>
  <c r="AB21" i="1"/>
  <c r="U45" i="1"/>
  <c r="T45" i="1"/>
  <c r="Y79" i="1"/>
  <c r="X79" i="1"/>
  <c r="U70" i="1"/>
  <c r="T70" i="1"/>
  <c r="Y76" i="1"/>
  <c r="X76" i="1"/>
  <c r="Q22" i="1"/>
  <c r="P22" i="1"/>
  <c r="AC16" i="1"/>
  <c r="AB16" i="1"/>
  <c r="Y81" i="1"/>
  <c r="X81" i="1"/>
  <c r="Y77" i="1"/>
  <c r="X77" i="1"/>
  <c r="U52" i="1"/>
  <c r="T52" i="1"/>
  <c r="T40" i="1"/>
  <c r="U40" i="1"/>
  <c r="U33" i="1"/>
  <c r="T33" i="1"/>
  <c r="AC50" i="1"/>
  <c r="AB50" i="1"/>
  <c r="U84" i="1"/>
  <c r="T84" i="1"/>
  <c r="Q76" i="1"/>
  <c r="P76" i="1"/>
  <c r="Q63" i="1"/>
  <c r="P63" i="1"/>
  <c r="Z62" i="1"/>
  <c r="AA62" i="1" s="1"/>
  <c r="Q6" i="1"/>
  <c r="AB6" i="1"/>
  <c r="AC6" i="1" s="1"/>
  <c r="P6" i="1"/>
  <c r="Y6" i="1"/>
  <c r="X6" i="1"/>
  <c r="U6" i="1"/>
  <c r="T6" i="1"/>
  <c r="M6" i="1"/>
  <c r="T82" i="1"/>
  <c r="U82" i="1"/>
  <c r="X64" i="1"/>
  <c r="Y64" i="1"/>
  <c r="U53" i="1"/>
  <c r="T53" i="1"/>
  <c r="Y41" i="1"/>
  <c r="X41" i="1"/>
  <c r="X16" i="1"/>
  <c r="Y16" i="1"/>
  <c r="Z49" i="1"/>
  <c r="AA49" i="1" s="1"/>
  <c r="X78" i="1"/>
  <c r="Y78" i="1"/>
  <c r="P19" i="1"/>
  <c r="Q19" i="1"/>
  <c r="Z66" i="1"/>
  <c r="AA66" i="1" s="1"/>
  <c r="H9" i="1"/>
  <c r="AB47" i="1"/>
  <c r="AB20" i="1"/>
  <c r="T32" i="1"/>
  <c r="AB7" i="1"/>
  <c r="Z58" i="1"/>
  <c r="AA58" i="1" s="1"/>
  <c r="Z44" i="1"/>
  <c r="AA44" i="1" s="1"/>
  <c r="AB24" i="1"/>
  <c r="Y63" i="1"/>
  <c r="X63" i="1"/>
  <c r="U81" i="1"/>
  <c r="T81" i="1"/>
  <c r="Q27" i="1"/>
  <c r="P27" i="1"/>
  <c r="AB38" i="1"/>
  <c r="Z42" i="1"/>
  <c r="AA42" i="1" s="1"/>
  <c r="AC27" i="1"/>
  <c r="AB27" i="1"/>
  <c r="Y65" i="1"/>
  <c r="X65" i="1"/>
  <c r="Y53" i="1"/>
  <c r="X53" i="1"/>
  <c r="X40" i="1"/>
  <c r="Y40" i="1"/>
  <c r="AC17" i="1"/>
  <c r="Q23" i="1"/>
  <c r="P23" i="1"/>
  <c r="Q51" i="1"/>
  <c r="P51" i="1"/>
  <c r="U83" i="1"/>
  <c r="T83" i="1"/>
  <c r="Z37" i="1"/>
  <c r="AA37" i="1" s="1"/>
  <c r="AC22" i="1"/>
  <c r="AB22" i="1"/>
  <c r="Y67" i="1"/>
  <c r="X67" i="1"/>
  <c r="Q39" i="1"/>
  <c r="P39" i="1"/>
  <c r="AC61" i="1"/>
  <c r="AB61" i="1"/>
  <c r="Z36" i="1"/>
  <c r="AA36" i="1" s="1"/>
  <c r="U41" i="1"/>
  <c r="T41" i="1"/>
  <c r="U65" i="1"/>
  <c r="T65" i="1"/>
  <c r="U80" i="1"/>
  <c r="T80" i="1"/>
  <c r="H11" i="1"/>
  <c r="P21" i="1"/>
  <c r="Y80" i="1"/>
  <c r="X80" i="1"/>
  <c r="Y55" i="1"/>
  <c r="X55" i="1"/>
  <c r="U78" i="1"/>
  <c r="T78" i="1"/>
  <c r="Y29" i="1"/>
  <c r="X29" i="1"/>
  <c r="V87" i="1"/>
  <c r="J5" i="1"/>
  <c r="V36" i="1"/>
  <c r="R5" i="1"/>
  <c r="Z88" i="1"/>
  <c r="V88" i="1"/>
  <c r="V49" i="1"/>
  <c r="V61" i="1"/>
  <c r="V62" i="1"/>
  <c r="V54" i="1"/>
  <c r="V66" i="1"/>
  <c r="V34" i="1"/>
  <c r="V84" i="1"/>
  <c r="V37" i="1"/>
  <c r="N11" i="1"/>
  <c r="R11" i="1"/>
  <c r="J11" i="1"/>
  <c r="N5" i="1"/>
  <c r="V42" i="1"/>
  <c r="W42" i="1" l="1"/>
  <c r="O5" i="1"/>
  <c r="M11" i="1"/>
  <c r="K11" i="1"/>
  <c r="L11" i="1" s="1"/>
  <c r="S11" i="1"/>
  <c r="O11" i="1"/>
  <c r="W37" i="1"/>
  <c r="W84" i="1"/>
  <c r="W34" i="1"/>
  <c r="W66" i="1"/>
  <c r="W54" i="1"/>
  <c r="W62" i="1"/>
  <c r="W61" i="1"/>
  <c r="W49" i="1"/>
  <c r="W88" i="1"/>
  <c r="AA88" i="1"/>
  <c r="S5" i="1"/>
  <c r="W36" i="1"/>
  <c r="K5" i="1"/>
  <c r="L5" i="1" s="1"/>
  <c r="M5" i="1"/>
  <c r="W87" i="1"/>
  <c r="T63" i="1"/>
  <c r="U63" i="1"/>
  <c r="AB42" i="1"/>
  <c r="AC42" i="1"/>
  <c r="P58" i="1"/>
  <c r="Q58" i="1"/>
  <c r="AC36" i="1"/>
  <c r="AB36" i="1"/>
  <c r="X7" i="1"/>
  <c r="Y7" i="1"/>
  <c r="U17" i="1"/>
  <c r="T17" i="1"/>
  <c r="Y18" i="1"/>
  <c r="X18" i="1"/>
  <c r="X48" i="1"/>
  <c r="Y48" i="1"/>
  <c r="P68" i="1"/>
  <c r="Q68" i="1"/>
  <c r="Y72" i="1"/>
  <c r="X72" i="1"/>
  <c r="X58" i="1"/>
  <c r="Y58" i="1"/>
  <c r="Q61" i="1"/>
  <c r="P61" i="1"/>
  <c r="U27" i="1"/>
  <c r="T27" i="1"/>
  <c r="T9" i="1"/>
  <c r="U9" i="1"/>
  <c r="U12" i="1"/>
  <c r="T12" i="1"/>
  <c r="U42" i="1"/>
  <c r="T42" i="1"/>
  <c r="P81" i="1"/>
  <c r="Q81" i="1"/>
  <c r="T87" i="1"/>
  <c r="U87" i="1"/>
  <c r="Y20" i="1"/>
  <c r="X20" i="1"/>
  <c r="Q44" i="1"/>
  <c r="P44" i="1"/>
  <c r="AC62" i="1"/>
  <c r="AB62" i="1"/>
  <c r="U20" i="1"/>
  <c r="T20" i="1"/>
  <c r="Z9" i="1"/>
  <c r="AA9" i="1" s="1"/>
  <c r="Y74" i="1"/>
  <c r="X74" i="1"/>
  <c r="T7" i="1"/>
  <c r="U7" i="1"/>
  <c r="U22" i="1"/>
  <c r="T22" i="1"/>
  <c r="Q48" i="1"/>
  <c r="P48" i="1"/>
  <c r="P70" i="1"/>
  <c r="Q70" i="1"/>
  <c r="Y86" i="1"/>
  <c r="X86" i="1"/>
  <c r="Y47" i="1"/>
  <c r="X47" i="1"/>
  <c r="P34" i="1"/>
  <c r="Q34" i="1"/>
  <c r="X32" i="1"/>
  <c r="Y32" i="1"/>
  <c r="Z11" i="1"/>
  <c r="AA11" i="1" s="1"/>
  <c r="AC66" i="1"/>
  <c r="AB66" i="1"/>
  <c r="AC5" i="1"/>
  <c r="AB5" i="1"/>
  <c r="Y71" i="1"/>
  <c r="X71" i="1"/>
  <c r="X23" i="1"/>
  <c r="Y23" i="1"/>
  <c r="T56" i="1"/>
  <c r="U56" i="1"/>
  <c r="T88" i="1"/>
  <c r="U88" i="1"/>
  <c r="U66" i="1"/>
  <c r="T66" i="1"/>
  <c r="T44" i="1"/>
  <c r="U44" i="1"/>
  <c r="P71" i="1"/>
  <c r="Q71" i="1"/>
  <c r="AC37" i="1"/>
  <c r="AB37" i="1"/>
  <c r="U16" i="1"/>
  <c r="T16" i="1"/>
  <c r="U86" i="1"/>
  <c r="T86" i="1"/>
  <c r="T61" i="1"/>
  <c r="U61" i="1"/>
  <c r="P82" i="1"/>
  <c r="Q82" i="1"/>
  <c r="Q31" i="1"/>
  <c r="P31" i="1"/>
  <c r="U79" i="1"/>
  <c r="T79" i="1"/>
  <c r="P83" i="1"/>
  <c r="Q83" i="1"/>
  <c r="Q33" i="1"/>
  <c r="P33" i="1"/>
  <c r="U58" i="1"/>
  <c r="T58" i="1"/>
  <c r="Y21" i="1"/>
  <c r="X21" i="1"/>
  <c r="Q74" i="1"/>
  <c r="P74" i="1"/>
  <c r="U54" i="1"/>
  <c r="T54" i="1"/>
  <c r="Q59" i="1"/>
  <c r="P59" i="1"/>
  <c r="Q47" i="1"/>
  <c r="P47" i="1"/>
  <c r="P30" i="1"/>
  <c r="Q30" i="1"/>
  <c r="T68" i="1"/>
  <c r="U68" i="1"/>
  <c r="Y35" i="1"/>
  <c r="X35" i="1"/>
  <c r="U71" i="1"/>
  <c r="T71" i="1"/>
  <c r="U39" i="1"/>
  <c r="T39" i="1"/>
  <c r="Y59" i="1"/>
  <c r="X59" i="1"/>
  <c r="U76" i="1"/>
  <c r="T76" i="1"/>
  <c r="Q49" i="1"/>
  <c r="P49" i="1"/>
  <c r="X17" i="1"/>
  <c r="Y17" i="1"/>
  <c r="T74" i="1"/>
  <c r="U74" i="1"/>
  <c r="P56" i="1"/>
  <c r="Q56" i="1"/>
  <c r="P75" i="1"/>
  <c r="Q75" i="1"/>
  <c r="AC44" i="1"/>
  <c r="AB44" i="1"/>
  <c r="U47" i="1"/>
  <c r="T47" i="1"/>
  <c r="X30" i="1"/>
  <c r="Y30" i="1"/>
  <c r="Y75" i="1"/>
  <c r="X75" i="1"/>
  <c r="X28" i="1"/>
  <c r="Y28" i="1"/>
  <c r="P80" i="1"/>
  <c r="Q80" i="1"/>
  <c r="X25" i="1"/>
  <c r="Y25" i="1"/>
  <c r="AB58" i="1"/>
  <c r="AC58" i="1"/>
  <c r="P16" i="1"/>
  <c r="Q16" i="1"/>
  <c r="T36" i="1"/>
  <c r="U36" i="1"/>
  <c r="X31" i="1"/>
  <c r="Y31" i="1"/>
  <c r="P84" i="1"/>
  <c r="Q84" i="1"/>
  <c r="U46" i="1"/>
  <c r="T46" i="1"/>
  <c r="Z13" i="1"/>
  <c r="AA13" i="1" s="1"/>
  <c r="P67" i="1"/>
  <c r="Q67" i="1"/>
  <c r="AC49" i="1"/>
  <c r="AB49" i="1"/>
  <c r="Z12" i="1"/>
  <c r="AA12" i="1" s="1"/>
  <c r="P20" i="1"/>
  <c r="Q20" i="1"/>
  <c r="T30" i="1"/>
  <c r="U30" i="1"/>
  <c r="T29" i="1"/>
  <c r="U29" i="1"/>
  <c r="Q42" i="1"/>
  <c r="P42" i="1"/>
  <c r="Q46" i="1"/>
  <c r="P46" i="1"/>
  <c r="Q36" i="1"/>
  <c r="P36" i="1"/>
  <c r="Q25" i="1"/>
  <c r="P25" i="1"/>
  <c r="P17" i="1"/>
  <c r="Q17" i="1"/>
  <c r="U51" i="1"/>
  <c r="T51" i="1"/>
  <c r="Y50" i="1"/>
  <c r="X50" i="1"/>
  <c r="X26" i="1"/>
  <c r="Y26" i="1"/>
  <c r="X44" i="1"/>
  <c r="Y44" i="1"/>
  <c r="Y19" i="1"/>
  <c r="X19" i="1"/>
  <c r="Y5" i="1"/>
  <c r="X5" i="1"/>
  <c r="V11" i="1"/>
  <c r="V9" i="1"/>
  <c r="V13" i="1"/>
  <c r="V12" i="1"/>
  <c r="W12" i="1" l="1"/>
  <c r="W13" i="1"/>
  <c r="W9" i="1"/>
  <c r="W11" i="1"/>
  <c r="Y62" i="1"/>
  <c r="X62" i="1"/>
  <c r="Y54" i="1"/>
  <c r="X54" i="1"/>
  <c r="Y66" i="1"/>
  <c r="X66" i="1"/>
  <c r="Y87" i="1"/>
  <c r="X87" i="1"/>
  <c r="Y34" i="1"/>
  <c r="X34" i="1"/>
  <c r="X84" i="1"/>
  <c r="Y84" i="1"/>
  <c r="AB13" i="1"/>
  <c r="AC13" i="1"/>
  <c r="AB9" i="1"/>
  <c r="AC9" i="1"/>
  <c r="Y37" i="1"/>
  <c r="X37" i="1"/>
  <c r="Y36" i="1"/>
  <c r="X36" i="1"/>
  <c r="Q11" i="1"/>
  <c r="P11" i="1"/>
  <c r="U5" i="1"/>
  <c r="T5" i="1"/>
  <c r="U11" i="1"/>
  <c r="T11" i="1"/>
  <c r="AB88" i="1"/>
  <c r="AC88" i="1"/>
  <c r="AC11" i="1"/>
  <c r="AB11" i="1"/>
  <c r="Y88" i="1"/>
  <c r="X88" i="1"/>
  <c r="Y49" i="1"/>
  <c r="X49" i="1"/>
  <c r="Q5" i="1"/>
  <c r="P5" i="1"/>
  <c r="AC12" i="1"/>
  <c r="AB12" i="1"/>
  <c r="Y61" i="1"/>
  <c r="X61" i="1"/>
  <c r="Y42" i="1"/>
  <c r="X42" i="1"/>
  <c r="Y9" i="1" l="1"/>
  <c r="X9" i="1"/>
  <c r="X13" i="1"/>
  <c r="Y13" i="1"/>
  <c r="X12" i="1"/>
  <c r="Y12" i="1"/>
  <c r="Y11" i="1"/>
  <c r="X11" i="1"/>
</calcChain>
</file>

<file path=xl/comments1.xml><?xml version="1.0" encoding="utf-8"?>
<comments xmlns="http://schemas.openxmlformats.org/spreadsheetml/2006/main">
  <authors>
    <author>Eva Weissman</author>
  </authors>
  <commentList>
    <comment ref="AB6" authorId="0">
      <text>
        <r>
          <rPr>
            <sz val="9"/>
            <rFont val="Tahoma"/>
            <charset val="134"/>
          </rPr>
          <t xml:space="preserve">Sometimes increase in use of FP due to mitigation leads to an overall decrease in the absolute number of covered pregnancies.  In that case, this formula allows no negative number.  </t>
        </r>
      </text>
    </comment>
  </commentList>
</comments>
</file>

<file path=xl/sharedStrings.xml><?xml version="1.0" encoding="utf-8"?>
<sst xmlns="http://schemas.openxmlformats.org/spreadsheetml/2006/main" count="185" uniqueCount="120">
  <si>
    <t>Excess COVID Death Associated with Maintaining Essential Services</t>
  </si>
  <si>
    <t>CALCULATION SHEET - HIDDEN</t>
  </si>
  <si>
    <t>(Px (1-Θ))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</si>
  <si>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 xml:space="preserve">2v </t>
    </r>
    <r>
      <rPr>
        <sz val="9"/>
        <color rgb="FF000000"/>
        <rFont val="Century Gothic"/>
        <charset val="134"/>
      </rPr>
      <t>x 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 </t>
    </r>
    <r>
      <rPr>
        <vertAlign val="superscript"/>
        <sz val="9"/>
        <color rgb="FF000000"/>
        <rFont val="Century Gothic"/>
        <charset val="134"/>
      </rPr>
      <t>2vn </t>
    </r>
  </si>
  <si>
    <t>THESE ARE THE CALCULATIONS USED FOR THE FINAL RESULTS</t>
  </si>
  <si>
    <t>HIDDEN</t>
  </si>
  <si>
    <t>Original</t>
  </si>
  <si>
    <t>After Mitigation Measures</t>
  </si>
  <si>
    <t>Baseline</t>
  </si>
  <si>
    <t>PPE</t>
  </si>
  <si>
    <t>PPE+Temperature Screening</t>
  </si>
  <si>
    <t>With PPE+TS+Reduction in Number of Contacts</t>
  </si>
  <si>
    <t>Reduced Number of Contacts + Intervention-Specific Reduction in Infection Risk - Scen. 1</t>
  </si>
  <si>
    <t>Selected</t>
  </si>
  <si>
    <t>Int#</t>
  </si>
  <si>
    <t>Int# in LiST</t>
  </si>
  <si>
    <t>Number of Patients Receiving Care due To Mitigation Measures</t>
  </si>
  <si>
    <t>Average No. of Patient Contacts with Provider</t>
  </si>
  <si>
    <t>Average No. of Patient Contact with Provider</t>
  </si>
  <si>
    <t>Reduction in Transmission Risk</t>
  </si>
  <si>
    <t>Risk of SARS-Cov2 Transmission</t>
  </si>
  <si>
    <t>Excess Risk</t>
  </si>
  <si>
    <t>Excess Infections</t>
  </si>
  <si>
    <t>Excess Deaths</t>
  </si>
  <si>
    <t>By Package</t>
  </si>
  <si>
    <t>Total for Packages</t>
  </si>
  <si>
    <t>Family Planning</t>
  </si>
  <si>
    <t>A</t>
  </si>
  <si>
    <t>Antenatal Care</t>
  </si>
  <si>
    <t>Delivery Care</t>
  </si>
  <si>
    <t>H</t>
  </si>
  <si>
    <t>Newborn Care</t>
  </si>
  <si>
    <t>Breastfeeding</t>
  </si>
  <si>
    <t>Vaccines</t>
  </si>
  <si>
    <t>C</t>
  </si>
  <si>
    <t>Child Health</t>
  </si>
  <si>
    <t>Malnutrition</t>
  </si>
  <si>
    <t>Other</t>
  </si>
  <si>
    <t>By Intervention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</si>
  <si>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</si>
  <si>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</si>
  <si>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</si>
  <si>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</si>
  <si>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</si>
  <si>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</si>
  <si>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</si>
  <si>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</si>
  <si>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x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</si>
  <si>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</si>
  <si>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</si>
  <si>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</si>
  <si>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</si>
  <si>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</si>
  <si>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</si>
  <si>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</si>
  <si>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</si>
  <si>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</si>
  <si>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</si>
  <si>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</si>
  <si>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</si>
  <si>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</si>
  <si>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Hospitalization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</si>
  <si>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</si>
  <si>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</si>
  <si>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</si>
  <si>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</si>
  <si>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</si>
  <si>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</si>
  <si>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</si>
  <si>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</si>
  <si>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</si>
  <si>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</si>
  <si>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</si>
  <si>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</si>
  <si>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</si>
  <si>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</si>
  <si>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</si>
  <si>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</si>
  <si>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</si>
  <si>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</si>
  <si>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</si>
  <si>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</si>
  <si>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</si>
  <si>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</si>
  <si>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</si>
  <si>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</si>
  <si>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</si>
  <si>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Full supportive care of prematurity</t>
  </si>
  <si>
    <t>45/46</t>
  </si>
  <si>
    <t>68/69</t>
  </si>
  <si>
    <t>Case management of neonatal sepsis/pneumonia</t>
  </si>
  <si>
    <t>Oral antibiotics</t>
  </si>
  <si>
    <t>Injectable antibiotics</t>
  </si>
  <si>
    <t>Full supportive care</t>
  </si>
  <si>
    <t>Early Initiation of Breastfeeding</t>
  </si>
  <si>
    <t>Complementary feeding - Education only</t>
  </si>
  <si>
    <t>Complementary feeding - Supplementary feeding + Education</t>
  </si>
  <si>
    <t>BCG - Single dose</t>
  </si>
  <si>
    <t>Child + Caretaker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</si>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</sst>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8" formatCode="#,##0.0"/>
    <numFmt numFmtId="169" formatCode="0.0%"/>
    <numFmt numFmtId="170" formatCode="0.000%"/>
  </numFmts>
  <fonts count="29">
    <font>
      <sz val="11"/>
      <color theme="1"/>
      <name val="Calibri"/>
      <charset val="134"/>
      <scheme val="minor"/>
    </font>
    <font>
      <sz val="16"/>
      <color rgb="FFFF0000"/>
      <name val="Britannic Bold"/>
      <charset val="134"/>
    </font>
    <font>
      <sz val="16"/>
      <color theme="1"/>
      <name val="Britannic Bold"/>
      <charset val="134"/>
    </font>
    <font>
      <i/>
      <sz val="11"/>
      <color theme="1"/>
      <name val="Calibri"/>
      <charset val="134"/>
      <scheme val="minor"/>
    </font>
    <font>
      <b/>
      <sz val="11"/>
      <color rgb="FFFF0000"/>
      <name val="Century Gothic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b/>
      <i/>
      <sz val="8"/>
      <color theme="0"/>
      <name val="Century Gothic"/>
      <charset val="134"/>
    </font>
    <font>
      <b/>
      <sz val="11"/>
      <color theme="0"/>
      <name val="Century Gothic"/>
      <charset val="134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9"/>
      <color theme="1"/>
      <name val="Century Gothic"/>
      <charset val="134"/>
    </font>
    <font>
      <sz val="8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9"/>
      <color rgb="FF000000"/>
      <name val="Century Gothic"/>
      <charset val="134"/>
    </font>
    <font>
      <b/>
      <sz val="10"/>
      <color theme="0"/>
      <name val="Century Gothic"/>
      <charset val="134"/>
    </font>
    <font>
      <sz val="9"/>
      <name val="Century Gothic"/>
      <charset val="134"/>
    </font>
    <font>
      <sz val="11"/>
      <color rgb="FFFF0000"/>
      <name val="Calibri"/>
      <charset val="134"/>
      <scheme val="minor"/>
    </font>
    <font>
      <sz val="8"/>
      <color rgb="FFFF0000"/>
      <name val="Century Gothic"/>
      <charset val="134"/>
    </font>
    <font>
      <sz val="8"/>
      <color rgb="FFC00000"/>
      <name val="Century Gothic"/>
      <charset val="134"/>
    </font>
    <font>
      <vertAlign val="subscript"/>
      <sz val="9"/>
      <color rgb="FF000000"/>
      <name val="Century Gothic"/>
      <charset val="134"/>
    </font>
    <font>
      <vertAlign val="superscript"/>
      <sz val="9"/>
      <color rgb="FF000000"/>
      <name val="Century Gothic"/>
      <charset val="134"/>
    </font>
    <font>
      <sz val="9"/>
      <name val="Tahoma"/>
      <charset val="134"/>
    </font>
    <font>
      <sz val="11"/>
      <color theme="1"/>
      <name val="Calibri"/>
      <charset val="134"/>
      <scheme val="minor"/>
    </font>
    <font>
      <b/>
      <sz val="8"/>
      <name val="Arial Narrow"/>
      <family val="2"/>
      <charset val="204"/>
    </font>
    <font>
      <b/>
      <sz val="8"/>
      <name val="Century Gothic"/>
      <family val="2"/>
      <charset val="204"/>
    </font>
    <font>
      <b/>
      <sz val="9"/>
      <name val="Century Gothic"/>
      <family val="2"/>
      <charset val="204"/>
    </font>
    <font>
      <sz val="8"/>
      <color rgb="FFFF0000"/>
      <name val="Century Gothic"/>
      <family val="2"/>
      <charset val="204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4">
    <xf numFmtId="0" fontId="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/>
    <xf numFmtId="0" fontId="10" fillId="0" borderId="0"/>
  </cellStyleXfs>
  <cellXfs count="132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0" fillId="0" borderId="0" xfId="0" applyFont="1" applyFill="1" applyAlignment="1"/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Continuous"/>
    </xf>
    <xf numFmtId="0" fontId="6" fillId="2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wrapText="1"/>
    </xf>
    <xf numFmtId="0" fontId="7" fillId="3" borderId="1" xfId="0" applyFont="1" applyFill="1" applyBorder="1" applyAlignment="1">
      <alignment horizontal="center" wrapText="1"/>
    </xf>
    <xf numFmtId="0" fontId="9" fillId="4" borderId="3" xfId="3" applyFont="1" applyFill="1" applyBorder="1" applyAlignment="1">
      <alignment vertical="center"/>
    </xf>
    <xf numFmtId="0" fontId="10" fillId="4" borderId="3" xfId="3" applyFont="1" applyFill="1" applyBorder="1" applyAlignment="1">
      <alignment vertical="center"/>
    </xf>
    <xf numFmtId="3" fontId="11" fillId="0" borderId="4" xfId="0" applyNumberFormat="1" applyFont="1" applyFill="1" applyBorder="1" applyAlignment="1"/>
    <xf numFmtId="168" fontId="11" fillId="0" borderId="4" xfId="0" applyNumberFormat="1" applyFont="1" applyFill="1" applyBorder="1" applyAlignment="1"/>
    <xf numFmtId="0" fontId="9" fillId="5" borderId="3" xfId="3" applyFont="1" applyFill="1" applyBorder="1" applyAlignment="1">
      <alignment vertical="center"/>
    </xf>
    <xf numFmtId="0" fontId="12" fillId="5" borderId="3" xfId="3" applyFont="1" applyFill="1" applyBorder="1" applyAlignment="1">
      <alignment vertical="center"/>
    </xf>
    <xf numFmtId="0" fontId="9" fillId="6" borderId="3" xfId="3" applyFont="1" applyFill="1" applyBorder="1" applyAlignment="1">
      <alignment vertical="center"/>
    </xf>
    <xf numFmtId="0" fontId="12" fillId="6" borderId="3" xfId="3" applyFont="1" applyFill="1" applyBorder="1" applyAlignment="1">
      <alignment vertical="center"/>
    </xf>
    <xf numFmtId="0" fontId="12" fillId="4" borderId="3" xfId="3" applyFont="1" applyFill="1" applyBorder="1" applyAlignment="1">
      <alignment vertical="center"/>
    </xf>
    <xf numFmtId="0" fontId="9" fillId="7" borderId="3" xfId="0" applyFont="1" applyFill="1" applyBorder="1" applyAlignment="1">
      <alignment vertical="center"/>
    </xf>
    <xf numFmtId="0" fontId="12" fillId="7" borderId="3" xfId="0" applyFont="1" applyFill="1" applyBorder="1" applyAlignment="1">
      <alignment vertical="center"/>
    </xf>
    <xf numFmtId="0" fontId="9" fillId="8" borderId="3" xfId="0" applyFont="1" applyFill="1" applyBorder="1" applyAlignment="1">
      <alignment vertical="center"/>
    </xf>
    <xf numFmtId="0" fontId="12" fillId="8" borderId="3" xfId="0" applyFont="1" applyFill="1" applyBorder="1" applyAlignment="1">
      <alignment vertical="center"/>
    </xf>
    <xf numFmtId="0" fontId="9" fillId="9" borderId="3" xfId="0" applyFont="1" applyFill="1" applyBorder="1" applyAlignment="1">
      <alignment vertical="center"/>
    </xf>
    <xf numFmtId="0" fontId="12" fillId="9" borderId="3" xfId="0" applyFont="1" applyFill="1" applyBorder="1" applyAlignment="1">
      <alignment vertical="center"/>
    </xf>
    <xf numFmtId="0" fontId="9" fillId="10" borderId="3" xfId="0" applyFont="1" applyFill="1" applyBorder="1" applyAlignment="1">
      <alignment vertical="center" wrapText="1"/>
    </xf>
    <xf numFmtId="0" fontId="12" fillId="10" borderId="3" xfId="0" applyFont="1" applyFill="1" applyBorder="1" applyAlignment="1">
      <alignment vertical="center" wrapText="1"/>
    </xf>
    <xf numFmtId="0" fontId="9" fillId="11" borderId="3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/>
    </xf>
    <xf numFmtId="0" fontId="10" fillId="4" borderId="6" xfId="0" applyFont="1" applyFill="1" applyBorder="1" applyAlignment="1">
      <alignment vertical="center"/>
    </xf>
    <xf numFmtId="0" fontId="10" fillId="4" borderId="4" xfId="0" applyFont="1" applyFill="1" applyBorder="1" applyAlignment="1">
      <alignment vertical="center"/>
    </xf>
    <xf numFmtId="0" fontId="10" fillId="4" borderId="5" xfId="0" applyFont="1" applyFill="1" applyBorder="1" applyAlignment="1">
      <alignment vertical="center"/>
    </xf>
    <xf numFmtId="0" fontId="13" fillId="5" borderId="5" xfId="2" applyFont="1" applyFill="1" applyBorder="1"/>
    <xf numFmtId="3" fontId="11" fillId="12" borderId="4" xfId="0" applyNumberFormat="1" applyFont="1" applyFill="1" applyBorder="1" applyAlignment="1"/>
    <xf numFmtId="3" fontId="11" fillId="13" borderId="4" xfId="0" applyNumberFormat="1" applyFont="1" applyFill="1" applyBorder="1" applyAlignment="1"/>
    <xf numFmtId="168" fontId="11" fillId="12" borderId="4" xfId="0" applyNumberFormat="1" applyFont="1" applyFill="1" applyBorder="1" applyAlignment="1"/>
    <xf numFmtId="0" fontId="13" fillId="13" borderId="5" xfId="2" applyFont="1" applyFill="1" applyBorder="1"/>
    <xf numFmtId="0" fontId="10" fillId="13" borderId="9" xfId="0" applyFont="1" applyFill="1" applyBorder="1" applyAlignment="1"/>
    <xf numFmtId="0" fontId="13" fillId="13" borderId="9" xfId="2" applyFont="1" applyFill="1" applyBorder="1"/>
    <xf numFmtId="0" fontId="10" fillId="13" borderId="5" xfId="0" applyFont="1" applyFill="1" applyBorder="1" applyAlignment="1"/>
    <xf numFmtId="0" fontId="10" fillId="4" borderId="9" xfId="0" applyFont="1" applyFill="1" applyBorder="1" applyAlignment="1"/>
    <xf numFmtId="0" fontId="13" fillId="4" borderId="9" xfId="2" applyFont="1" applyFill="1" applyBorder="1"/>
    <xf numFmtId="0" fontId="10" fillId="4" borderId="5" xfId="0" applyFont="1" applyFill="1" applyBorder="1" applyAlignment="1">
      <alignment horizontal="left"/>
    </xf>
    <xf numFmtId="0" fontId="14" fillId="4" borderId="9" xfId="0" applyFont="1" applyFill="1" applyBorder="1" applyAlignment="1"/>
    <xf numFmtId="0" fontId="14" fillId="4" borderId="5" xfId="0" applyFont="1" applyFill="1" applyBorder="1" applyAlignment="1"/>
    <xf numFmtId="0" fontId="10" fillId="4" borderId="5" xfId="0" applyFont="1" applyFill="1" applyBorder="1" applyAlignment="1"/>
    <xf numFmtId="0" fontId="13" fillId="7" borderId="10" xfId="2" applyFont="1" applyFill="1" applyBorder="1"/>
    <xf numFmtId="0" fontId="13" fillId="7" borderId="5" xfId="2" applyFont="1" applyFill="1" applyBorder="1"/>
    <xf numFmtId="0" fontId="15" fillId="0" borderId="0" xfId="0" applyFont="1" applyFill="1" applyAlignment="1">
      <alignment vertical="center"/>
    </xf>
    <xf numFmtId="9" fontId="11" fillId="0" borderId="4" xfId="1" applyFont="1" applyBorder="1" applyAlignment="1"/>
    <xf numFmtId="169" fontId="17" fillId="15" borderId="4" xfId="1" applyNumberFormat="1" applyFont="1" applyFill="1" applyBorder="1" applyAlignment="1">
      <alignment vertical="center"/>
    </xf>
    <xf numFmtId="169" fontId="11" fillId="0" borderId="4" xfId="1" applyNumberFormat="1" applyFont="1" applyFill="1" applyBorder="1" applyAlignment="1">
      <alignment vertical="center"/>
    </xf>
    <xf numFmtId="10" fontId="17" fillId="15" borderId="4" xfId="1" applyNumberFormat="1" applyFont="1" applyFill="1" applyBorder="1" applyAlignment="1">
      <alignment vertical="center"/>
    </xf>
    <xf numFmtId="169" fontId="17" fillId="12" borderId="4" xfId="1" applyNumberFormat="1" applyFont="1" applyFill="1" applyBorder="1" applyAlignment="1">
      <alignment vertical="center"/>
    </xf>
    <xf numFmtId="10" fontId="17" fillId="12" borderId="4" xfId="1" applyNumberFormat="1" applyFont="1" applyFill="1" applyBorder="1" applyAlignment="1">
      <alignment vertical="center"/>
    </xf>
    <xf numFmtId="169" fontId="17" fillId="8" borderId="4" xfId="1" applyNumberFormat="1" applyFont="1" applyFill="1" applyBorder="1" applyAlignment="1">
      <alignment vertical="center"/>
    </xf>
    <xf numFmtId="3" fontId="11" fillId="8" borderId="4" xfId="0" applyNumberFormat="1" applyFont="1" applyFill="1" applyBorder="1" applyAlignment="1"/>
    <xf numFmtId="168" fontId="11" fillId="8" borderId="4" xfId="0" applyNumberFormat="1" applyFont="1" applyFill="1" applyBorder="1" applyAlignment="1"/>
    <xf numFmtId="10" fontId="17" fillId="8" borderId="4" xfId="1" applyNumberFormat="1" applyFont="1" applyFill="1" applyBorder="1" applyAlignment="1">
      <alignment vertical="center"/>
    </xf>
    <xf numFmtId="170" fontId="17" fillId="15" borderId="4" xfId="1" applyNumberFormat="1" applyFont="1" applyFill="1" applyBorder="1" applyAlignment="1">
      <alignment vertical="center"/>
    </xf>
    <xf numFmtId="9" fontId="11" fillId="12" borderId="4" xfId="1" applyFont="1" applyFill="1" applyBorder="1" applyAlignment="1"/>
    <xf numFmtId="0" fontId="19" fillId="0" borderId="0" xfId="0" applyFont="1" applyFill="1" applyAlignment="1"/>
    <xf numFmtId="10" fontId="17" fillId="6" borderId="4" xfId="1" applyNumberFormat="1" applyFont="1" applyFill="1" applyBorder="1" applyAlignment="1">
      <alignment vertical="center"/>
    </xf>
    <xf numFmtId="0" fontId="20" fillId="0" borderId="0" xfId="0" applyFont="1" applyFill="1" applyAlignment="1"/>
    <xf numFmtId="0" fontId="10" fillId="7" borderId="9" xfId="0" applyFont="1" applyFill="1" applyBorder="1" applyAlignment="1"/>
    <xf numFmtId="0" fontId="10" fillId="7" borderId="5" xfId="0" applyFont="1" applyFill="1" applyBorder="1" applyAlignment="1"/>
    <xf numFmtId="0" fontId="10" fillId="8" borderId="9" xfId="0" applyFont="1" applyFill="1" applyBorder="1" applyAlignment="1"/>
    <xf numFmtId="0" fontId="10" fillId="8" borderId="5" xfId="0" applyFont="1" applyFill="1" applyBorder="1" applyAlignment="1"/>
    <xf numFmtId="0" fontId="14" fillId="8" borderId="5" xfId="0" applyFont="1" applyFill="1" applyBorder="1" applyAlignment="1"/>
    <xf numFmtId="0" fontId="10" fillId="9" borderId="9" xfId="0" applyFont="1" applyFill="1" applyBorder="1" applyAlignment="1"/>
    <xf numFmtId="0" fontId="10" fillId="9" borderId="5" xfId="0" applyFont="1" applyFill="1" applyBorder="1" applyAlignment="1"/>
    <xf numFmtId="3" fontId="11" fillId="9" borderId="4" xfId="0" applyNumberFormat="1" applyFont="1" applyFill="1" applyBorder="1" applyAlignment="1"/>
    <xf numFmtId="168" fontId="11" fillId="9" borderId="4" xfId="0" applyNumberFormat="1" applyFont="1" applyFill="1" applyBorder="1" applyAlignment="1"/>
    <xf numFmtId="0" fontId="10" fillId="9" borderId="5" xfId="0" applyFont="1" applyFill="1" applyBorder="1" applyAlignment="1">
      <alignment horizontal="left"/>
    </xf>
    <xf numFmtId="0" fontId="10" fillId="10" borderId="9" xfId="0" applyFont="1" applyFill="1" applyBorder="1" applyAlignment="1"/>
    <xf numFmtId="0" fontId="10" fillId="10" borderId="5" xfId="0" applyFont="1" applyFill="1" applyBorder="1" applyAlignment="1">
      <alignment horizontal="left"/>
    </xf>
    <xf numFmtId="3" fontId="11" fillId="10" borderId="4" xfId="0" applyNumberFormat="1" applyFont="1" applyFill="1" applyBorder="1" applyAlignment="1"/>
    <xf numFmtId="168" fontId="11" fillId="10" borderId="4" xfId="0" applyNumberFormat="1" applyFont="1" applyFill="1" applyBorder="1" applyAlignment="1"/>
    <xf numFmtId="0" fontId="13" fillId="18" borderId="9" xfId="2" applyFont="1" applyFill="1" applyBorder="1"/>
    <xf numFmtId="0" fontId="10" fillId="18" borderId="9" xfId="0" applyFont="1" applyFill="1" applyBorder="1" applyAlignment="1"/>
    <xf numFmtId="0" fontId="9" fillId="11" borderId="5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/>
    <xf numFmtId="3" fontId="11" fillId="11" borderId="4" xfId="0" applyNumberFormat="1" applyFont="1" applyFill="1" applyBorder="1" applyAlignment="1"/>
    <xf numFmtId="168" fontId="11" fillId="11" borderId="4" xfId="0" applyNumberFormat="1" applyFont="1" applyFill="1" applyBorder="1" applyAlignment="1"/>
    <xf numFmtId="9" fontId="11" fillId="8" borderId="4" xfId="1" applyFont="1" applyFill="1" applyBorder="1" applyAlignment="1"/>
    <xf numFmtId="9" fontId="11" fillId="9" borderId="4" xfId="1" applyFont="1" applyFill="1" applyBorder="1" applyAlignment="1"/>
    <xf numFmtId="169" fontId="17" fillId="9" borderId="4" xfId="1" applyNumberFormat="1" applyFont="1" applyFill="1" applyBorder="1" applyAlignment="1">
      <alignment vertical="center"/>
    </xf>
    <xf numFmtId="10" fontId="17" fillId="9" borderId="4" xfId="1" applyNumberFormat="1" applyFont="1" applyFill="1" applyBorder="1" applyAlignment="1">
      <alignment vertical="center"/>
    </xf>
    <xf numFmtId="9" fontId="11" fillId="10" borderId="4" xfId="1" applyFont="1" applyFill="1" applyBorder="1" applyAlignment="1"/>
    <xf numFmtId="169" fontId="17" fillId="10" borderId="4" xfId="1" applyNumberFormat="1" applyFont="1" applyFill="1" applyBorder="1" applyAlignment="1">
      <alignment vertical="center"/>
    </xf>
    <xf numFmtId="10" fontId="17" fillId="10" borderId="4" xfId="1" applyNumberFormat="1" applyFont="1" applyFill="1" applyBorder="1" applyAlignment="1">
      <alignment vertical="center"/>
    </xf>
    <xf numFmtId="9" fontId="11" fillId="11" borderId="4" xfId="1" applyFont="1" applyFill="1" applyBorder="1" applyAlignment="1"/>
    <xf numFmtId="169" fontId="17" fillId="11" borderId="4" xfId="1" applyNumberFormat="1" applyFont="1" applyFill="1" applyBorder="1" applyAlignment="1">
      <alignment vertical="center"/>
    </xf>
    <xf numFmtId="10" fontId="17" fillId="11" borderId="4" xfId="1" applyNumberFormat="1" applyFont="1" applyFill="1" applyBorder="1" applyAlignment="1">
      <alignment vertical="center"/>
    </xf>
    <xf numFmtId="0" fontId="16" fillId="3" borderId="12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6" fillId="14" borderId="13" xfId="0" applyFont="1" applyFill="1" applyBorder="1" applyAlignment="1">
      <alignment horizontal="center"/>
    </xf>
    <xf numFmtId="0" fontId="16" fillId="16" borderId="13" xfId="0" applyFont="1" applyFill="1" applyBorder="1" applyAlignment="1">
      <alignment horizontal="center"/>
    </xf>
    <xf numFmtId="0" fontId="16" fillId="17" borderId="13" xfId="0" applyFont="1" applyFill="1" applyBorder="1" applyAlignment="1">
      <alignment horizontal="center" wrapText="1"/>
    </xf>
    <xf numFmtId="0" fontId="16" fillId="2" borderId="13" xfId="0" applyFont="1" applyFill="1" applyBorder="1" applyAlignment="1">
      <alignment horizontal="center" wrapText="1"/>
    </xf>
    <xf numFmtId="0" fontId="9" fillId="4" borderId="4" xfId="3" applyFont="1" applyFill="1" applyBorder="1" applyAlignment="1">
      <alignment horizontal="center" vertical="center"/>
    </xf>
    <xf numFmtId="0" fontId="9" fillId="4" borderId="5" xfId="3" applyFont="1" applyFill="1" applyBorder="1" applyAlignment="1">
      <alignment horizontal="center" vertical="center"/>
    </xf>
    <xf numFmtId="0" fontId="9" fillId="5" borderId="7" xfId="3" applyFont="1" applyFill="1" applyBorder="1" applyAlignment="1">
      <alignment horizontal="center" vertical="center"/>
    </xf>
    <xf numFmtId="0" fontId="9" fillId="5" borderId="8" xfId="3" applyFont="1" applyFill="1" applyBorder="1" applyAlignment="1">
      <alignment horizontal="center" vertical="center"/>
    </xf>
    <xf numFmtId="0" fontId="9" fillId="5" borderId="4" xfId="3" applyFont="1" applyFill="1" applyBorder="1" applyAlignment="1">
      <alignment horizontal="center" vertical="center"/>
    </xf>
    <xf numFmtId="0" fontId="9" fillId="13" borderId="7" xfId="3" applyFont="1" applyFill="1" applyBorder="1" applyAlignment="1">
      <alignment horizontal="left" vertical="center"/>
    </xf>
    <xf numFmtId="0" fontId="9" fillId="13" borderId="8" xfId="3" applyFont="1" applyFill="1" applyBorder="1" applyAlignment="1">
      <alignment horizontal="left" vertical="center"/>
    </xf>
    <xf numFmtId="0" fontId="9" fillId="13" borderId="4" xfId="3" applyFont="1" applyFill="1" applyBorder="1" applyAlignment="1">
      <alignment horizontal="left" vertical="center"/>
    </xf>
    <xf numFmtId="0" fontId="9" fillId="4" borderId="7" xfId="3" applyFont="1" applyFill="1" applyBorder="1" applyAlignment="1">
      <alignment horizontal="center" vertical="center"/>
    </xf>
    <xf numFmtId="0" fontId="9" fillId="4" borderId="8" xfId="3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center" vertical="center" wrapText="1"/>
    </xf>
    <xf numFmtId="0" fontId="4" fillId="19" borderId="0" xfId="0" applyFont="1" applyFill="1" applyAlignment="1"/>
    <xf numFmtId="0" fontId="2" fillId="19" borderId="0" xfId="0" applyFont="1" applyFill="1" applyAlignment="1"/>
    <xf numFmtId="0" fontId="5" fillId="19" borderId="0" xfId="0" applyFont="1" applyFill="1" applyAlignment="1">
      <alignment horizontal="centerContinuous"/>
    </xf>
    <xf numFmtId="0" fontId="25" fillId="20" borderId="0" xfId="0" applyFont="1" applyFill="1" applyAlignment="1">
      <alignment horizontal="center" vertical="center" wrapText="1"/>
    </xf>
    <xf numFmtId="0" fontId="26" fillId="20" borderId="1" xfId="0" applyFont="1" applyFill="1" applyBorder="1" applyAlignment="1">
      <alignment horizontal="center" vertical="center" wrapText="1"/>
    </xf>
    <xf numFmtId="0" fontId="18" fillId="19" borderId="0" xfId="0" applyFont="1" applyFill="1" applyAlignment="1"/>
    <xf numFmtId="0" fontId="19" fillId="19" borderId="0" xfId="0" applyFont="1" applyFill="1" applyAlignment="1"/>
    <xf numFmtId="0" fontId="15" fillId="19" borderId="5" xfId="0" applyFont="1" applyFill="1" applyBorder="1" applyAlignment="1">
      <alignment vertical="center"/>
    </xf>
    <xf numFmtId="0" fontId="26" fillId="20" borderId="1" xfId="0" applyFont="1" applyFill="1" applyBorder="1" applyAlignment="1">
      <alignment horizontal="center" wrapText="1"/>
    </xf>
    <xf numFmtId="0" fontId="27" fillId="20" borderId="2" xfId="0" applyFont="1" applyFill="1" applyBorder="1" applyAlignment="1">
      <alignment horizontal="center"/>
    </xf>
    <xf numFmtId="0" fontId="27" fillId="20" borderId="2" xfId="0" applyFont="1" applyFill="1" applyBorder="1" applyAlignment="1">
      <alignment horizontal="center" wrapText="1"/>
    </xf>
    <xf numFmtId="0" fontId="27" fillId="20" borderId="11" xfId="0" applyFont="1" applyFill="1" applyBorder="1" applyAlignment="1">
      <alignment horizontal="center" wrapText="1"/>
    </xf>
    <xf numFmtId="0" fontId="6" fillId="19" borderId="0" xfId="0" applyFont="1" applyFill="1" applyAlignment="1">
      <alignment horizontal="center" vertical="center" wrapText="1"/>
    </xf>
    <xf numFmtId="0" fontId="8" fillId="19" borderId="0" xfId="0" applyFont="1" applyFill="1" applyAlignment="1">
      <alignment wrapText="1"/>
    </xf>
    <xf numFmtId="0" fontId="7" fillId="19" borderId="0" xfId="0" applyFont="1" applyFill="1" applyAlignment="1">
      <alignment horizontal="center" wrapText="1"/>
    </xf>
    <xf numFmtId="0" fontId="6" fillId="19" borderId="0" xfId="0" applyFont="1" applyFill="1" applyAlignment="1">
      <alignment horizontal="center" wrapText="1"/>
    </xf>
    <xf numFmtId="0" fontId="6" fillId="19" borderId="0" xfId="0" applyFont="1" applyFill="1" applyAlignment="1">
      <alignment horizontal="centerContinuous" wrapText="1"/>
    </xf>
    <xf numFmtId="9" fontId="6" fillId="19" borderId="0" xfId="1" applyFont="1" applyFill="1" applyAlignment="1">
      <alignment horizontal="center" wrapText="1"/>
    </xf>
    <xf numFmtId="0" fontId="28" fillId="19" borderId="0" xfId="0" applyFont="1" applyFill="1" applyAlignment="1"/>
  </cellXfs>
  <cellStyles count="4">
    <cellStyle name="Normal 14" xfId="2"/>
    <cellStyle name="Normal 2" xfId="3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>
        <row r="5">
          <cell r="BY5">
            <v>1</v>
          </cell>
          <cell r="BZ5">
            <v>2</v>
          </cell>
          <cell r="CA5">
            <v>3</v>
          </cell>
          <cell r="CB5">
            <v>4</v>
          </cell>
          <cell r="CC5">
            <v>5</v>
          </cell>
          <cell r="CD5">
            <v>6</v>
          </cell>
          <cell r="CE5">
            <v>7</v>
          </cell>
          <cell r="CF5">
            <v>8</v>
          </cell>
          <cell r="CG5">
            <v>9</v>
          </cell>
          <cell r="CH5">
            <v>10</v>
          </cell>
          <cell r="CI5">
            <v>11</v>
          </cell>
          <cell r="CJ5">
            <v>12</v>
          </cell>
          <cell r="CK5">
            <v>13</v>
          </cell>
          <cell r="CL5">
            <v>14</v>
          </cell>
          <cell r="CM5">
            <v>15</v>
          </cell>
          <cell r="CN5">
            <v>16</v>
          </cell>
          <cell r="CO5">
            <v>17</v>
          </cell>
          <cell r="CP5">
            <v>18</v>
          </cell>
          <cell r="CQ5">
            <v>19</v>
          </cell>
          <cell r="CR5">
            <v>20</v>
          </cell>
          <cell r="CS5">
            <v>21</v>
          </cell>
          <cell r="CT5">
            <v>22</v>
          </cell>
          <cell r="CU5">
            <v>23</v>
          </cell>
          <cell r="CV5">
            <v>24</v>
          </cell>
          <cell r="CW5">
            <v>25</v>
          </cell>
          <cell r="CX5">
            <v>26</v>
          </cell>
          <cell r="CY5">
            <v>27</v>
          </cell>
          <cell r="CZ5">
            <v>28</v>
          </cell>
          <cell r="DA5">
            <v>29</v>
          </cell>
          <cell r="DB5">
            <v>30</v>
          </cell>
          <cell r="DC5">
            <v>31</v>
          </cell>
          <cell r="DD5">
            <v>32</v>
          </cell>
          <cell r="DE5">
            <v>33</v>
          </cell>
          <cell r="DF5">
            <v>34</v>
          </cell>
          <cell r="DG5">
            <v>35</v>
          </cell>
          <cell r="DH5">
            <v>36</v>
          </cell>
          <cell r="DI5">
            <v>37</v>
          </cell>
          <cell r="DJ5">
            <v>38</v>
          </cell>
          <cell r="DK5">
            <v>39</v>
          </cell>
          <cell r="DL5">
            <v>40</v>
          </cell>
          <cell r="DM5">
            <v>41</v>
          </cell>
          <cell r="DN5">
            <v>42</v>
          </cell>
          <cell r="DO5">
            <v>43</v>
          </cell>
          <cell r="DP5">
            <v>44</v>
          </cell>
          <cell r="DQ5">
            <v>45</v>
          </cell>
          <cell r="DR5">
            <v>46</v>
          </cell>
          <cell r="DS5">
            <v>47</v>
          </cell>
          <cell r="DT5">
            <v>48</v>
          </cell>
          <cell r="DU5">
            <v>49</v>
          </cell>
          <cell r="DV5">
            <v>50</v>
          </cell>
          <cell r="DW5">
            <v>51</v>
          </cell>
          <cell r="DX5">
            <v>52</v>
          </cell>
          <cell r="DY5">
            <v>53</v>
          </cell>
          <cell r="DZ5">
            <v>54</v>
          </cell>
          <cell r="EA5">
            <v>55</v>
          </cell>
          <cell r="EB5">
            <v>56</v>
          </cell>
          <cell r="EC5">
            <v>57</v>
          </cell>
          <cell r="ED5">
            <v>58</v>
          </cell>
          <cell r="EE5">
            <v>59</v>
          </cell>
          <cell r="EF5">
            <v>60</v>
          </cell>
          <cell r="EG5">
            <v>61</v>
          </cell>
          <cell r="EH5">
            <v>62</v>
          </cell>
          <cell r="EI5">
            <v>63</v>
          </cell>
          <cell r="EJ5">
            <v>64</v>
          </cell>
          <cell r="EK5">
            <v>65</v>
          </cell>
          <cell r="EL5">
            <v>66</v>
          </cell>
          <cell r="EM5">
            <v>67</v>
          </cell>
          <cell r="EN5">
            <v>68</v>
          </cell>
          <cell r="EO5">
            <v>69</v>
          </cell>
          <cell r="EP5">
            <v>70</v>
          </cell>
          <cell r="EQ5">
            <v>71</v>
          </cell>
          <cell r="ES5">
            <v>1</v>
          </cell>
          <cell r="ET5">
            <v>2</v>
          </cell>
          <cell r="EU5">
            <v>3</v>
          </cell>
          <cell r="EV5">
            <v>4</v>
          </cell>
          <cell r="EW5">
            <v>5</v>
          </cell>
          <cell r="EX5">
            <v>6</v>
          </cell>
          <cell r="EY5">
            <v>7</v>
          </cell>
          <cell r="EZ5">
            <v>8</v>
          </cell>
          <cell r="FA5">
            <v>9</v>
          </cell>
          <cell r="FB5">
            <v>10</v>
          </cell>
          <cell r="FC5">
            <v>11</v>
          </cell>
          <cell r="FD5">
            <v>12</v>
          </cell>
          <cell r="FE5">
            <v>13</v>
          </cell>
          <cell r="FF5">
            <v>14</v>
          </cell>
          <cell r="FG5">
            <v>15</v>
          </cell>
          <cell r="FH5">
            <v>16</v>
          </cell>
          <cell r="FI5">
            <v>17</v>
          </cell>
          <cell r="FJ5">
            <v>18</v>
          </cell>
          <cell r="FK5">
            <v>19</v>
          </cell>
          <cell r="FL5">
            <v>20</v>
          </cell>
          <cell r="FM5">
            <v>21</v>
          </cell>
          <cell r="FN5">
            <v>22</v>
          </cell>
          <cell r="FO5">
            <v>23</v>
          </cell>
          <cell r="FP5">
            <v>24</v>
          </cell>
          <cell r="FQ5">
            <v>25</v>
          </cell>
          <cell r="FR5">
            <v>26</v>
          </cell>
          <cell r="FS5">
            <v>27</v>
          </cell>
          <cell r="FT5">
            <v>28</v>
          </cell>
          <cell r="FU5">
            <v>29</v>
          </cell>
          <cell r="FV5">
            <v>30</v>
          </cell>
          <cell r="FW5">
            <v>31</v>
          </cell>
          <cell r="FX5">
            <v>32</v>
          </cell>
          <cell r="FY5">
            <v>33</v>
          </cell>
          <cell r="FZ5">
            <v>34</v>
          </cell>
          <cell r="GA5">
            <v>35</v>
          </cell>
          <cell r="GB5">
            <v>36</v>
          </cell>
          <cell r="GC5">
            <v>37</v>
          </cell>
          <cell r="GD5">
            <v>38</v>
          </cell>
          <cell r="GE5">
            <v>39</v>
          </cell>
          <cell r="GF5">
            <v>40</v>
          </cell>
          <cell r="GG5">
            <v>41</v>
          </cell>
          <cell r="GH5">
            <v>42</v>
          </cell>
          <cell r="GI5">
            <v>43</v>
          </cell>
          <cell r="GJ5">
            <v>44</v>
          </cell>
          <cell r="GK5">
            <v>45</v>
          </cell>
          <cell r="GL5">
            <v>46</v>
          </cell>
          <cell r="GM5">
            <v>47</v>
          </cell>
          <cell r="GN5">
            <v>48</v>
          </cell>
          <cell r="GO5">
            <v>49</v>
          </cell>
          <cell r="GP5">
            <v>50</v>
          </cell>
          <cell r="GQ5">
            <v>51</v>
          </cell>
          <cell r="GR5">
            <v>52</v>
          </cell>
          <cell r="GS5">
            <v>53</v>
          </cell>
          <cell r="GT5">
            <v>54</v>
          </cell>
          <cell r="GU5">
            <v>55</v>
          </cell>
          <cell r="GV5">
            <v>56</v>
          </cell>
          <cell r="GW5">
            <v>57</v>
          </cell>
          <cell r="GX5">
            <v>58</v>
          </cell>
          <cell r="GY5">
            <v>59</v>
          </cell>
          <cell r="GZ5">
            <v>60</v>
          </cell>
          <cell r="HA5">
            <v>61</v>
          </cell>
          <cell r="HB5">
            <v>62</v>
          </cell>
          <cell r="HC5">
            <v>63</v>
          </cell>
          <cell r="HD5">
            <v>64</v>
          </cell>
          <cell r="HE5">
            <v>65</v>
          </cell>
          <cell r="HF5">
            <v>66</v>
          </cell>
          <cell r="HG5">
            <v>67</v>
          </cell>
          <cell r="HH5">
            <v>68</v>
          </cell>
          <cell r="HI5">
            <v>69</v>
          </cell>
          <cell r="HJ5">
            <v>70</v>
          </cell>
          <cell r="HK5">
            <v>71</v>
          </cell>
        </row>
        <row r="6">
          <cell r="BY6" t="str">
            <v>FP - Pills</v>
          </cell>
          <cell r="BZ6" t="str">
            <v>FP - Condoms</v>
          </cell>
          <cell r="CA6" t="str">
            <v>FP - Injectables</v>
          </cell>
          <cell r="CB6" t="str">
            <v>FP - Implants</v>
          </cell>
          <cell r="CC6" t="str">
            <v>FP - IUD</v>
          </cell>
          <cell r="CD6" t="str">
            <v>FP - Female Sterilization</v>
          </cell>
          <cell r="CE6" t="str">
            <v>FP - Male Sterilization</v>
          </cell>
          <cell r="CF6" t="str">
            <v>FP - Traditional Methods</v>
          </cell>
          <cell r="CG6" t="str">
            <v>Antenatal care (at least 1 visit)</v>
          </cell>
          <cell r="CH6" t="str">
            <v>Antenatal care (at least 4 visits)</v>
          </cell>
          <cell r="CI6" t="str">
            <v>TT - Tetanus toxoid vaccination</v>
          </cell>
          <cell r="CJ6" t="str">
            <v>IPTp - Intermittent preventive treatment of malaria during pregnancy</v>
          </cell>
          <cell r="CK6" t="str">
            <v>Syphilis detection and treatment</v>
          </cell>
          <cell r="CL6" t="str">
            <v>Calcium supplementation</v>
          </cell>
          <cell r="CM6" t="str">
            <v>Iron and folate supplementation in pregnancy</v>
          </cell>
          <cell r="CN6" t="str">
            <v>Multiple micronutrient supplementation in pregnancy</v>
          </cell>
          <cell r="CO6" t="str">
            <v>Balanced energy supplementation</v>
          </cell>
          <cell r="CP6" t="str">
            <v>Hypertensive disorder case management</v>
          </cell>
          <cell r="CQ6" t="str">
            <v>Diabetes case management</v>
          </cell>
          <cell r="CR6" t="str">
            <v>Malaria case management</v>
          </cell>
          <cell r="CS6" t="str">
            <v>MgSO4 management of pre-eclampsia</v>
          </cell>
          <cell r="CT6" t="str">
            <v>Health Facility Delivery</v>
          </cell>
          <cell r="CU6" t="str">
            <v>Clean birth environment</v>
          </cell>
          <cell r="CV6" t="str">
            <v>Manual removal of placenta</v>
          </cell>
          <cell r="CW6" t="str">
            <v>MgSO4 management of eclampsia</v>
          </cell>
          <cell r="CX6" t="str">
            <v>Antibiotics for preterm or prolonged PROM</v>
          </cell>
          <cell r="CY6" t="str">
            <v>Parenteral administration of antibiotics</v>
          </cell>
          <cell r="CZ6" t="str">
            <v>Assisted vaginal delivery</v>
          </cell>
          <cell r="DA6" t="str">
            <v>Active management of third stage of labor (AMTSL)</v>
          </cell>
          <cell r="DB6" t="str">
            <v>Removal of retained products of conception</v>
          </cell>
          <cell r="DC6" t="str">
            <v>Induction of labor for pregnancies lasting 41+ weeks</v>
          </cell>
          <cell r="DD6" t="str">
            <v>Antenatal corticosteroids for preterm labor</v>
          </cell>
          <cell r="DE6" t="str">
            <v>Maternal sepsis case management</v>
          </cell>
          <cell r="DF6" t="str">
            <v>Safe abortion services</v>
          </cell>
          <cell r="DG6" t="str">
            <v>Post abortion case management</v>
          </cell>
          <cell r="DH6" t="str">
            <v>Cesarean delivery</v>
          </cell>
          <cell r="DI6" t="str">
            <v>Blood transfusion</v>
          </cell>
          <cell r="DJ6" t="str">
            <v>Ectopic pregnancy case management</v>
          </cell>
          <cell r="DK6" t="str">
            <v>Immediate drying and additional stimulation</v>
          </cell>
          <cell r="DL6" t="str">
            <v>Thermal protection</v>
          </cell>
          <cell r="DM6" t="str">
            <v>Clean cord care</v>
          </cell>
          <cell r="DN6" t="str">
            <v>Neonatal resuscitation</v>
          </cell>
          <cell r="DO6" t="str">
            <v>Kangaroo-Mother Care (KMC)</v>
          </cell>
          <cell r="DP6" t="str">
            <v>Full supportive care of prematurity</v>
          </cell>
          <cell r="DQ6" t="str">
            <v>Oral antibiotics for neonatal sepsis</v>
          </cell>
          <cell r="DR6" t="str">
            <v>Injectable antibiotics for neonatal sepsis</v>
          </cell>
          <cell r="DS6" t="str">
            <v>Full supportive care for neonatal sepsis/pneumonia</v>
          </cell>
          <cell r="DT6" t="str">
            <v>Breastfeeding</v>
          </cell>
          <cell r="DU6" t="str">
            <v>Complementary feeding - Education only</v>
          </cell>
          <cell r="DV6" t="str">
            <v>Complementary feeding - Supplementary feeding + Education</v>
          </cell>
          <cell r="DW6" t="str">
            <v>BCG - Single dose</v>
          </cell>
          <cell r="DX6" t="str">
            <v>Polio - Three doses</v>
          </cell>
          <cell r="DY6" t="str">
            <v>DPT - Three doses</v>
          </cell>
          <cell r="DZ6" t="str">
            <v>Hib - Three doses</v>
          </cell>
          <cell r="EA6" t="str">
            <v>HepB - Three doses</v>
          </cell>
          <cell r="EB6" t="str">
            <v>Pneumococcal - Three doses</v>
          </cell>
          <cell r="EC6" t="str">
            <v>Rotavirus - Two doses</v>
          </cell>
          <cell r="ED6" t="str">
            <v>Meningococcal A - Single dose</v>
          </cell>
          <cell r="EE6" t="str">
            <v>Malaria vaccine - Three doses</v>
          </cell>
          <cell r="EF6" t="str">
            <v>Measles - Single dose</v>
          </cell>
          <cell r="EG6" t="str">
            <v>Vitamin A supplementation</v>
          </cell>
          <cell r="EH6" t="str">
            <v>Zinc supplementation</v>
          </cell>
          <cell r="EI6" t="str">
            <v>ORS - Oral Rehydration Solution</v>
          </cell>
          <cell r="EJ6" t="str">
            <v>Antibiotics for treatment of dysentery</v>
          </cell>
          <cell r="EK6" t="str">
            <v>Zinc for treatment of diarrhea</v>
          </cell>
          <cell r="EL6" t="str">
            <v>Oral antibiotics for pneumonia</v>
          </cell>
          <cell r="EM6" t="str">
            <v>Vitamin A for treatment of measles</v>
          </cell>
          <cell r="EN6" t="str">
            <v>ACTs - Artemisinin compounds for treatment of malaria</v>
          </cell>
          <cell r="EO6" t="str">
            <v>SAM - treatment for severe acute malnutrition</v>
          </cell>
          <cell r="EP6" t="str">
            <v>MAM - treatment for moderate acute malnutrition</v>
          </cell>
          <cell r="EQ6" t="str">
            <v>ITN/IRS - Households protected from malaria</v>
          </cell>
          <cell r="ES6" t="str">
            <v>FP - Pills</v>
          </cell>
          <cell r="ET6" t="str">
            <v>FP - Condoms</v>
          </cell>
          <cell r="EU6" t="str">
            <v>FP - Injectables</v>
          </cell>
          <cell r="EV6" t="str">
            <v>FP - Implants</v>
          </cell>
          <cell r="EW6" t="str">
            <v>FP - IUD</v>
          </cell>
          <cell r="EX6" t="str">
            <v>FP - Female Sterilization</v>
          </cell>
          <cell r="EY6" t="str">
            <v>FP - Male Sterilization</v>
          </cell>
          <cell r="EZ6" t="str">
            <v>FP - Traditional Methods</v>
          </cell>
          <cell r="FA6" t="str">
            <v>Antenatal care (at least 1 visit)</v>
          </cell>
          <cell r="FB6" t="str">
            <v>Antenatal care (at least 4 visits)</v>
          </cell>
          <cell r="FC6" t="str">
            <v>TT - Tetanus toxoid vaccination</v>
          </cell>
          <cell r="FD6" t="str">
            <v>IPTp - Intermittent preventive treatment of malaria during pregnancy</v>
          </cell>
          <cell r="FE6" t="str">
            <v>Syphilis detection and treatment</v>
          </cell>
          <cell r="FF6" t="str">
            <v>Calcium supplementation</v>
          </cell>
          <cell r="FG6" t="str">
            <v>Iron and folate supplementation in pregnancy</v>
          </cell>
          <cell r="FH6" t="str">
            <v>Multiple micronutrient supplementation in pregnancy</v>
          </cell>
          <cell r="FI6" t="str">
            <v>Balanced energy supplementation</v>
          </cell>
          <cell r="FJ6" t="str">
            <v>Hypertensive disorder case management</v>
          </cell>
          <cell r="FK6" t="str">
            <v>Diabetes case management</v>
          </cell>
          <cell r="FL6" t="str">
            <v>Malaria case management</v>
          </cell>
          <cell r="FM6" t="str">
            <v>MgSO4 management of pre-eclampsia</v>
          </cell>
          <cell r="FN6" t="str">
            <v>Health Facility Delivery</v>
          </cell>
          <cell r="FO6" t="str">
            <v>Clean birth environment</v>
          </cell>
          <cell r="FP6" t="str">
            <v>Manual removal of placenta</v>
          </cell>
          <cell r="FQ6" t="str">
            <v>MgSO4 management of eclampsia</v>
          </cell>
          <cell r="FR6" t="str">
            <v>Antibiotics for preterm or prolonged PROM</v>
          </cell>
          <cell r="FS6" t="str">
            <v>Parenteral administration of antibiotics</v>
          </cell>
          <cell r="FT6" t="str">
            <v>Assisted vaginal delivery</v>
          </cell>
          <cell r="FU6" t="str">
            <v>Active management of third stage of labor (AMTSL)</v>
          </cell>
          <cell r="FV6" t="str">
            <v>Removal of retained products of conception</v>
          </cell>
          <cell r="FW6" t="str">
            <v>Induction of labor for pregnancies lasting 41+ weeks</v>
          </cell>
          <cell r="FX6" t="str">
            <v>Antenatal corticosteroids for preterm labor</v>
          </cell>
          <cell r="FY6" t="str">
            <v>Maternal sepsis case management</v>
          </cell>
          <cell r="FZ6" t="str">
            <v>Safe abortion services</v>
          </cell>
          <cell r="GA6" t="str">
            <v>Post abortion case management</v>
          </cell>
          <cell r="GB6" t="str">
            <v>Cesarean delivery</v>
          </cell>
          <cell r="GC6" t="str">
            <v>Blood transfusion</v>
          </cell>
          <cell r="GD6" t="str">
            <v>Ectopic pregnancy case management</v>
          </cell>
          <cell r="GE6" t="str">
            <v>Immediate drying and additional stimulation</v>
          </cell>
          <cell r="GF6" t="str">
            <v>Thermal protection</v>
          </cell>
          <cell r="GG6" t="str">
            <v>Clean cord care</v>
          </cell>
          <cell r="GH6" t="str">
            <v>Neonatal resuscitation</v>
          </cell>
          <cell r="GI6" t="str">
            <v>Kangaroo-Mother Care (KMC)</v>
          </cell>
          <cell r="GJ6" t="str">
            <v>Full supportive care of prematurity</v>
          </cell>
          <cell r="GK6" t="str">
            <v>Oral antibiotics for neonatal sepsis</v>
          </cell>
          <cell r="GL6" t="str">
            <v>Injectable antibiotics for neonatal sepsis</v>
          </cell>
          <cell r="GM6" t="str">
            <v>Full supportive care for neonatal sepsis/pneumonia</v>
          </cell>
          <cell r="GN6" t="str">
            <v>Breastfeeding</v>
          </cell>
          <cell r="GO6" t="str">
            <v>Complementary feeding - Education only</v>
          </cell>
          <cell r="GP6" t="str">
            <v>Complementary feeding - Supplementary feeding + Education</v>
          </cell>
          <cell r="GQ6" t="str">
            <v>BCG - Single dose</v>
          </cell>
          <cell r="GR6" t="str">
            <v>Polio - Three doses</v>
          </cell>
          <cell r="GS6" t="str">
            <v>DPT - Three doses</v>
          </cell>
          <cell r="GT6" t="str">
            <v>Hib - Three doses</v>
          </cell>
          <cell r="GU6" t="str">
            <v>HepB - Three doses</v>
          </cell>
          <cell r="GV6" t="str">
            <v>Pneumococcal - Three doses</v>
          </cell>
          <cell r="GW6" t="str">
            <v>Rotavirus - Two doses</v>
          </cell>
          <cell r="GX6" t="str">
            <v>Meningococcal A - Single dose</v>
          </cell>
          <cell r="GY6" t="str">
            <v>Malaria vaccine - Three doses</v>
          </cell>
          <cell r="GZ6" t="str">
            <v>Measles - Single dose</v>
          </cell>
          <cell r="HA6" t="str">
            <v>Vitamin A supplementation</v>
          </cell>
          <cell r="HB6" t="str">
            <v>Zinc supplementation</v>
          </cell>
          <cell r="HC6" t="str">
            <v>ORS - Oral Rehydration Solution</v>
          </cell>
          <cell r="HD6" t="str">
            <v>Antibiotics for treatment of dysentery</v>
          </cell>
          <cell r="HE6" t="str">
            <v>Zinc for treatment of diarrhea</v>
          </cell>
          <cell r="HF6" t="str">
            <v>Oral antibiotics for pneumonia</v>
          </cell>
          <cell r="HG6" t="str">
            <v>Vitamin A for treatment of measles</v>
          </cell>
          <cell r="HH6" t="str">
            <v>ACTs - Artemisinin compounds for treatment of malaria</v>
          </cell>
          <cell r="HI6" t="str">
            <v>SAM - treatment for severe acute malnutrition</v>
          </cell>
          <cell r="HJ6" t="str">
            <v>MAM - treatment for moderate acute malnutrition</v>
          </cell>
          <cell r="HK6" t="str">
            <v>ITN/IRS - Households protected from malaria</v>
          </cell>
        </row>
        <row r="7"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  <cell r="DH7">
            <v>0</v>
          </cell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B5">
            <v>1</v>
          </cell>
          <cell r="C5">
            <v>7</v>
          </cell>
          <cell r="E5" t="str">
            <v>FP - Pills</v>
          </cell>
          <cell r="F5">
            <v>0.166351625</v>
          </cell>
          <cell r="G5">
            <v>0.13141778374999999</v>
          </cell>
          <cell r="H5">
            <v>0.13141778374999999</v>
          </cell>
          <cell r="I5">
            <v>0.1696786575</v>
          </cell>
          <cell r="J5">
            <v>0.14971646250000001</v>
          </cell>
          <cell r="K5">
            <v>0.229066187625</v>
          </cell>
          <cell r="L5">
            <v>175100</v>
          </cell>
          <cell r="M5">
            <v>141600</v>
          </cell>
          <cell r="N5">
            <v>145100</v>
          </cell>
          <cell r="O5">
            <v>187400</v>
          </cell>
          <cell r="P5">
            <v>165400</v>
          </cell>
          <cell r="Q5">
            <v>253000</v>
          </cell>
          <cell r="R5">
            <v>-33500</v>
          </cell>
          <cell r="S5">
            <v>42300</v>
          </cell>
          <cell r="T5">
            <v>87600</v>
          </cell>
        </row>
        <row r="6">
          <cell r="B6">
            <v>2</v>
          </cell>
          <cell r="C6">
            <v>1</v>
          </cell>
          <cell r="E6" t="str">
            <v>FP - Condoms</v>
          </cell>
          <cell r="F6">
            <v>3.3270325000000003E-2</v>
          </cell>
          <cell r="G6">
            <v>2.6283556749999999E-2</v>
          </cell>
          <cell r="H6">
            <v>2.6283556749999999E-2</v>
          </cell>
          <cell r="I6">
            <v>3.3935731500000003E-2</v>
          </cell>
          <cell r="J6">
            <v>2.99432925E-2</v>
          </cell>
          <cell r="K6">
            <v>4.5813237525000002E-2</v>
          </cell>
          <cell r="L6">
            <v>7000</v>
          </cell>
          <cell r="M6">
            <v>5700</v>
          </cell>
          <cell r="N6">
            <v>5800</v>
          </cell>
          <cell r="O6">
            <v>7500</v>
          </cell>
          <cell r="P6">
            <v>6600</v>
          </cell>
          <cell r="Q6">
            <v>10100</v>
          </cell>
          <cell r="R6">
            <v>-1300</v>
          </cell>
          <cell r="S6">
            <v>1700</v>
          </cell>
          <cell r="T6">
            <v>3500</v>
          </cell>
        </row>
        <row r="7">
          <cell r="B7">
            <v>3</v>
          </cell>
          <cell r="C7">
            <v>4</v>
          </cell>
          <cell r="E7" t="str">
            <v>FP - Injectables</v>
          </cell>
          <cell r="F7">
            <v>4.05482E-2</v>
          </cell>
          <cell r="G7">
            <v>3.2033078E-2</v>
          </cell>
          <cell r="H7">
            <v>3.2033078E-2</v>
          </cell>
          <cell r="I7">
            <v>4.1359163999999997E-2</v>
          </cell>
          <cell r="J7">
            <v>3.6493379999999999E-2</v>
          </cell>
          <cell r="K7">
            <v>5.58348714E-2</v>
          </cell>
          <cell r="L7">
            <v>10400</v>
          </cell>
          <cell r="M7">
            <v>8400</v>
          </cell>
          <cell r="N7">
            <v>8600</v>
          </cell>
          <cell r="O7">
            <v>11100</v>
          </cell>
          <cell r="P7">
            <v>9800</v>
          </cell>
          <cell r="Q7">
            <v>15000</v>
          </cell>
          <cell r="R7">
            <v>-2000</v>
          </cell>
          <cell r="S7">
            <v>2500</v>
          </cell>
          <cell r="T7">
            <v>5200</v>
          </cell>
        </row>
        <row r="8">
          <cell r="B8">
            <v>4</v>
          </cell>
          <cell r="C8">
            <v>5</v>
          </cell>
          <cell r="E8" t="str">
            <v>FP - Implants</v>
          </cell>
          <cell r="F8">
            <v>2.079385E-3</v>
          </cell>
          <cell r="G8">
            <v>1.64271415E-3</v>
          </cell>
          <cell r="H8">
            <v>1.64271415E-3</v>
          </cell>
          <cell r="I8">
            <v>2.1209726999999999E-3</v>
          </cell>
          <cell r="J8">
            <v>1.8714465000000001E-3</v>
          </cell>
          <cell r="K8">
            <v>2.863313145E-3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</row>
        <row r="9">
          <cell r="B9">
            <v>5</v>
          </cell>
          <cell r="C9">
            <v>6</v>
          </cell>
          <cell r="E9" t="str">
            <v>FP - IUD</v>
          </cell>
          <cell r="F9">
            <v>9.1493379999999999E-2</v>
          </cell>
          <cell r="G9">
            <v>7.2279770199999996E-2</v>
          </cell>
          <cell r="H9">
            <v>7.2279770199999996E-2</v>
          </cell>
          <cell r="I9">
            <v>9.3323247600000006E-2</v>
          </cell>
          <cell r="J9">
            <v>8.2344042000000006E-2</v>
          </cell>
          <cell r="K9">
            <v>0.12598638426</v>
          </cell>
          <cell r="L9">
            <v>53000</v>
          </cell>
          <cell r="M9">
            <v>42800</v>
          </cell>
          <cell r="N9">
            <v>43900</v>
          </cell>
          <cell r="O9">
            <v>56700</v>
          </cell>
          <cell r="P9">
            <v>50000</v>
          </cell>
          <cell r="Q9">
            <v>76500</v>
          </cell>
          <cell r="R9">
            <v>-10200</v>
          </cell>
          <cell r="S9">
            <v>12800</v>
          </cell>
          <cell r="T9">
            <v>26500</v>
          </cell>
        </row>
        <row r="10">
          <cell r="B10">
            <v>6</v>
          </cell>
          <cell r="C10">
            <v>2</v>
          </cell>
          <cell r="E10" t="str">
            <v>FP - Female Sterilization</v>
          </cell>
          <cell r="F10">
            <v>3.119094E-2</v>
          </cell>
          <cell r="G10">
            <v>2.4640842600000001E-2</v>
          </cell>
          <cell r="H10">
            <v>2.4640842600000001E-2</v>
          </cell>
          <cell r="I10">
            <v>3.1814758800000002E-2</v>
          </cell>
          <cell r="J10">
            <v>2.8071846000000001E-2</v>
          </cell>
          <cell r="K10">
            <v>4.2949924379999997E-2</v>
          </cell>
          <cell r="L10">
            <v>6200</v>
          </cell>
          <cell r="M10">
            <v>5000</v>
          </cell>
          <cell r="N10">
            <v>5100</v>
          </cell>
          <cell r="O10">
            <v>6600</v>
          </cell>
          <cell r="P10">
            <v>5800</v>
          </cell>
          <cell r="Q10">
            <v>8900</v>
          </cell>
          <cell r="R10">
            <v>-1200</v>
          </cell>
          <cell r="S10">
            <v>1500</v>
          </cell>
          <cell r="T10">
            <v>3100</v>
          </cell>
        </row>
        <row r="11">
          <cell r="B11">
            <v>7</v>
          </cell>
          <cell r="C11">
            <v>3</v>
          </cell>
          <cell r="E11" t="str">
            <v>FP - Male Sterilization</v>
          </cell>
          <cell r="F11">
            <v>1.0397200000000001E-3</v>
          </cell>
          <cell r="G11">
            <v>8.2137880000000005E-4</v>
          </cell>
          <cell r="H11">
            <v>8.2137880000000005E-4</v>
          </cell>
          <cell r="I11">
            <v>1.0605144E-3</v>
          </cell>
          <cell r="J11">
            <v>9.3574800000000003E-4</v>
          </cell>
          <cell r="K11">
            <v>1.43169444E-3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B12">
            <v>8</v>
          </cell>
          <cell r="C12">
            <v>8</v>
          </cell>
          <cell r="E12" t="str">
            <v>FP - Traditional Methods + Other</v>
          </cell>
          <cell r="F12">
            <v>0.17362949999999999</v>
          </cell>
          <cell r="G12">
            <v>0.13716730499999999</v>
          </cell>
          <cell r="H12">
            <v>0.13716730499999999</v>
          </cell>
          <cell r="I12">
            <v>0.17710208999999999</v>
          </cell>
          <cell r="J12">
            <v>0.15626655</v>
          </cell>
          <cell r="K12">
            <v>0.23908782149999999</v>
          </cell>
          <cell r="L12">
            <v>190800</v>
          </cell>
          <cell r="M12">
            <v>154300</v>
          </cell>
          <cell r="N12">
            <v>158100</v>
          </cell>
          <cell r="O12">
            <v>204200</v>
          </cell>
          <cell r="P12">
            <v>180100</v>
          </cell>
          <cell r="Q12">
            <v>275600</v>
          </cell>
          <cell r="R12">
            <v>-36500</v>
          </cell>
          <cell r="S12">
            <v>46100</v>
          </cell>
          <cell r="T12">
            <v>95500</v>
          </cell>
        </row>
        <row r="13">
          <cell r="B13">
            <v>9</v>
          </cell>
          <cell r="C13">
            <v>14</v>
          </cell>
          <cell r="D13" t="str">
            <v>Pregnancy/ Antenatal</v>
          </cell>
          <cell r="E13" t="str">
            <v>Antenatal care (at least 1 visit)</v>
          </cell>
          <cell r="F13">
            <v>0.876</v>
          </cell>
          <cell r="G13">
            <v>0.54312000000000005</v>
          </cell>
          <cell r="H13">
            <v>0.54312000000000005</v>
          </cell>
          <cell r="I13">
            <v>0.77666159999999995</v>
          </cell>
          <cell r="J13">
            <v>0.78839999999999999</v>
          </cell>
          <cell r="K13">
            <v>1</v>
          </cell>
          <cell r="L13">
            <v>1334200</v>
          </cell>
          <cell r="M13">
            <v>837300</v>
          </cell>
          <cell r="N13">
            <v>1005100</v>
          </cell>
          <cell r="O13">
            <v>1202200</v>
          </cell>
          <cell r="P13">
            <v>1702700</v>
          </cell>
          <cell r="Q13" t="e">
            <v>#VALUE!</v>
          </cell>
          <cell r="R13">
            <v>-496900</v>
          </cell>
          <cell r="S13">
            <v>197100</v>
          </cell>
          <cell r="T13" t="e">
            <v>#VALUE!</v>
          </cell>
        </row>
        <row r="14">
          <cell r="B14">
            <v>10</v>
          </cell>
          <cell r="C14">
            <v>15</v>
          </cell>
          <cell r="E14" t="str">
            <v>Antenatal care (at least 4 visits)</v>
          </cell>
          <cell r="F14">
            <v>0.67900000000000005</v>
          </cell>
          <cell r="G14">
            <v>0.42098000000000002</v>
          </cell>
          <cell r="H14">
            <v>0.42098000000000002</v>
          </cell>
          <cell r="I14">
            <v>0.60200140000000002</v>
          </cell>
          <cell r="J14">
            <v>0.61109999999999998</v>
          </cell>
          <cell r="K14">
            <v>0.87387300000000001</v>
          </cell>
          <cell r="L14">
            <v>1034200</v>
          </cell>
          <cell r="M14">
            <v>649000</v>
          </cell>
          <cell r="N14">
            <v>779100</v>
          </cell>
          <cell r="O14">
            <v>931800</v>
          </cell>
          <cell r="P14">
            <v>1319800</v>
          </cell>
          <cell r="Q14" t="e">
            <v>#VALUE!</v>
          </cell>
          <cell r="R14">
            <v>-385200</v>
          </cell>
          <cell r="S14">
            <v>152700</v>
          </cell>
          <cell r="T14" t="e">
            <v>#VALUE!</v>
          </cell>
        </row>
        <row r="15">
          <cell r="B15">
            <v>11</v>
          </cell>
          <cell r="C15">
            <v>16</v>
          </cell>
          <cell r="E15" t="str">
            <v>TT - Tetanus toxoid vaccination</v>
          </cell>
          <cell r="F15">
            <v>0.75</v>
          </cell>
          <cell r="G15">
            <v>0.46500000000000002</v>
          </cell>
          <cell r="H15">
            <v>0.46500000000000002</v>
          </cell>
          <cell r="I15">
            <v>0.66495000000000004</v>
          </cell>
          <cell r="J15">
            <v>0.67500000000000004</v>
          </cell>
          <cell r="K15">
            <v>0.96525000000000005</v>
          </cell>
          <cell r="L15">
            <v>1142300</v>
          </cell>
          <cell r="M15">
            <v>716900</v>
          </cell>
          <cell r="N15">
            <v>860600</v>
          </cell>
          <cell r="O15">
            <v>1029200</v>
          </cell>
          <cell r="P15">
            <v>1457800</v>
          </cell>
          <cell r="Q15" t="e">
            <v>#VALUE!</v>
          </cell>
          <cell r="R15">
            <v>-425400</v>
          </cell>
          <cell r="S15">
            <v>168600</v>
          </cell>
          <cell r="T15" t="e">
            <v>#VALUE!</v>
          </cell>
        </row>
        <row r="16">
          <cell r="B16">
            <v>12</v>
          </cell>
          <cell r="C16">
            <v>17</v>
          </cell>
          <cell r="E16" t="str">
            <v>IPTp - Intermittent preventive treatment of malaria during pregnancy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 t="e">
            <v>#VALUE!</v>
          </cell>
          <cell r="R16">
            <v>0</v>
          </cell>
          <cell r="S16">
            <v>0</v>
          </cell>
          <cell r="T16" t="e">
            <v>#VALUE!</v>
          </cell>
        </row>
        <row r="17">
          <cell r="B17">
            <v>13</v>
          </cell>
          <cell r="C17">
            <v>18</v>
          </cell>
          <cell r="E17" t="str">
            <v>Syphilis detection and treatment</v>
          </cell>
          <cell r="F17">
            <v>0.217</v>
          </cell>
          <cell r="G17">
            <v>0.13453999999999999</v>
          </cell>
          <cell r="H17">
            <v>0.13453999999999999</v>
          </cell>
          <cell r="I17">
            <v>0.19239220000000001</v>
          </cell>
          <cell r="J17">
            <v>0.1953</v>
          </cell>
          <cell r="K17">
            <v>0.279279</v>
          </cell>
          <cell r="L17">
            <v>330500</v>
          </cell>
          <cell r="M17">
            <v>207400</v>
          </cell>
          <cell r="N17">
            <v>249000</v>
          </cell>
          <cell r="O17">
            <v>297800</v>
          </cell>
          <cell r="P17">
            <v>421800</v>
          </cell>
          <cell r="Q17" t="e">
            <v>#VALUE!</v>
          </cell>
          <cell r="R17">
            <v>-123100</v>
          </cell>
          <cell r="S17">
            <v>48800</v>
          </cell>
          <cell r="T17" t="e">
            <v>#VALUE!</v>
          </cell>
        </row>
        <row r="18">
          <cell r="B18">
            <v>14</v>
          </cell>
          <cell r="C18">
            <v>19</v>
          </cell>
          <cell r="E18" t="str">
            <v>Calcium supplementation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 t="e">
            <v>#VALUE!</v>
          </cell>
          <cell r="R18">
            <v>0</v>
          </cell>
          <cell r="S18">
            <v>0</v>
          </cell>
          <cell r="T18" t="e">
            <v>#VALUE!</v>
          </cell>
        </row>
        <row r="19">
          <cell r="B19">
            <v>15</v>
          </cell>
          <cell r="C19">
            <v>20</v>
          </cell>
          <cell r="E19" t="str">
            <v>Iron and folate supplementation in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 t="e">
            <v>#VALUE!</v>
          </cell>
          <cell r="R19">
            <v>0</v>
          </cell>
          <cell r="S19">
            <v>0</v>
          </cell>
          <cell r="T19" t="e">
            <v>#VALUE!</v>
          </cell>
        </row>
        <row r="20">
          <cell r="B20">
            <v>16</v>
          </cell>
          <cell r="C20">
            <v>21</v>
          </cell>
          <cell r="E20" t="str">
            <v>Multiple micronutrient supplementation in pregnancy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 t="e">
            <v>#VALUE!</v>
          </cell>
          <cell r="R20">
            <v>0</v>
          </cell>
          <cell r="S20">
            <v>0</v>
          </cell>
          <cell r="T20" t="e">
            <v>#VALUE!</v>
          </cell>
        </row>
        <row r="21">
          <cell r="B21">
            <v>17</v>
          </cell>
          <cell r="C21">
            <v>22</v>
          </cell>
          <cell r="E21" t="str">
            <v>Balanced energy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 t="e">
            <v>#VALUE!</v>
          </cell>
          <cell r="R21">
            <v>0</v>
          </cell>
          <cell r="S21">
            <v>0</v>
          </cell>
          <cell r="T21" t="e">
            <v>#VALUE!</v>
          </cell>
        </row>
        <row r="22">
          <cell r="B22">
            <v>18</v>
          </cell>
          <cell r="C22">
            <v>23</v>
          </cell>
          <cell r="E22" t="str">
            <v>Hypertensive disorder case management</v>
          </cell>
          <cell r="F22">
            <v>0.16300000000000001</v>
          </cell>
          <cell r="G22">
            <v>0.10106</v>
          </cell>
          <cell r="H22">
            <v>0.10106</v>
          </cell>
          <cell r="I22">
            <v>0.1445158</v>
          </cell>
          <cell r="J22">
            <v>0.1467</v>
          </cell>
          <cell r="K22">
            <v>0.209781</v>
          </cell>
          <cell r="L22">
            <v>12400</v>
          </cell>
          <cell r="M22">
            <v>7800</v>
          </cell>
          <cell r="N22">
            <v>9400</v>
          </cell>
          <cell r="O22">
            <v>11200</v>
          </cell>
          <cell r="P22">
            <v>15800</v>
          </cell>
          <cell r="Q22" t="e">
            <v>#VALUE!</v>
          </cell>
          <cell r="R22">
            <v>-4600</v>
          </cell>
          <cell r="S22">
            <v>1800</v>
          </cell>
          <cell r="T22" t="e">
            <v>#VALUE!</v>
          </cell>
        </row>
        <row r="23">
          <cell r="B23">
            <v>19</v>
          </cell>
          <cell r="C23">
            <v>24</v>
          </cell>
          <cell r="E23" t="str">
            <v>Diabetes case management</v>
          </cell>
          <cell r="F23">
            <v>0.127</v>
          </cell>
          <cell r="G23">
            <v>7.8740000000000004E-2</v>
          </cell>
          <cell r="H23">
            <v>7.8740000000000004E-2</v>
          </cell>
          <cell r="I23">
            <v>0.1086612</v>
          </cell>
          <cell r="J23">
            <v>0.1143</v>
          </cell>
          <cell r="K23">
            <v>0.15773400000000001</v>
          </cell>
          <cell r="L23">
            <v>17200</v>
          </cell>
          <cell r="M23">
            <v>10800</v>
          </cell>
          <cell r="N23">
            <v>13000</v>
          </cell>
          <cell r="O23">
            <v>15000</v>
          </cell>
          <cell r="P23">
            <v>22000</v>
          </cell>
          <cell r="Q23" t="e">
            <v>#VALUE!</v>
          </cell>
          <cell r="R23">
            <v>-6400</v>
          </cell>
          <cell r="S23">
            <v>2000</v>
          </cell>
          <cell r="T23" t="e">
            <v>#VALUE!</v>
          </cell>
        </row>
        <row r="24">
          <cell r="B24">
            <v>20</v>
          </cell>
          <cell r="C24">
            <v>25</v>
          </cell>
          <cell r="E24" t="str">
            <v>Malaria case management</v>
          </cell>
          <cell r="F24">
            <v>0.52700000000000002</v>
          </cell>
          <cell r="G24">
            <v>0.32673999999999997</v>
          </cell>
          <cell r="H24">
            <v>0.32673999999999997</v>
          </cell>
          <cell r="I24">
            <v>0.4509012</v>
          </cell>
          <cell r="J24">
            <v>0.4743</v>
          </cell>
          <cell r="K24">
            <v>0.65453399999999995</v>
          </cell>
          <cell r="L24">
            <v>17700</v>
          </cell>
          <cell r="M24">
            <v>11100</v>
          </cell>
          <cell r="N24">
            <v>11200</v>
          </cell>
          <cell r="O24">
            <v>15400</v>
          </cell>
          <cell r="P24">
            <v>22500</v>
          </cell>
          <cell r="Q24" t="e">
            <v>#VALUE!</v>
          </cell>
          <cell r="R24">
            <v>-6600</v>
          </cell>
          <cell r="S24">
            <v>4200</v>
          </cell>
          <cell r="T24" t="e">
            <v>#VALUE!</v>
          </cell>
        </row>
        <row r="25">
          <cell r="B25">
            <v>21</v>
          </cell>
          <cell r="C25">
            <v>26</v>
          </cell>
          <cell r="E25" t="str">
            <v>MgSO4 management of pre-eclampsia</v>
          </cell>
          <cell r="F25">
            <v>0.32300000000000001</v>
          </cell>
          <cell r="G25">
            <v>0.20025999999999999</v>
          </cell>
          <cell r="H25">
            <v>0.20025999999999999</v>
          </cell>
          <cell r="I25">
            <v>0.28637180000000001</v>
          </cell>
          <cell r="J25">
            <v>0.29070000000000001</v>
          </cell>
          <cell r="K25">
            <v>0.41570099999999999</v>
          </cell>
          <cell r="L25">
            <v>1200</v>
          </cell>
          <cell r="M25">
            <v>800</v>
          </cell>
          <cell r="N25">
            <v>800</v>
          </cell>
          <cell r="O25">
            <v>1100</v>
          </cell>
          <cell r="P25">
            <v>1600</v>
          </cell>
          <cell r="Q25" t="e">
            <v>#VALUE!</v>
          </cell>
          <cell r="R25">
            <v>-400</v>
          </cell>
          <cell r="S25">
            <v>300</v>
          </cell>
          <cell r="T25" t="e">
            <v>#VALUE!</v>
          </cell>
        </row>
        <row r="26">
          <cell r="B26">
            <v>22</v>
          </cell>
          <cell r="C26">
            <v>27</v>
          </cell>
          <cell r="D26" t="str">
            <v>Delivery Care/ 
BEmoC/ 
CEmOC</v>
          </cell>
          <cell r="E26" t="str">
            <v>Health Facility Delivery</v>
          </cell>
          <cell r="F26">
            <v>0.86599999999999999</v>
          </cell>
          <cell r="G26">
            <v>0.83135999999999999</v>
          </cell>
          <cell r="H26">
            <v>0.83135999999999999</v>
          </cell>
          <cell r="I26">
            <v>0.88331999999999999</v>
          </cell>
          <cell r="J26">
            <v>0.77939999999999998</v>
          </cell>
          <cell r="K26">
            <v>1</v>
          </cell>
          <cell r="L26">
            <v>959300</v>
          </cell>
          <cell r="M26">
            <v>933100</v>
          </cell>
          <cell r="N26">
            <v>946500</v>
          </cell>
          <cell r="O26">
            <v>1002600</v>
          </cell>
          <cell r="P26">
            <v>1198900</v>
          </cell>
          <cell r="Q26" t="e">
            <v>#VALUE!</v>
          </cell>
          <cell r="R26">
            <v>-26200</v>
          </cell>
          <cell r="S26">
            <v>56100</v>
          </cell>
          <cell r="T26" t="e">
            <v>#VALUE!</v>
          </cell>
        </row>
        <row r="27">
          <cell r="B27">
            <v>23</v>
          </cell>
          <cell r="C27">
            <v>28</v>
          </cell>
          <cell r="E27" t="str">
            <v>Clean birth environment</v>
          </cell>
          <cell r="F27">
            <v>0.71</v>
          </cell>
          <cell r="G27">
            <v>0.68159999999999998</v>
          </cell>
          <cell r="H27">
            <v>0.68159999999999998</v>
          </cell>
          <cell r="I27">
            <v>0.72419999999999995</v>
          </cell>
          <cell r="J27">
            <v>0.63900000000000001</v>
          </cell>
          <cell r="K27">
            <v>0.84987000000000001</v>
          </cell>
          <cell r="L27">
            <v>786500</v>
          </cell>
          <cell r="M27">
            <v>765000</v>
          </cell>
          <cell r="N27">
            <v>776000</v>
          </cell>
          <cell r="O27">
            <v>822000</v>
          </cell>
          <cell r="P27">
            <v>982900</v>
          </cell>
          <cell r="Q27" t="e">
            <v>#VALUE!</v>
          </cell>
          <cell r="R27">
            <v>-21500</v>
          </cell>
          <cell r="S27">
            <v>46000</v>
          </cell>
          <cell r="T27" t="e">
            <v>#VALUE!</v>
          </cell>
        </row>
        <row r="28">
          <cell r="B28">
            <v>24</v>
          </cell>
          <cell r="C28">
            <v>32</v>
          </cell>
          <cell r="E28" t="str">
            <v>Manual removal of placenta</v>
          </cell>
          <cell r="F28">
            <v>0.32400000000000001</v>
          </cell>
          <cell r="G28">
            <v>0.31103999999999998</v>
          </cell>
          <cell r="H28">
            <v>0.31103999999999998</v>
          </cell>
          <cell r="I28">
            <v>0.33048</v>
          </cell>
          <cell r="J28">
            <v>0.29160000000000003</v>
          </cell>
          <cell r="K28">
            <v>0.38782800000000001</v>
          </cell>
          <cell r="L28">
            <v>7200</v>
          </cell>
          <cell r="M28">
            <v>7000</v>
          </cell>
          <cell r="N28">
            <v>7100</v>
          </cell>
          <cell r="O28">
            <v>7500</v>
          </cell>
          <cell r="P28">
            <v>9000</v>
          </cell>
          <cell r="Q28" t="e">
            <v>#VALUE!</v>
          </cell>
          <cell r="R28">
            <v>-200</v>
          </cell>
          <cell r="S28">
            <v>400</v>
          </cell>
          <cell r="T28" t="e">
            <v>#VALUE!</v>
          </cell>
        </row>
        <row r="29">
          <cell r="B29">
            <v>25</v>
          </cell>
          <cell r="C29">
            <v>33</v>
          </cell>
          <cell r="E29" t="str">
            <v>MgSO4 management of eclampsia</v>
          </cell>
          <cell r="F29">
            <v>0.61899999999999999</v>
          </cell>
          <cell r="G29">
            <v>0.59423999999999999</v>
          </cell>
          <cell r="H29">
            <v>0.59423999999999999</v>
          </cell>
          <cell r="I29">
            <v>0.63138000000000005</v>
          </cell>
          <cell r="J29">
            <v>0.55710000000000004</v>
          </cell>
          <cell r="K29">
            <v>0.74094300000000002</v>
          </cell>
          <cell r="L29">
            <v>1700</v>
          </cell>
          <cell r="M29">
            <v>1700</v>
          </cell>
          <cell r="N29">
            <v>1700</v>
          </cell>
          <cell r="O29">
            <v>1800</v>
          </cell>
          <cell r="P29">
            <v>2100</v>
          </cell>
          <cell r="Q29" t="e">
            <v>#VALUE!</v>
          </cell>
          <cell r="R29">
            <v>0</v>
          </cell>
          <cell r="S29">
            <v>100</v>
          </cell>
          <cell r="T29" t="e">
            <v>#VALUE!</v>
          </cell>
        </row>
        <row r="30">
          <cell r="B30">
            <v>26</v>
          </cell>
          <cell r="C30">
            <v>34</v>
          </cell>
          <cell r="E30" t="str">
            <v>Antibiotics for preterm or prolonged PROM</v>
          </cell>
          <cell r="F30">
            <v>0.64800000000000002</v>
          </cell>
          <cell r="G30">
            <v>0.62207999999999997</v>
          </cell>
          <cell r="H30">
            <v>0.62207999999999997</v>
          </cell>
          <cell r="I30">
            <v>0.66095999999999999</v>
          </cell>
          <cell r="J30">
            <v>0.58320000000000005</v>
          </cell>
          <cell r="K30">
            <v>0.80481599999999998</v>
          </cell>
          <cell r="L30">
            <v>47000</v>
          </cell>
          <cell r="M30">
            <v>45700</v>
          </cell>
          <cell r="N30">
            <v>46400</v>
          </cell>
          <cell r="O30">
            <v>49100</v>
          </cell>
          <cell r="P30">
            <v>58800</v>
          </cell>
          <cell r="Q30" t="e">
            <v>#VALUE!</v>
          </cell>
          <cell r="R30">
            <v>-1300</v>
          </cell>
          <cell r="S30">
            <v>2700</v>
          </cell>
          <cell r="T30" t="e">
            <v>#VALUE!</v>
          </cell>
        </row>
        <row r="31">
          <cell r="B31">
            <v>27</v>
          </cell>
          <cell r="C31">
            <v>35</v>
          </cell>
          <cell r="E31" t="str">
            <v>Parenteral administration of antibiotics</v>
          </cell>
          <cell r="F31">
            <v>0.64800000000000002</v>
          </cell>
          <cell r="G31">
            <v>0.62207999999999997</v>
          </cell>
          <cell r="H31">
            <v>0.62207999999999997</v>
          </cell>
          <cell r="I31">
            <v>0.66095999999999999</v>
          </cell>
          <cell r="J31">
            <v>0.58320000000000005</v>
          </cell>
          <cell r="K31">
            <v>0.80481599999999998</v>
          </cell>
          <cell r="L31">
            <v>71800</v>
          </cell>
          <cell r="M31">
            <v>69800</v>
          </cell>
          <cell r="N31">
            <v>70800</v>
          </cell>
          <cell r="O31">
            <v>75000</v>
          </cell>
          <cell r="P31">
            <v>89700</v>
          </cell>
          <cell r="Q31" t="e">
            <v>#VALUE!</v>
          </cell>
          <cell r="R31">
            <v>-2000</v>
          </cell>
          <cell r="S31">
            <v>4200</v>
          </cell>
          <cell r="T31" t="e">
            <v>#VALUE!</v>
          </cell>
        </row>
        <row r="32">
          <cell r="B32">
            <v>28</v>
          </cell>
          <cell r="C32">
            <v>36</v>
          </cell>
          <cell r="E32" t="str">
            <v>Assisted vaginal delivery</v>
          </cell>
          <cell r="F32">
            <v>0.219</v>
          </cell>
          <cell r="G32">
            <v>0.21024000000000001</v>
          </cell>
          <cell r="H32">
            <v>0.21024000000000001</v>
          </cell>
          <cell r="I32">
            <v>0.22338</v>
          </cell>
          <cell r="J32">
            <v>0.1971</v>
          </cell>
          <cell r="K32">
            <v>0.27199800000000002</v>
          </cell>
          <cell r="L32">
            <v>24300</v>
          </cell>
          <cell r="M32">
            <v>23600</v>
          </cell>
          <cell r="N32">
            <v>23900</v>
          </cell>
          <cell r="O32">
            <v>25400</v>
          </cell>
          <cell r="P32">
            <v>30300</v>
          </cell>
          <cell r="Q32" t="e">
            <v>#VALUE!</v>
          </cell>
          <cell r="R32">
            <v>-700</v>
          </cell>
          <cell r="S32">
            <v>1500</v>
          </cell>
          <cell r="T32" t="e">
            <v>#VALUE!</v>
          </cell>
        </row>
        <row r="33">
          <cell r="B33">
            <v>29</v>
          </cell>
          <cell r="C33">
            <v>38</v>
          </cell>
          <cell r="E33" t="str">
            <v>Active management of third stage of labor (AMTSL)</v>
          </cell>
          <cell r="F33">
            <v>0.77400000000000002</v>
          </cell>
          <cell r="G33">
            <v>0.74304000000000003</v>
          </cell>
          <cell r="H33">
            <v>0.74304000000000003</v>
          </cell>
          <cell r="I33">
            <v>0.78947999999999996</v>
          </cell>
          <cell r="J33">
            <v>0.6966</v>
          </cell>
          <cell r="K33">
            <v>0.92647800000000002</v>
          </cell>
          <cell r="L33">
            <v>857400</v>
          </cell>
          <cell r="M33">
            <v>833900</v>
          </cell>
          <cell r="N33">
            <v>845900</v>
          </cell>
          <cell r="O33">
            <v>896100</v>
          </cell>
          <cell r="P33">
            <v>1071500</v>
          </cell>
          <cell r="Q33" t="e">
            <v>#VALUE!</v>
          </cell>
          <cell r="R33">
            <v>-23500</v>
          </cell>
          <cell r="S33">
            <v>50200</v>
          </cell>
          <cell r="T33" t="e">
            <v>#VALUE!</v>
          </cell>
        </row>
        <row r="34">
          <cell r="B34">
            <v>30</v>
          </cell>
          <cell r="C34">
            <v>39</v>
          </cell>
          <cell r="E34" t="str">
            <v>Removal of retained products of conception</v>
          </cell>
          <cell r="F34">
            <v>0.28699999999999998</v>
          </cell>
          <cell r="G34">
            <v>0.27551999999999999</v>
          </cell>
          <cell r="H34">
            <v>0.27551999999999999</v>
          </cell>
          <cell r="I34">
            <v>0.29274</v>
          </cell>
          <cell r="J34">
            <v>0.25829999999999997</v>
          </cell>
          <cell r="K34">
            <v>0.35645399999999999</v>
          </cell>
          <cell r="L34">
            <v>3200</v>
          </cell>
          <cell r="M34">
            <v>3100</v>
          </cell>
          <cell r="N34">
            <v>3100</v>
          </cell>
          <cell r="O34">
            <v>3300</v>
          </cell>
          <cell r="P34">
            <v>4000</v>
          </cell>
          <cell r="Q34" t="e">
            <v>#VALUE!</v>
          </cell>
          <cell r="R34">
            <v>-100</v>
          </cell>
          <cell r="S34">
            <v>200</v>
          </cell>
          <cell r="T34" t="e">
            <v>#VALUE!</v>
          </cell>
        </row>
        <row r="35">
          <cell r="B35">
            <v>31</v>
          </cell>
          <cell r="C35">
            <v>40</v>
          </cell>
          <cell r="E35" t="str">
            <v>Induction of labor for pregnancies lasting 41+ weeks</v>
          </cell>
          <cell r="F35">
            <v>1.4999999999999999E-2</v>
          </cell>
          <cell r="G35">
            <v>1.44E-2</v>
          </cell>
          <cell r="H35">
            <v>1.44E-2</v>
          </cell>
          <cell r="I35">
            <v>1.5299999999999999E-2</v>
          </cell>
          <cell r="J35">
            <v>1.35E-2</v>
          </cell>
          <cell r="K35">
            <v>1.8630000000000001E-2</v>
          </cell>
          <cell r="L35">
            <v>800</v>
          </cell>
          <cell r="M35">
            <v>800</v>
          </cell>
          <cell r="N35">
            <v>800</v>
          </cell>
          <cell r="O35">
            <v>900</v>
          </cell>
          <cell r="P35">
            <v>1000</v>
          </cell>
          <cell r="Q35" t="e">
            <v>#VALUE!</v>
          </cell>
          <cell r="R35">
            <v>0</v>
          </cell>
          <cell r="S35">
            <v>100</v>
          </cell>
          <cell r="T35" t="e">
            <v>#VALUE!</v>
          </cell>
        </row>
        <row r="36">
          <cell r="B36">
            <v>32</v>
          </cell>
          <cell r="C36">
            <v>41</v>
          </cell>
          <cell r="E36" t="str">
            <v>Antenatal corticosteroids for preterm labor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 t="e">
            <v>#VALUE!</v>
          </cell>
          <cell r="R36">
            <v>0</v>
          </cell>
          <cell r="S36">
            <v>0</v>
          </cell>
          <cell r="T36" t="e">
            <v>#VALUE!</v>
          </cell>
        </row>
        <row r="37">
          <cell r="B37">
            <v>33</v>
          </cell>
          <cell r="C37">
            <v>65</v>
          </cell>
          <cell r="E37" t="str">
            <v>Maternal sepsis case management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 t="e">
            <v>#VALUE!</v>
          </cell>
          <cell r="R37">
            <v>0</v>
          </cell>
          <cell r="S37">
            <v>0</v>
          </cell>
          <cell r="T37" t="e">
            <v>#VALUE!</v>
          </cell>
        </row>
        <row r="38">
          <cell r="B38">
            <v>34</v>
          </cell>
          <cell r="C38">
            <v>10</v>
          </cell>
          <cell r="E38" t="str">
            <v>Safe abortion services</v>
          </cell>
          <cell r="F38">
            <v>0.4</v>
          </cell>
          <cell r="G38">
            <v>0.38400000000000001</v>
          </cell>
          <cell r="H38">
            <v>0.38400000000000001</v>
          </cell>
          <cell r="I38">
            <v>0.38400000000000001</v>
          </cell>
          <cell r="J38">
            <v>0.36</v>
          </cell>
          <cell r="K38">
            <v>0.36</v>
          </cell>
          <cell r="L38">
            <v>86900</v>
          </cell>
          <cell r="M38">
            <v>84100</v>
          </cell>
          <cell r="N38">
            <v>84800</v>
          </cell>
          <cell r="O38">
            <v>84800</v>
          </cell>
          <cell r="P38">
            <v>110900</v>
          </cell>
          <cell r="Q38" t="e">
            <v>#VALUE!</v>
          </cell>
          <cell r="R38">
            <v>-2800</v>
          </cell>
          <cell r="S38">
            <v>0</v>
          </cell>
          <cell r="T38" t="e">
            <v>#VALUE!</v>
          </cell>
        </row>
        <row r="39">
          <cell r="B39">
            <v>35</v>
          </cell>
          <cell r="C39">
            <v>11</v>
          </cell>
          <cell r="E39" t="str">
            <v>Post abortion case management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 t="e">
            <v>#VALUE!</v>
          </cell>
          <cell r="R39">
            <v>0</v>
          </cell>
          <cell r="S39">
            <v>0</v>
          </cell>
          <cell r="T39" t="e">
            <v>#VALUE!</v>
          </cell>
        </row>
        <row r="40">
          <cell r="B40">
            <v>36</v>
          </cell>
          <cell r="C40">
            <v>42</v>
          </cell>
          <cell r="E40" t="str">
            <v>Cesarean delivery</v>
          </cell>
          <cell r="F40">
            <v>0.33200000000000002</v>
          </cell>
          <cell r="G40">
            <v>0.31872</v>
          </cell>
          <cell r="H40">
            <v>0.31872</v>
          </cell>
          <cell r="I40">
            <v>0.33864</v>
          </cell>
          <cell r="J40">
            <v>0.29880000000000001</v>
          </cell>
          <cell r="K40">
            <v>0.41234399999999999</v>
          </cell>
          <cell r="L40">
            <v>36800</v>
          </cell>
          <cell r="M40">
            <v>35800</v>
          </cell>
          <cell r="N40">
            <v>36300</v>
          </cell>
          <cell r="O40">
            <v>38400</v>
          </cell>
          <cell r="P40">
            <v>46000</v>
          </cell>
          <cell r="Q40" t="e">
            <v>#VALUE!</v>
          </cell>
          <cell r="S40">
            <v>2100</v>
          </cell>
          <cell r="T40" t="e">
            <v>#VALUE!</v>
          </cell>
        </row>
        <row r="41">
          <cell r="B41">
            <v>37</v>
          </cell>
          <cell r="C41">
            <v>43</v>
          </cell>
          <cell r="E41" t="str">
            <v>Blood transfusion</v>
          </cell>
          <cell r="F41">
            <v>0.109</v>
          </cell>
          <cell r="G41">
            <v>0.10464</v>
          </cell>
          <cell r="H41">
            <v>0.10464</v>
          </cell>
          <cell r="I41">
            <v>0.10464</v>
          </cell>
          <cell r="J41">
            <v>9.8100000000000007E-2</v>
          </cell>
          <cell r="K41">
            <v>9.8100000000000007E-2</v>
          </cell>
          <cell r="L41">
            <v>2400</v>
          </cell>
          <cell r="M41">
            <v>2300</v>
          </cell>
          <cell r="N41">
            <v>2400</v>
          </cell>
          <cell r="O41">
            <v>2400</v>
          </cell>
          <cell r="P41">
            <v>3000</v>
          </cell>
          <cell r="Q41" t="e">
            <v>#VALUE!</v>
          </cell>
          <cell r="R41">
            <v>-100</v>
          </cell>
          <cell r="S41">
            <v>0</v>
          </cell>
          <cell r="T41" t="e">
            <v>#VALUE!</v>
          </cell>
        </row>
        <row r="42">
          <cell r="B42">
            <v>38</v>
          </cell>
          <cell r="C42">
            <v>12</v>
          </cell>
          <cell r="E42" t="str">
            <v>Ectopic pregnancy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 t="e">
            <v>#VALUE!</v>
          </cell>
          <cell r="R42">
            <v>0</v>
          </cell>
          <cell r="S42">
            <v>0</v>
          </cell>
          <cell r="T42" t="e">
            <v>#VALUE!</v>
          </cell>
        </row>
        <row r="43">
          <cell r="B43">
            <v>39</v>
          </cell>
          <cell r="C43">
            <v>29</v>
          </cell>
          <cell r="D43" t="str">
            <v>Newborn Care</v>
          </cell>
          <cell r="E43" t="str">
            <v>Immediate drying and additional stimulation</v>
          </cell>
          <cell r="F43">
            <v>0.79300000000000004</v>
          </cell>
          <cell r="G43">
            <v>0.64232999999999996</v>
          </cell>
          <cell r="H43">
            <v>0.64232999999999996</v>
          </cell>
          <cell r="I43">
            <v>0.80886000000000002</v>
          </cell>
          <cell r="J43">
            <v>0.7137</v>
          </cell>
          <cell r="K43">
            <v>0.98490599999999995</v>
          </cell>
          <cell r="L43">
            <v>878500</v>
          </cell>
          <cell r="M43">
            <v>720900</v>
          </cell>
          <cell r="N43">
            <v>731300</v>
          </cell>
          <cell r="O43">
            <v>918100</v>
          </cell>
          <cell r="P43">
            <v>1097800</v>
          </cell>
          <cell r="Q43" t="e">
            <v>#VALUE!</v>
          </cell>
          <cell r="R43">
            <v>-157600</v>
          </cell>
          <cell r="S43">
            <v>186800</v>
          </cell>
          <cell r="T43" t="e">
            <v>#VALUE!</v>
          </cell>
        </row>
        <row r="44">
          <cell r="B44">
            <v>40</v>
          </cell>
          <cell r="C44">
            <v>30</v>
          </cell>
          <cell r="E44" t="str">
            <v>Thermal protection</v>
          </cell>
          <cell r="F44">
            <v>0.85599999999999998</v>
          </cell>
          <cell r="G44">
            <v>0.69335999999999998</v>
          </cell>
          <cell r="H44">
            <v>0.69335999999999998</v>
          </cell>
          <cell r="I44">
            <v>0.87312000000000001</v>
          </cell>
          <cell r="J44">
            <v>0.77039999999999997</v>
          </cell>
          <cell r="K44">
            <v>1</v>
          </cell>
          <cell r="L44">
            <v>62100</v>
          </cell>
          <cell r="M44">
            <v>51000</v>
          </cell>
          <cell r="N44">
            <v>51700</v>
          </cell>
          <cell r="O44">
            <v>64900</v>
          </cell>
          <cell r="P44">
            <v>77600</v>
          </cell>
          <cell r="Q44" t="e">
            <v>#VALUE!</v>
          </cell>
          <cell r="R44">
            <v>-11100</v>
          </cell>
          <cell r="S44">
            <v>13200</v>
          </cell>
          <cell r="T44" t="e">
            <v>#VALUE!</v>
          </cell>
        </row>
        <row r="45">
          <cell r="B45">
            <v>41</v>
          </cell>
          <cell r="C45">
            <v>31</v>
          </cell>
          <cell r="E45" t="str">
            <v>Clean cord care</v>
          </cell>
          <cell r="F45">
            <v>0.82599999999999996</v>
          </cell>
          <cell r="G45">
            <v>0.66905999999999999</v>
          </cell>
          <cell r="H45">
            <v>0.66905999999999999</v>
          </cell>
          <cell r="I45">
            <v>0.84252000000000005</v>
          </cell>
          <cell r="J45">
            <v>0.74339999999999995</v>
          </cell>
          <cell r="K45">
            <v>1</v>
          </cell>
          <cell r="L45">
            <v>915000</v>
          </cell>
          <cell r="M45">
            <v>750900</v>
          </cell>
          <cell r="N45">
            <v>761700</v>
          </cell>
          <cell r="O45">
            <v>956300</v>
          </cell>
          <cell r="P45">
            <v>1143500</v>
          </cell>
          <cell r="Q45" t="e">
            <v>#VALUE!</v>
          </cell>
          <cell r="R45">
            <v>-164100</v>
          </cell>
          <cell r="S45">
            <v>194600</v>
          </cell>
          <cell r="T45" t="e">
            <v>#VALUE!</v>
          </cell>
        </row>
        <row r="46">
          <cell r="B46">
            <v>42</v>
          </cell>
          <cell r="C46">
            <v>37</v>
          </cell>
          <cell r="E46" t="str">
            <v>Neonatal resuscitation</v>
          </cell>
          <cell r="F46">
            <v>0.47599999999999998</v>
          </cell>
          <cell r="G46">
            <v>0.38556000000000001</v>
          </cell>
          <cell r="H46">
            <v>0.38556000000000001</v>
          </cell>
          <cell r="I46">
            <v>0.48552000000000001</v>
          </cell>
          <cell r="J46">
            <v>0.4284</v>
          </cell>
          <cell r="K46">
            <v>0.59119200000000005</v>
          </cell>
          <cell r="L46">
            <v>26400</v>
          </cell>
          <cell r="M46">
            <v>21600</v>
          </cell>
          <cell r="N46">
            <v>21900</v>
          </cell>
          <cell r="O46">
            <v>27600</v>
          </cell>
          <cell r="P46">
            <v>32900</v>
          </cell>
          <cell r="Q46" t="e">
            <v>#VALUE!</v>
          </cell>
          <cell r="R46">
            <v>-4800</v>
          </cell>
          <cell r="S46">
            <v>5700</v>
          </cell>
          <cell r="T46" t="e">
            <v>#VALUE!</v>
          </cell>
        </row>
        <row r="47">
          <cell r="E47" t="str">
            <v>Case management of premature babies</v>
          </cell>
        </row>
        <row r="48">
          <cell r="B48">
            <v>43</v>
          </cell>
          <cell r="C48">
            <v>66</v>
          </cell>
          <cell r="E48" t="str">
            <v>Kangaroo-Mother Care (KMC)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 t="e">
            <v>#VALUE!</v>
          </cell>
          <cell r="R48">
            <v>0</v>
          </cell>
          <cell r="S48">
            <v>0</v>
          </cell>
          <cell r="T48" t="e">
            <v>#VALUE!</v>
          </cell>
        </row>
        <row r="49">
          <cell r="B49">
            <v>44</v>
          </cell>
          <cell r="C49">
            <v>67</v>
          </cell>
          <cell r="E49" t="str">
            <v>Full supportive care of prematurity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 t="e">
            <v>#VALUE!</v>
          </cell>
          <cell r="R49">
            <v>0</v>
          </cell>
          <cell r="S49">
            <v>0</v>
          </cell>
          <cell r="T49" t="e">
            <v>#VALUE!</v>
          </cell>
        </row>
        <row r="50">
          <cell r="E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E51" t="str">
            <v>Oral antibiotics for neonatal sepsis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 t="e">
            <v>#VALUE!</v>
          </cell>
          <cell r="R51">
            <v>0</v>
          </cell>
          <cell r="S51">
            <v>0</v>
          </cell>
          <cell r="T51" t="e">
            <v>#VALUE!</v>
          </cell>
        </row>
        <row r="52">
          <cell r="B52">
            <v>46</v>
          </cell>
          <cell r="C52">
            <v>69</v>
          </cell>
          <cell r="E52" t="str">
            <v>Injectable antibiotics for neonatal sepsis</v>
          </cell>
          <cell r="F52">
            <v>0.86599999999999999</v>
          </cell>
          <cell r="G52">
            <v>0.70145999999999997</v>
          </cell>
          <cell r="H52">
            <v>0.70145999999999997</v>
          </cell>
          <cell r="I52">
            <v>0.88331999999999999</v>
          </cell>
          <cell r="J52">
            <v>0.77939999999999998</v>
          </cell>
          <cell r="K52">
            <v>1</v>
          </cell>
          <cell r="L52">
            <v>151600</v>
          </cell>
          <cell r="M52">
            <v>124400</v>
          </cell>
          <cell r="N52">
            <v>126200</v>
          </cell>
          <cell r="O52">
            <v>158400</v>
          </cell>
          <cell r="P52">
            <v>189400</v>
          </cell>
          <cell r="Q52" t="e">
            <v>#VALUE!</v>
          </cell>
          <cell r="R52">
            <v>-27200</v>
          </cell>
          <cell r="S52">
            <v>32200</v>
          </cell>
          <cell r="T52" t="e">
            <v>#VALUE!</v>
          </cell>
        </row>
        <row r="53">
          <cell r="B53">
            <v>47</v>
          </cell>
          <cell r="C53">
            <v>70</v>
          </cell>
          <cell r="E53" t="str">
            <v>Full supportive care for neonatal sepsis/pneumonia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 t="e">
            <v>#VALUE!</v>
          </cell>
          <cell r="R53">
            <v>0</v>
          </cell>
          <cell r="S53">
            <v>0</v>
          </cell>
          <cell r="T53" t="e">
            <v>#VALUE!</v>
          </cell>
        </row>
        <row r="54">
          <cell r="B54">
            <v>48</v>
          </cell>
          <cell r="C54">
            <v>44</v>
          </cell>
          <cell r="D54" t="str">
            <v>Breastfeeding</v>
          </cell>
          <cell r="E54" t="str">
            <v>Early Initiation of Breastfeeding</v>
          </cell>
          <cell r="F54">
            <v>0.32400000000000001</v>
          </cell>
          <cell r="G54">
            <v>0.31428</v>
          </cell>
          <cell r="H54">
            <v>0.31428</v>
          </cell>
          <cell r="I54">
            <v>0.33048</v>
          </cell>
          <cell r="J54">
            <v>0.29160000000000003</v>
          </cell>
          <cell r="K54">
            <v>0.40240799999999999</v>
          </cell>
          <cell r="L54">
            <v>358900</v>
          </cell>
          <cell r="M54">
            <v>352700</v>
          </cell>
          <cell r="N54">
            <v>357800</v>
          </cell>
          <cell r="O54">
            <v>375100</v>
          </cell>
          <cell r="P54">
            <v>448500</v>
          </cell>
          <cell r="Q54" t="e">
            <v>#VALUE!</v>
          </cell>
          <cell r="R54">
            <v>-6200</v>
          </cell>
          <cell r="S54">
            <v>17300</v>
          </cell>
          <cell r="T54" t="e">
            <v>#VALUE!</v>
          </cell>
        </row>
        <row r="55">
          <cell r="B55">
            <v>49</v>
          </cell>
          <cell r="C55">
            <v>45</v>
          </cell>
          <cell r="E55" t="str">
            <v>Complementary feeding - Education only</v>
          </cell>
          <cell r="F55">
            <v>0.60099999999999998</v>
          </cell>
          <cell r="G55">
            <v>0.58296999999999999</v>
          </cell>
          <cell r="H55">
            <v>0.58296999999999999</v>
          </cell>
          <cell r="I55">
            <v>0.61302000000000001</v>
          </cell>
          <cell r="J55">
            <v>0.54090000000000005</v>
          </cell>
          <cell r="K55">
            <v>0.74644200000000005</v>
          </cell>
          <cell r="L55">
            <v>665800</v>
          </cell>
          <cell r="M55">
            <v>654300</v>
          </cell>
          <cell r="N55">
            <v>663700</v>
          </cell>
          <cell r="O55">
            <v>695800</v>
          </cell>
          <cell r="P55">
            <v>832000</v>
          </cell>
          <cell r="Q55" t="e">
            <v>#VALUE!</v>
          </cell>
          <cell r="R55">
            <v>-11500</v>
          </cell>
          <cell r="S55">
            <v>32100</v>
          </cell>
          <cell r="T55" t="e">
            <v>#VALUE!</v>
          </cell>
        </row>
        <row r="56">
          <cell r="B56">
            <v>50</v>
          </cell>
          <cell r="C56">
            <v>46</v>
          </cell>
          <cell r="E56" t="str">
            <v>Complementary feeding - Supplementary feeding + Education</v>
          </cell>
          <cell r="F56">
            <v>0.60099999999999998</v>
          </cell>
          <cell r="G56">
            <v>0.48681000000000002</v>
          </cell>
          <cell r="H56">
            <v>0.48681000000000002</v>
          </cell>
          <cell r="I56">
            <v>0.61302000000000001</v>
          </cell>
          <cell r="J56">
            <v>0.54090000000000005</v>
          </cell>
          <cell r="K56">
            <v>0.74644200000000005</v>
          </cell>
          <cell r="L56">
            <v>332900</v>
          </cell>
          <cell r="M56">
            <v>273200</v>
          </cell>
          <cell r="N56">
            <v>277100</v>
          </cell>
          <cell r="O56">
            <v>347900</v>
          </cell>
          <cell r="P56">
            <v>416000</v>
          </cell>
          <cell r="Q56" t="e">
            <v>#VALUE!</v>
          </cell>
          <cell r="R56">
            <v>-59700</v>
          </cell>
          <cell r="S56">
            <v>70800</v>
          </cell>
          <cell r="T56" t="e">
            <v>#VALUE!</v>
          </cell>
        </row>
        <row r="57">
          <cell r="B57">
            <v>51</v>
          </cell>
          <cell r="C57">
            <v>55</v>
          </cell>
          <cell r="D57" t="str">
            <v>Vaccines</v>
          </cell>
          <cell r="E57" t="str">
            <v>BCG - Single dose</v>
          </cell>
          <cell r="F57">
            <v>0.98</v>
          </cell>
          <cell r="G57">
            <v>0.75460000000000005</v>
          </cell>
          <cell r="H57">
            <v>0.75460000000000005</v>
          </cell>
          <cell r="I57">
            <v>0.99960000000000004</v>
          </cell>
          <cell r="J57">
            <v>0.88200000000000001</v>
          </cell>
          <cell r="K57">
            <v>1</v>
          </cell>
          <cell r="L57">
            <v>1085600</v>
          </cell>
          <cell r="M57">
            <v>846900</v>
          </cell>
          <cell r="N57">
            <v>859100</v>
          </cell>
          <cell r="O57">
            <v>1134600</v>
          </cell>
          <cell r="P57">
            <v>1356700</v>
          </cell>
          <cell r="Q57" t="e">
            <v>#VALUE!</v>
          </cell>
          <cell r="R57">
            <v>-238700</v>
          </cell>
          <cell r="S57">
            <v>275500</v>
          </cell>
          <cell r="T57" t="e">
            <v>#VALUE!</v>
          </cell>
        </row>
        <row r="58">
          <cell r="B58">
            <v>52</v>
          </cell>
          <cell r="C58">
            <v>56</v>
          </cell>
          <cell r="E58" t="str">
            <v>Polio - Three doses</v>
          </cell>
          <cell r="F58">
            <v>0.85</v>
          </cell>
          <cell r="G58">
            <v>0.65449999999999997</v>
          </cell>
          <cell r="H58">
            <v>0.65449999999999997</v>
          </cell>
          <cell r="I58">
            <v>0.86699999999999999</v>
          </cell>
          <cell r="J58">
            <v>0.76500000000000001</v>
          </cell>
          <cell r="K58">
            <v>1</v>
          </cell>
          <cell r="L58">
            <v>941600</v>
          </cell>
          <cell r="M58">
            <v>734600</v>
          </cell>
          <cell r="N58">
            <v>745100</v>
          </cell>
          <cell r="O58">
            <v>984100</v>
          </cell>
          <cell r="P58">
            <v>1176700</v>
          </cell>
          <cell r="Q58" t="e">
            <v>#VALUE!</v>
          </cell>
          <cell r="R58">
            <v>-207000</v>
          </cell>
          <cell r="S58">
            <v>239000</v>
          </cell>
          <cell r="T58" t="e">
            <v>#VALUE!</v>
          </cell>
        </row>
        <row r="59">
          <cell r="E59" t="str">
            <v>Pentavalent</v>
          </cell>
        </row>
        <row r="60">
          <cell r="B60">
            <v>53</v>
          </cell>
          <cell r="C60">
            <v>57</v>
          </cell>
          <cell r="E60" t="str">
            <v>DPT - Three doses</v>
          </cell>
          <cell r="F60">
            <v>0.84</v>
          </cell>
          <cell r="G60">
            <v>0.64680000000000004</v>
          </cell>
          <cell r="H60">
            <v>0.64680000000000004</v>
          </cell>
          <cell r="I60">
            <v>0.85680000000000001</v>
          </cell>
          <cell r="J60">
            <v>0.75600000000000001</v>
          </cell>
          <cell r="K60">
            <v>1</v>
          </cell>
          <cell r="L60">
            <v>930500</v>
          </cell>
          <cell r="M60">
            <v>725900</v>
          </cell>
          <cell r="N60">
            <v>736300</v>
          </cell>
          <cell r="O60">
            <v>972500</v>
          </cell>
          <cell r="P60">
            <v>1162900</v>
          </cell>
          <cell r="Q60" t="e">
            <v>#VALUE!</v>
          </cell>
          <cell r="R60">
            <v>-204600</v>
          </cell>
          <cell r="S60">
            <v>236200</v>
          </cell>
          <cell r="T60" t="e">
            <v>#VALUE!</v>
          </cell>
        </row>
        <row r="61">
          <cell r="B61">
            <v>54</v>
          </cell>
          <cell r="C61">
            <v>58</v>
          </cell>
          <cell r="E61" t="str">
            <v>Hib - Three doses</v>
          </cell>
          <cell r="F61">
            <v>0.84</v>
          </cell>
          <cell r="G61">
            <v>0.64680000000000004</v>
          </cell>
          <cell r="H61">
            <v>0.64680000000000004</v>
          </cell>
          <cell r="I61">
            <v>0.85680000000000001</v>
          </cell>
          <cell r="J61">
            <v>0.75600000000000001</v>
          </cell>
          <cell r="K61">
            <v>1</v>
          </cell>
          <cell r="L61">
            <v>930500</v>
          </cell>
          <cell r="M61">
            <v>725900</v>
          </cell>
          <cell r="N61">
            <v>736300</v>
          </cell>
          <cell r="O61">
            <v>972500</v>
          </cell>
          <cell r="P61">
            <v>1162900</v>
          </cell>
          <cell r="Q61" t="e">
            <v>#VALUE!</v>
          </cell>
          <cell r="R61">
            <v>-204600</v>
          </cell>
          <cell r="S61">
            <v>236200</v>
          </cell>
          <cell r="T61" t="e">
            <v>#VALUE!</v>
          </cell>
        </row>
        <row r="62">
          <cell r="B62">
            <v>55</v>
          </cell>
          <cell r="C62">
            <v>59</v>
          </cell>
          <cell r="E62" t="str">
            <v>HepB - Three doses</v>
          </cell>
          <cell r="F62">
            <v>0.84</v>
          </cell>
          <cell r="G62">
            <v>0.64680000000000004</v>
          </cell>
          <cell r="H62">
            <v>0.64680000000000004</v>
          </cell>
          <cell r="I62">
            <v>0.85680000000000001</v>
          </cell>
          <cell r="J62">
            <v>0.75600000000000001</v>
          </cell>
          <cell r="K62">
            <v>1</v>
          </cell>
          <cell r="L62">
            <v>930500</v>
          </cell>
          <cell r="M62">
            <v>725900</v>
          </cell>
          <cell r="N62">
            <v>736300</v>
          </cell>
          <cell r="O62">
            <v>972500</v>
          </cell>
          <cell r="P62">
            <v>1162900</v>
          </cell>
          <cell r="Q62" t="e">
            <v>#VALUE!</v>
          </cell>
          <cell r="R62">
            <v>-204600</v>
          </cell>
          <cell r="S62">
            <v>236200</v>
          </cell>
          <cell r="T62" t="e">
            <v>#VALUE!</v>
          </cell>
        </row>
        <row r="63">
          <cell r="B63">
            <v>56</v>
          </cell>
          <cell r="C63">
            <v>60</v>
          </cell>
          <cell r="E63" t="str">
            <v>Pneumococcal - Three doses</v>
          </cell>
          <cell r="F63">
            <v>0.37</v>
          </cell>
          <cell r="G63">
            <v>0.28489999999999999</v>
          </cell>
          <cell r="H63">
            <v>0.28489999999999999</v>
          </cell>
          <cell r="I63">
            <v>0.37740000000000001</v>
          </cell>
          <cell r="J63">
            <v>0.33300000000000002</v>
          </cell>
          <cell r="K63">
            <v>0.48285</v>
          </cell>
          <cell r="L63">
            <v>409900</v>
          </cell>
          <cell r="M63">
            <v>319800</v>
          </cell>
          <cell r="N63">
            <v>324300</v>
          </cell>
          <cell r="O63">
            <v>428400</v>
          </cell>
          <cell r="P63">
            <v>512200</v>
          </cell>
          <cell r="Q63" t="e">
            <v>#VALUE!</v>
          </cell>
          <cell r="R63">
            <v>-90100</v>
          </cell>
          <cell r="S63">
            <v>104100</v>
          </cell>
          <cell r="T63" t="e">
            <v>#VALUE!</v>
          </cell>
        </row>
        <row r="64">
          <cell r="B64">
            <v>57</v>
          </cell>
          <cell r="C64">
            <v>61</v>
          </cell>
          <cell r="E64" t="str">
            <v>Rotavirus - Two doses</v>
          </cell>
          <cell r="F64">
            <v>0.05</v>
          </cell>
          <cell r="G64">
            <v>3.85E-2</v>
          </cell>
          <cell r="H64">
            <v>3.85E-2</v>
          </cell>
          <cell r="I64">
            <v>5.0999999999999997E-2</v>
          </cell>
          <cell r="J64">
            <v>4.4999999999999998E-2</v>
          </cell>
          <cell r="K64">
            <v>6.5250000000000002E-2</v>
          </cell>
          <cell r="L64">
            <v>55400</v>
          </cell>
          <cell r="M64">
            <v>43200</v>
          </cell>
          <cell r="N64">
            <v>43800</v>
          </cell>
          <cell r="O64">
            <v>57900</v>
          </cell>
          <cell r="P64">
            <v>69200</v>
          </cell>
          <cell r="Q64" t="e">
            <v>#VALUE!</v>
          </cell>
          <cell r="R64">
            <v>-12200</v>
          </cell>
          <cell r="S64">
            <v>14100</v>
          </cell>
          <cell r="T64" t="e">
            <v>#VALUE!</v>
          </cell>
        </row>
        <row r="65">
          <cell r="B65">
            <v>58</v>
          </cell>
          <cell r="C65">
            <v>62</v>
          </cell>
          <cell r="E65" t="str">
            <v>Meningococcal A - Single dose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 t="e">
            <v>#VALUE!</v>
          </cell>
          <cell r="R65">
            <v>0</v>
          </cell>
          <cell r="S65">
            <v>0</v>
          </cell>
          <cell r="T65" t="e">
            <v>#VALUE!</v>
          </cell>
        </row>
        <row r="66">
          <cell r="B66">
            <v>59</v>
          </cell>
          <cell r="C66">
            <v>63</v>
          </cell>
          <cell r="E66" t="str">
            <v>Malaria vaccine - Three doses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 t="e">
            <v>#VALUE!</v>
          </cell>
          <cell r="R66">
            <v>0</v>
          </cell>
          <cell r="S66">
            <v>0</v>
          </cell>
          <cell r="T66" t="e">
            <v>#VALUE!</v>
          </cell>
        </row>
        <row r="67">
          <cell r="B67">
            <v>60</v>
          </cell>
          <cell r="C67">
            <v>64</v>
          </cell>
          <cell r="E67" t="str">
            <v>Measles - Single dose</v>
          </cell>
          <cell r="F67">
            <v>0.82</v>
          </cell>
          <cell r="G67">
            <v>0.63139999999999996</v>
          </cell>
          <cell r="H67">
            <v>0.63139999999999996</v>
          </cell>
          <cell r="I67">
            <v>0.83640000000000003</v>
          </cell>
          <cell r="J67">
            <v>0.73799999999999999</v>
          </cell>
          <cell r="K67">
            <v>1</v>
          </cell>
          <cell r="L67">
            <v>908400</v>
          </cell>
          <cell r="M67">
            <v>708600</v>
          </cell>
          <cell r="N67">
            <v>718800</v>
          </cell>
          <cell r="O67">
            <v>949300</v>
          </cell>
          <cell r="P67">
            <v>1135200</v>
          </cell>
          <cell r="Q67" t="e">
            <v>#VALUE!</v>
          </cell>
          <cell r="R67">
            <v>-199800</v>
          </cell>
          <cell r="S67">
            <v>230500</v>
          </cell>
          <cell r="T67" t="e">
            <v>#VALUE!</v>
          </cell>
        </row>
        <row r="68">
          <cell r="B68">
            <v>61</v>
          </cell>
          <cell r="C68">
            <v>47</v>
          </cell>
          <cell r="D68" t="str">
            <v>Child Health</v>
          </cell>
          <cell r="E68" t="str">
            <v>Vitamin A supplementation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 t="e">
            <v>#VALUE!</v>
          </cell>
          <cell r="R68">
            <v>0</v>
          </cell>
          <cell r="S68">
            <v>0</v>
          </cell>
          <cell r="T68" t="e">
            <v>#VALUE!</v>
          </cell>
        </row>
        <row r="69">
          <cell r="B69">
            <v>62</v>
          </cell>
          <cell r="C69">
            <v>48</v>
          </cell>
          <cell r="E69" t="str">
            <v>Zinc supplementation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 t="e">
            <v>#VALUE!</v>
          </cell>
          <cell r="R69">
            <v>0</v>
          </cell>
          <cell r="S69">
            <v>0</v>
          </cell>
          <cell r="T69" t="e">
            <v>#VALUE!</v>
          </cell>
        </row>
        <row r="70">
          <cell r="B70">
            <v>63</v>
          </cell>
          <cell r="C70">
            <v>71</v>
          </cell>
          <cell r="E70" t="str">
            <v>ORS - Oral Rehydration Solution</v>
          </cell>
          <cell r="F70">
            <v>0.254</v>
          </cell>
          <cell r="G70">
            <v>0.20574000000000001</v>
          </cell>
          <cell r="H70">
            <v>0.20574000000000001</v>
          </cell>
          <cell r="I70">
            <v>0.25907999999999998</v>
          </cell>
          <cell r="J70">
            <v>0.2286</v>
          </cell>
          <cell r="K70">
            <v>0.33146999999999999</v>
          </cell>
          <cell r="L70">
            <v>690000</v>
          </cell>
          <cell r="M70">
            <v>566200</v>
          </cell>
          <cell r="N70">
            <v>574400</v>
          </cell>
          <cell r="O70">
            <v>3450900</v>
          </cell>
          <cell r="P70">
            <v>862300</v>
          </cell>
          <cell r="Q70" t="e">
            <v>#VALUE!</v>
          </cell>
          <cell r="R70">
            <v>-123800</v>
          </cell>
          <cell r="S70">
            <v>2876500</v>
          </cell>
          <cell r="T70" t="e">
            <v>#VALUE!</v>
          </cell>
        </row>
        <row r="71">
          <cell r="B71">
            <v>64</v>
          </cell>
          <cell r="C71">
            <v>72</v>
          </cell>
          <cell r="E71" t="str">
            <v>Antibiotics for treatment of dysentery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 t="e">
            <v>#VALUE!</v>
          </cell>
          <cell r="R71">
            <v>0</v>
          </cell>
          <cell r="S71">
            <v>0</v>
          </cell>
          <cell r="T71" t="e">
            <v>#VALUE!</v>
          </cell>
        </row>
        <row r="72">
          <cell r="B72">
            <v>65</v>
          </cell>
          <cell r="C72">
            <v>73</v>
          </cell>
          <cell r="E72" t="str">
            <v>Zinc for treatment of diarrhea</v>
          </cell>
          <cell r="F72">
            <v>7.3999999999999996E-2</v>
          </cell>
          <cell r="G72">
            <v>5.994E-2</v>
          </cell>
          <cell r="H72">
            <v>5.994E-2</v>
          </cell>
          <cell r="I72">
            <v>7.5480000000000005E-2</v>
          </cell>
          <cell r="J72">
            <v>6.6600000000000006E-2</v>
          </cell>
          <cell r="K72">
            <v>9.6570000000000003E-2</v>
          </cell>
          <cell r="L72">
            <v>201000</v>
          </cell>
          <cell r="M72">
            <v>165000</v>
          </cell>
          <cell r="N72">
            <v>167300</v>
          </cell>
          <cell r="O72">
            <v>1005400</v>
          </cell>
          <cell r="P72">
            <v>251200</v>
          </cell>
          <cell r="Q72" t="e">
            <v>#VALUE!</v>
          </cell>
          <cell r="R72">
            <v>-36000</v>
          </cell>
          <cell r="S72">
            <v>838100</v>
          </cell>
          <cell r="T72" t="e">
            <v>#VALUE!</v>
          </cell>
        </row>
        <row r="73">
          <cell r="B73">
            <v>66</v>
          </cell>
          <cell r="C73">
            <v>74</v>
          </cell>
          <cell r="E73" t="str">
            <v>Oral antibiotics for pneumonia</v>
          </cell>
          <cell r="F73">
            <v>0.40300000000000002</v>
          </cell>
          <cell r="G73">
            <v>0.32643</v>
          </cell>
          <cell r="H73">
            <v>0.32643</v>
          </cell>
          <cell r="I73">
            <v>0.41105999999999998</v>
          </cell>
          <cell r="J73">
            <v>0.36270000000000002</v>
          </cell>
          <cell r="K73">
            <v>0.52591500000000002</v>
          </cell>
          <cell r="L73">
            <v>15200</v>
          </cell>
          <cell r="M73">
            <v>12500</v>
          </cell>
          <cell r="N73">
            <v>12600</v>
          </cell>
          <cell r="O73">
            <v>1454400</v>
          </cell>
          <cell r="P73">
            <v>363400</v>
          </cell>
          <cell r="Q73" t="e">
            <v>#VALUE!</v>
          </cell>
          <cell r="R73">
            <v>-2700</v>
          </cell>
          <cell r="S73">
            <v>1441800</v>
          </cell>
          <cell r="T73" t="e">
            <v>#VALUE!</v>
          </cell>
        </row>
        <row r="74">
          <cell r="B74">
            <v>67</v>
          </cell>
          <cell r="C74">
            <v>75</v>
          </cell>
          <cell r="E74" t="str">
            <v>Vitamin A for treatment of measles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 t="e">
            <v>#VALUE!</v>
          </cell>
          <cell r="R74">
            <v>0</v>
          </cell>
          <cell r="S74">
            <v>0</v>
          </cell>
          <cell r="T74" t="e">
            <v>#VALUE!</v>
          </cell>
        </row>
        <row r="75">
          <cell r="B75">
            <v>68</v>
          </cell>
          <cell r="C75">
            <v>76</v>
          </cell>
          <cell r="E75" t="str">
            <v>ACTs - Artemisinin compounds for treatment of malaria</v>
          </cell>
          <cell r="F75">
            <v>0.5</v>
          </cell>
          <cell r="G75">
            <v>0.40500000000000003</v>
          </cell>
          <cell r="H75">
            <v>0.40500000000000003</v>
          </cell>
          <cell r="I75">
            <v>0.51</v>
          </cell>
          <cell r="J75">
            <v>0.45</v>
          </cell>
          <cell r="K75">
            <v>0.65249999999999997</v>
          </cell>
          <cell r="L75">
            <v>4921500</v>
          </cell>
          <cell r="M75">
            <v>4080500</v>
          </cell>
          <cell r="N75">
            <v>4181800</v>
          </cell>
          <cell r="O75">
            <v>5266000</v>
          </cell>
          <cell r="P75">
            <v>4646500</v>
          </cell>
          <cell r="Q75">
            <v>6737400</v>
          </cell>
          <cell r="R75">
            <v>-841000</v>
          </cell>
          <cell r="S75">
            <v>1084200</v>
          </cell>
          <cell r="T75">
            <v>2090900</v>
          </cell>
        </row>
        <row r="76">
          <cell r="B76">
            <v>69</v>
          </cell>
          <cell r="C76">
            <v>77</v>
          </cell>
          <cell r="D76" t="str">
            <v>Malnutrition</v>
          </cell>
          <cell r="E76" t="str">
            <v>SAM - treatment for severe acute malnutrition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 t="e">
            <v>#VALUE!</v>
          </cell>
          <cell r="R76">
            <v>0</v>
          </cell>
          <cell r="S76">
            <v>0</v>
          </cell>
          <cell r="T76" t="e">
            <v>#VALUE!</v>
          </cell>
        </row>
        <row r="77">
          <cell r="B77">
            <v>70</v>
          </cell>
          <cell r="C77">
            <v>78</v>
          </cell>
          <cell r="E77" t="str">
            <v>MAM - treatment for moderate acute malnutrition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 t="e">
            <v>#VALUE!</v>
          </cell>
          <cell r="R77">
            <v>0</v>
          </cell>
          <cell r="S77">
            <v>0</v>
          </cell>
          <cell r="T77" t="e">
            <v>#VALUE!</v>
          </cell>
        </row>
        <row r="78">
          <cell r="B78">
            <v>71</v>
          </cell>
          <cell r="C78">
            <v>54</v>
          </cell>
          <cell r="D78" t="str">
            <v>Other</v>
          </cell>
          <cell r="E78" t="str">
            <v>ITN/IRS - Households protected from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 t="e">
            <v>#VALUE!</v>
          </cell>
          <cell r="R78">
            <v>0</v>
          </cell>
          <cell r="S78">
            <v>0</v>
          </cell>
          <cell r="T78" t="e">
            <v>#VALUE!</v>
          </cell>
        </row>
      </sheetData>
      <sheetData sheetId="21"/>
      <sheetData sheetId="22"/>
      <sheetData sheetId="23">
        <row r="4">
          <cell r="B4">
            <v>1</v>
          </cell>
          <cell r="C4">
            <v>7</v>
          </cell>
          <cell r="D4" t="str">
            <v>FP - Pills</v>
          </cell>
          <cell r="E4">
            <v>12</v>
          </cell>
          <cell r="F4">
            <v>1</v>
          </cell>
          <cell r="G4">
            <v>12</v>
          </cell>
          <cell r="I4">
            <v>12</v>
          </cell>
        </row>
        <row r="5">
          <cell r="B5">
            <v>2</v>
          </cell>
          <cell r="C5">
            <v>1</v>
          </cell>
          <cell r="D5" t="str">
            <v>FP - Condoms</v>
          </cell>
          <cell r="E5">
            <v>12</v>
          </cell>
          <cell r="F5">
            <v>1</v>
          </cell>
          <cell r="G5">
            <v>12</v>
          </cell>
          <cell r="I5">
            <v>12</v>
          </cell>
        </row>
        <row r="6">
          <cell r="B6">
            <v>3</v>
          </cell>
          <cell r="C6">
            <v>4</v>
          </cell>
          <cell r="D6" t="str">
            <v>FP - Injectables</v>
          </cell>
          <cell r="E6">
            <v>4</v>
          </cell>
          <cell r="F6">
            <v>1</v>
          </cell>
          <cell r="G6">
            <v>4</v>
          </cell>
          <cell r="I6">
            <v>4</v>
          </cell>
        </row>
        <row r="7">
          <cell r="B7">
            <v>4</v>
          </cell>
          <cell r="C7">
            <v>5</v>
          </cell>
          <cell r="D7" t="str">
            <v>FP - Implants</v>
          </cell>
          <cell r="E7">
            <v>1</v>
          </cell>
          <cell r="F7">
            <v>1</v>
          </cell>
          <cell r="G7">
            <v>1</v>
          </cell>
          <cell r="I7">
            <v>1</v>
          </cell>
        </row>
        <row r="8">
          <cell r="B8">
            <v>5</v>
          </cell>
          <cell r="C8">
            <v>6</v>
          </cell>
          <cell r="D8" t="str">
            <v>FP - IUD</v>
          </cell>
          <cell r="E8">
            <v>1</v>
          </cell>
          <cell r="F8">
            <v>1</v>
          </cell>
          <cell r="G8">
            <v>1</v>
          </cell>
          <cell r="I8">
            <v>1</v>
          </cell>
        </row>
        <row r="9">
          <cell r="B9">
            <v>6</v>
          </cell>
          <cell r="C9">
            <v>2</v>
          </cell>
          <cell r="D9" t="str">
            <v>FP - Female Sterilization</v>
          </cell>
          <cell r="E9">
            <v>1</v>
          </cell>
          <cell r="F9">
            <v>2</v>
          </cell>
          <cell r="G9">
            <v>2</v>
          </cell>
          <cell r="I9">
            <v>1</v>
          </cell>
        </row>
        <row r="10">
          <cell r="B10">
            <v>7</v>
          </cell>
          <cell r="C10">
            <v>3</v>
          </cell>
          <cell r="D10" t="str">
            <v>FP - Male Sterilization</v>
          </cell>
          <cell r="E10">
            <v>1</v>
          </cell>
          <cell r="F10">
            <v>2</v>
          </cell>
          <cell r="G10">
            <v>2</v>
          </cell>
          <cell r="I10">
            <v>1</v>
          </cell>
        </row>
        <row r="11">
          <cell r="B11">
            <v>8</v>
          </cell>
          <cell r="C11">
            <v>8</v>
          </cell>
          <cell r="D11" t="str">
            <v>FP - Traditional Methods</v>
          </cell>
          <cell r="E11">
            <v>0</v>
          </cell>
          <cell r="F11">
            <v>0</v>
          </cell>
          <cell r="G11">
            <v>0</v>
          </cell>
          <cell r="I11">
            <v>0</v>
          </cell>
        </row>
        <row r="12">
          <cell r="B12" t="str">
            <v>Int#</v>
          </cell>
          <cell r="C12" t="str">
            <v>LiST#</v>
          </cell>
          <cell r="D12" t="str">
            <v>Intervention</v>
          </cell>
          <cell r="E12" t="str">
            <v>Number of Visits per Pregnant Woman</v>
          </cell>
          <cell r="F12" t="str">
            <v>Number of Health Workers involved in each Visit</v>
          </cell>
          <cell r="G12" t="str">
            <v>Number of Health Worker Contacts</v>
          </cell>
          <cell r="I12" t="str">
            <v>No of Visits if Part of Package</v>
          </cell>
        </row>
        <row r="13">
          <cell r="B13">
            <v>100</v>
          </cell>
          <cell r="C13">
            <v>100</v>
          </cell>
          <cell r="D13" t="str">
            <v>ANTENATAL CARE</v>
          </cell>
          <cell r="E13">
            <v>8</v>
          </cell>
          <cell r="F13">
            <v>1</v>
          </cell>
          <cell r="G13">
            <v>8</v>
          </cell>
          <cell r="I13">
            <v>8</v>
          </cell>
        </row>
        <row r="14">
          <cell r="B14">
            <v>11</v>
          </cell>
          <cell r="C14">
            <v>16</v>
          </cell>
          <cell r="D14" t="str">
            <v>TT - Tetanus toxoid vaccination</v>
          </cell>
          <cell r="E14">
            <v>2</v>
          </cell>
          <cell r="F14">
            <v>1</v>
          </cell>
          <cell r="G14">
            <v>2</v>
          </cell>
          <cell r="I14">
            <v>0</v>
          </cell>
        </row>
        <row r="15">
          <cell r="B15">
            <v>12</v>
          </cell>
          <cell r="C15">
            <v>17</v>
          </cell>
          <cell r="D15" t="str">
            <v>IPTp - Intermittent preventive treatment of malaria during pregnancy</v>
          </cell>
          <cell r="E15">
            <v>3</v>
          </cell>
          <cell r="F15">
            <v>1</v>
          </cell>
          <cell r="G15">
            <v>3</v>
          </cell>
          <cell r="I15">
            <v>0</v>
          </cell>
        </row>
        <row r="16">
          <cell r="B16">
            <v>13</v>
          </cell>
          <cell r="C16">
            <v>18</v>
          </cell>
          <cell r="D16" t="str">
            <v>Syphilis detection and treatment</v>
          </cell>
          <cell r="E16">
            <v>2</v>
          </cell>
          <cell r="F16">
            <v>1</v>
          </cell>
          <cell r="G16">
            <v>2</v>
          </cell>
          <cell r="I16">
            <v>0</v>
          </cell>
        </row>
        <row r="17">
          <cell r="B17">
            <v>14</v>
          </cell>
          <cell r="C17">
            <v>19</v>
          </cell>
          <cell r="D17" t="str">
            <v>Calcium supplementation</v>
          </cell>
          <cell r="E17">
            <v>4</v>
          </cell>
          <cell r="F17">
            <v>1</v>
          </cell>
          <cell r="G17">
            <v>4</v>
          </cell>
          <cell r="I17">
            <v>0</v>
          </cell>
        </row>
        <row r="18">
          <cell r="B18">
            <v>15</v>
          </cell>
          <cell r="C18">
            <v>20</v>
          </cell>
          <cell r="D18" t="str">
            <v>Iron supplementation in pregnancy</v>
          </cell>
          <cell r="E18">
            <v>4</v>
          </cell>
          <cell r="F18">
            <v>1</v>
          </cell>
          <cell r="G18">
            <v>4</v>
          </cell>
          <cell r="I18">
            <v>0</v>
          </cell>
        </row>
        <row r="19">
          <cell r="B19">
            <v>16</v>
          </cell>
          <cell r="C19">
            <v>21</v>
          </cell>
          <cell r="D19" t="str">
            <v>Multiple micronutrient supplementation in pregnancy</v>
          </cell>
          <cell r="E19">
            <v>4</v>
          </cell>
          <cell r="F19">
            <v>1</v>
          </cell>
          <cell r="G19">
            <v>4</v>
          </cell>
          <cell r="I19">
            <v>0</v>
          </cell>
        </row>
        <row r="20">
          <cell r="B20">
            <v>17</v>
          </cell>
          <cell r="C20">
            <v>22</v>
          </cell>
          <cell r="D20" t="str">
            <v>Balanced energy supplementation</v>
          </cell>
          <cell r="E20">
            <v>4</v>
          </cell>
          <cell r="F20">
            <v>1</v>
          </cell>
          <cell r="G20">
            <v>4</v>
          </cell>
          <cell r="I20">
            <v>0</v>
          </cell>
        </row>
        <row r="21">
          <cell r="B21">
            <v>18</v>
          </cell>
          <cell r="C21">
            <v>23</v>
          </cell>
          <cell r="D21" t="str">
            <v>Hypertensive disorder case management</v>
          </cell>
          <cell r="E21">
            <v>4</v>
          </cell>
          <cell r="F21">
            <v>1</v>
          </cell>
          <cell r="G21">
            <v>4</v>
          </cell>
          <cell r="I21">
            <v>0</v>
          </cell>
        </row>
        <row r="22">
          <cell r="B22">
            <v>19</v>
          </cell>
          <cell r="C22">
            <v>24</v>
          </cell>
          <cell r="D22" t="str">
            <v>Diabetes case management</v>
          </cell>
          <cell r="E22">
            <v>4</v>
          </cell>
          <cell r="F22">
            <v>1</v>
          </cell>
          <cell r="G22">
            <v>4</v>
          </cell>
          <cell r="I22">
            <v>0</v>
          </cell>
        </row>
        <row r="23">
          <cell r="B23">
            <v>20</v>
          </cell>
          <cell r="C23">
            <v>25</v>
          </cell>
          <cell r="D23" t="str">
            <v>Malaria case management</v>
          </cell>
          <cell r="E23">
            <v>2</v>
          </cell>
          <cell r="F23">
            <v>1</v>
          </cell>
          <cell r="G23">
            <v>2</v>
          </cell>
          <cell r="I23">
            <v>0</v>
          </cell>
        </row>
        <row r="24">
          <cell r="B24">
            <v>21</v>
          </cell>
          <cell r="C24">
            <v>26</v>
          </cell>
          <cell r="D24" t="str">
            <v>MgSO4 management of pre-eclampsia</v>
          </cell>
          <cell r="E24">
            <v>1</v>
          </cell>
          <cell r="F24">
            <v>2</v>
          </cell>
          <cell r="G24">
            <v>2</v>
          </cell>
          <cell r="I24">
            <v>1</v>
          </cell>
        </row>
        <row r="25">
          <cell r="B25" t="str">
            <v>Int#</v>
          </cell>
          <cell r="C25" t="str">
            <v>LiST#</v>
          </cell>
          <cell r="D25" t="str">
            <v>Intervention</v>
          </cell>
          <cell r="E25" t="str">
            <v>Hospital Stay in Days</v>
          </cell>
          <cell r="F25" t="str">
            <v>Avg. No of Health Workers Seen per Day</v>
          </cell>
          <cell r="G25" t="str">
            <v>Number of Health Worker Contacts</v>
          </cell>
          <cell r="I25" t="str">
            <v>No of Visits if Part of Package</v>
          </cell>
        </row>
        <row r="26">
          <cell r="B26">
            <v>200</v>
          </cell>
          <cell r="C26">
            <v>200</v>
          </cell>
          <cell r="D26" t="str">
            <v>FACILITY-BASED DELIVERY</v>
          </cell>
          <cell r="E26">
            <v>2</v>
          </cell>
          <cell r="F26">
            <v>2</v>
          </cell>
          <cell r="G26">
            <v>4</v>
          </cell>
          <cell r="I26">
            <v>2</v>
          </cell>
          <cell r="N26">
            <v>287100</v>
          </cell>
        </row>
        <row r="27">
          <cell r="B27">
            <v>23</v>
          </cell>
          <cell r="C27">
            <v>28</v>
          </cell>
          <cell r="D27" t="str">
            <v>Clean birth environment</v>
          </cell>
        </row>
        <row r="28">
          <cell r="B28">
            <v>24</v>
          </cell>
          <cell r="C28">
            <v>32</v>
          </cell>
          <cell r="D28" t="str">
            <v>Manual removal of placenta</v>
          </cell>
          <cell r="E28">
            <v>2</v>
          </cell>
          <cell r="F28">
            <v>2</v>
          </cell>
          <cell r="G28">
            <v>4</v>
          </cell>
          <cell r="I28">
            <v>0</v>
          </cell>
        </row>
        <row r="29">
          <cell r="B29">
            <v>25</v>
          </cell>
          <cell r="C29">
            <v>33</v>
          </cell>
          <cell r="D29" t="str">
            <v>MgSO4 management of eclampsia</v>
          </cell>
          <cell r="E29">
            <v>5</v>
          </cell>
          <cell r="F29">
            <v>2</v>
          </cell>
          <cell r="G29">
            <v>10</v>
          </cell>
          <cell r="I29">
            <v>0</v>
          </cell>
        </row>
        <row r="30">
          <cell r="B30">
            <v>26</v>
          </cell>
          <cell r="C30">
            <v>34</v>
          </cell>
          <cell r="D30" t="str">
            <v>Antibiotics for preterm or prolonged PROM</v>
          </cell>
          <cell r="E30">
            <v>3</v>
          </cell>
          <cell r="F30">
            <v>2</v>
          </cell>
          <cell r="G30">
            <v>6</v>
          </cell>
          <cell r="I30">
            <v>0</v>
          </cell>
        </row>
        <row r="31">
          <cell r="B31">
            <v>27</v>
          </cell>
          <cell r="C31">
            <v>35</v>
          </cell>
          <cell r="D31" t="str">
            <v>Parenteral administration of antibiotics</v>
          </cell>
          <cell r="E31">
            <v>5</v>
          </cell>
          <cell r="F31">
            <v>2</v>
          </cell>
          <cell r="G31">
            <v>10</v>
          </cell>
          <cell r="I31">
            <v>0</v>
          </cell>
        </row>
        <row r="32">
          <cell r="B32">
            <v>28</v>
          </cell>
          <cell r="C32">
            <v>36</v>
          </cell>
          <cell r="D32" t="str">
            <v>Assisted vaginal delivery</v>
          </cell>
          <cell r="E32">
            <v>2</v>
          </cell>
          <cell r="F32">
            <v>2</v>
          </cell>
          <cell r="G32">
            <v>4</v>
          </cell>
          <cell r="I32">
            <v>0</v>
          </cell>
        </row>
        <row r="33">
          <cell r="B33">
            <v>29</v>
          </cell>
          <cell r="C33">
            <v>38</v>
          </cell>
          <cell r="D33" t="str">
            <v>Active management of third stage of labor (AMTSL)</v>
          </cell>
          <cell r="F33">
            <v>2</v>
          </cell>
          <cell r="G33">
            <v>2</v>
          </cell>
          <cell r="I33">
            <v>0</v>
          </cell>
        </row>
        <row r="34">
          <cell r="B34">
            <v>30</v>
          </cell>
          <cell r="C34">
            <v>39</v>
          </cell>
          <cell r="D34" t="str">
            <v>Removal of retained products of conception</v>
          </cell>
          <cell r="E34">
            <v>2</v>
          </cell>
          <cell r="F34">
            <v>2</v>
          </cell>
          <cell r="G34">
            <v>4</v>
          </cell>
          <cell r="I34">
            <v>0</v>
          </cell>
        </row>
        <row r="35">
          <cell r="B35">
            <v>31</v>
          </cell>
          <cell r="C35">
            <v>40</v>
          </cell>
          <cell r="D35" t="str">
            <v>Induction of labor for pregnancies lasting 41+ weeks</v>
          </cell>
          <cell r="E35">
            <v>1</v>
          </cell>
          <cell r="F35">
            <v>1</v>
          </cell>
          <cell r="G35">
            <v>1</v>
          </cell>
          <cell r="I35">
            <v>0</v>
          </cell>
        </row>
        <row r="36">
          <cell r="B36">
            <v>32</v>
          </cell>
          <cell r="C36">
            <v>41</v>
          </cell>
          <cell r="D36" t="str">
            <v>Antenatal corticosteroids for preterm labor</v>
          </cell>
          <cell r="E36">
            <v>2</v>
          </cell>
          <cell r="F36">
            <v>2</v>
          </cell>
          <cell r="G36">
            <v>4</v>
          </cell>
          <cell r="I36">
            <v>0</v>
          </cell>
        </row>
        <row r="37">
          <cell r="B37">
            <v>33</v>
          </cell>
          <cell r="C37">
            <v>65</v>
          </cell>
          <cell r="D37" t="str">
            <v>Maternal sepsis case management</v>
          </cell>
          <cell r="E37">
            <v>5</v>
          </cell>
          <cell r="F37">
            <v>2</v>
          </cell>
          <cell r="G37">
            <v>10</v>
          </cell>
          <cell r="I37">
            <v>0</v>
          </cell>
        </row>
        <row r="38">
          <cell r="B38">
            <v>34</v>
          </cell>
          <cell r="C38">
            <v>10</v>
          </cell>
          <cell r="D38" t="str">
            <v>Safe abortion services</v>
          </cell>
          <cell r="E38">
            <v>1</v>
          </cell>
          <cell r="F38">
            <v>2</v>
          </cell>
          <cell r="G38">
            <v>2</v>
          </cell>
          <cell r="I38">
            <v>1</v>
          </cell>
        </row>
        <row r="39">
          <cell r="B39">
            <v>35</v>
          </cell>
          <cell r="C39">
            <v>11</v>
          </cell>
          <cell r="D39" t="str">
            <v>Post abortion case management</v>
          </cell>
          <cell r="E39">
            <v>3</v>
          </cell>
          <cell r="F39">
            <v>2</v>
          </cell>
          <cell r="G39">
            <v>6</v>
          </cell>
          <cell r="I39">
            <v>1</v>
          </cell>
        </row>
        <row r="40">
          <cell r="B40">
            <v>36</v>
          </cell>
          <cell r="C40">
            <v>42</v>
          </cell>
          <cell r="D40" t="str">
            <v>Cesarean delivery</v>
          </cell>
          <cell r="E40">
            <v>7</v>
          </cell>
          <cell r="F40">
            <v>3</v>
          </cell>
          <cell r="G40">
            <v>21</v>
          </cell>
          <cell r="I40">
            <v>0</v>
          </cell>
        </row>
        <row r="41">
          <cell r="B41">
            <v>37</v>
          </cell>
          <cell r="C41">
            <v>43</v>
          </cell>
          <cell r="D41" t="str">
            <v>Blood transfusion</v>
          </cell>
          <cell r="E41">
            <v>5</v>
          </cell>
          <cell r="F41">
            <v>2</v>
          </cell>
          <cell r="G41">
            <v>10</v>
          </cell>
          <cell r="I41">
            <v>0</v>
          </cell>
        </row>
        <row r="42">
          <cell r="B42">
            <v>38</v>
          </cell>
          <cell r="C42">
            <v>12</v>
          </cell>
          <cell r="D42" t="str">
            <v>Ectopic pregnancy case management</v>
          </cell>
          <cell r="E42">
            <v>5</v>
          </cell>
          <cell r="F42">
            <v>2</v>
          </cell>
          <cell r="G42">
            <v>10</v>
          </cell>
          <cell r="I42">
            <v>0</v>
          </cell>
        </row>
        <row r="43">
          <cell r="B43">
            <v>39</v>
          </cell>
          <cell r="C43">
            <v>29</v>
          </cell>
          <cell r="D43" t="str">
            <v>Immediate drying and additional stimulation</v>
          </cell>
          <cell r="F43">
            <v>2</v>
          </cell>
          <cell r="G43">
            <v>2</v>
          </cell>
          <cell r="I43">
            <v>0</v>
          </cell>
          <cell r="N43">
            <v>224400</v>
          </cell>
        </row>
        <row r="44">
          <cell r="B44">
            <v>40</v>
          </cell>
          <cell r="C44">
            <v>30</v>
          </cell>
          <cell r="D44" t="str">
            <v>Thermal protection</v>
          </cell>
          <cell r="F44">
            <v>2</v>
          </cell>
          <cell r="G44">
            <v>2</v>
          </cell>
          <cell r="I44">
            <v>0</v>
          </cell>
        </row>
        <row r="45">
          <cell r="B45">
            <v>41</v>
          </cell>
          <cell r="C45">
            <v>31</v>
          </cell>
          <cell r="D45" t="str">
            <v>Clean cord care</v>
          </cell>
          <cell r="F45">
            <v>1</v>
          </cell>
          <cell r="G45">
            <v>1</v>
          </cell>
          <cell r="I45">
            <v>0</v>
          </cell>
        </row>
        <row r="46">
          <cell r="B46">
            <v>42</v>
          </cell>
          <cell r="C46">
            <v>37</v>
          </cell>
          <cell r="D46" t="str">
            <v>Neonatal resuscitation</v>
          </cell>
        </row>
        <row r="47">
          <cell r="D47" t="str">
            <v>Case management of premature babies</v>
          </cell>
        </row>
        <row r="48">
          <cell r="B48">
            <v>43</v>
          </cell>
          <cell r="C48">
            <v>66</v>
          </cell>
          <cell r="D48" t="str">
            <v>Kangaroo-Mother Care (KMC)</v>
          </cell>
          <cell r="F48">
            <v>1</v>
          </cell>
          <cell r="G48">
            <v>1</v>
          </cell>
          <cell r="I48">
            <v>0</v>
          </cell>
        </row>
        <row r="49">
          <cell r="B49">
            <v>44</v>
          </cell>
          <cell r="C49">
            <v>67</v>
          </cell>
          <cell r="D49" t="str">
            <v>Full supportive care of prematurity</v>
          </cell>
          <cell r="E49">
            <v>14</v>
          </cell>
          <cell r="F49">
            <v>2</v>
          </cell>
          <cell r="G49">
            <v>28</v>
          </cell>
          <cell r="I49">
            <v>14</v>
          </cell>
        </row>
        <row r="50">
          <cell r="D50" t="str">
            <v>Case management of neonatal sepsis/pneumonia</v>
          </cell>
        </row>
        <row r="51">
          <cell r="B51">
            <v>45</v>
          </cell>
          <cell r="C51">
            <v>68</v>
          </cell>
          <cell r="D51" t="str">
            <v>Oral antibiotics</v>
          </cell>
          <cell r="F51">
            <v>1</v>
          </cell>
          <cell r="G51">
            <v>1</v>
          </cell>
          <cell r="I51">
            <v>0</v>
          </cell>
        </row>
        <row r="52">
          <cell r="B52">
            <v>46</v>
          </cell>
          <cell r="C52">
            <v>69</v>
          </cell>
          <cell r="D52" t="str">
            <v>Injectable antibiotics</v>
          </cell>
          <cell r="F52">
            <v>1</v>
          </cell>
          <cell r="G52">
            <v>1</v>
          </cell>
          <cell r="I52">
            <v>0</v>
          </cell>
        </row>
        <row r="53">
          <cell r="B53">
            <v>47</v>
          </cell>
          <cell r="C53">
            <v>70</v>
          </cell>
          <cell r="D53" t="str">
            <v>Full supportive care</v>
          </cell>
          <cell r="E53">
            <v>14</v>
          </cell>
          <cell r="F53">
            <v>4</v>
          </cell>
          <cell r="G53">
            <v>56</v>
          </cell>
          <cell r="I53">
            <v>14</v>
          </cell>
        </row>
        <row r="54">
          <cell r="B54" t="str">
            <v>Int#</v>
          </cell>
          <cell r="C54" t="str">
            <v>LiST#</v>
          </cell>
          <cell r="D54" t="str">
            <v>Intervention</v>
          </cell>
          <cell r="E54" t="str">
            <v>Number of Visits per Woman</v>
          </cell>
          <cell r="F54" t="str">
            <v>Number of Health Workers involved in each Visit</v>
          </cell>
          <cell r="G54" t="str">
            <v>Number of Health Worker Contacts</v>
          </cell>
          <cell r="I54" t="str">
            <v>No of Visits if Part of Package</v>
          </cell>
        </row>
        <row r="55">
          <cell r="B55">
            <v>48</v>
          </cell>
          <cell r="C55">
            <v>44</v>
          </cell>
          <cell r="D55" t="str">
            <v>Early Initiation of Breastfeeding</v>
          </cell>
          <cell r="E55">
            <v>2</v>
          </cell>
          <cell r="F55">
            <v>1</v>
          </cell>
          <cell r="G55">
            <v>2</v>
          </cell>
          <cell r="I55">
            <v>2</v>
          </cell>
        </row>
        <row r="56">
          <cell r="B56">
            <v>49</v>
          </cell>
          <cell r="C56">
            <v>45</v>
          </cell>
          <cell r="D56" t="str">
            <v>Complementary feeding - Education only</v>
          </cell>
          <cell r="E56">
            <v>4</v>
          </cell>
          <cell r="F56">
            <v>1</v>
          </cell>
          <cell r="G56">
            <v>4</v>
          </cell>
          <cell r="I56">
            <v>2</v>
          </cell>
        </row>
        <row r="57">
          <cell r="B57">
            <v>50</v>
          </cell>
          <cell r="C57">
            <v>46</v>
          </cell>
          <cell r="D57" t="str">
            <v>Complementary feeding - Supplementary feeding + Education</v>
          </cell>
          <cell r="E57">
            <v>4</v>
          </cell>
          <cell r="F57">
            <v>1</v>
          </cell>
          <cell r="G57">
            <v>4</v>
          </cell>
          <cell r="I57">
            <v>2</v>
          </cell>
        </row>
        <row r="58">
          <cell r="B58" t="str">
            <v>Int#</v>
          </cell>
          <cell r="C58" t="str">
            <v>LiST#</v>
          </cell>
          <cell r="D58" t="str">
            <v>Intervention</v>
          </cell>
          <cell r="E58" t="str">
            <v>Number of Visits per Child</v>
          </cell>
          <cell r="F58" t="str">
            <v>Number of Health Workers involved in each Visit</v>
          </cell>
          <cell r="G58" t="str">
            <v>Number of Health Worker Contacts per Case/Episode</v>
          </cell>
          <cell r="I58" t="str">
            <v>No of Visits if Part of Package</v>
          </cell>
        </row>
        <row r="59">
          <cell r="B59">
            <v>300</v>
          </cell>
          <cell r="C59">
            <v>300</v>
          </cell>
          <cell r="D59" t="str">
            <v>AVERAGE NUMBER OF VACCINATION VISITS PER CHILD IN FiRST LIFE-YEAR</v>
          </cell>
          <cell r="E59">
            <v>6</v>
          </cell>
          <cell r="F59">
            <v>1</v>
          </cell>
          <cell r="G59">
            <v>6</v>
          </cell>
          <cell r="I59">
            <v>6</v>
          </cell>
        </row>
        <row r="60">
          <cell r="B60">
            <v>51</v>
          </cell>
          <cell r="C60">
            <v>55</v>
          </cell>
          <cell r="D60" t="str">
            <v>BCG - Single dose</v>
          </cell>
          <cell r="E60">
            <v>1</v>
          </cell>
          <cell r="F60">
            <v>1</v>
          </cell>
          <cell r="G60">
            <v>1</v>
          </cell>
          <cell r="I60">
            <v>0</v>
          </cell>
        </row>
        <row r="61">
          <cell r="B61">
            <v>52</v>
          </cell>
          <cell r="C61">
            <v>56</v>
          </cell>
          <cell r="D61" t="str">
            <v>Polio - Three doses</v>
          </cell>
          <cell r="E61">
            <v>3</v>
          </cell>
          <cell r="F61">
            <v>1</v>
          </cell>
          <cell r="G61">
            <v>3</v>
          </cell>
          <cell r="I61">
            <v>0</v>
          </cell>
        </row>
        <row r="62">
          <cell r="D62" t="str">
            <v>Pentavalent</v>
          </cell>
        </row>
        <row r="63">
          <cell r="B63">
            <v>53</v>
          </cell>
          <cell r="C63">
            <v>57</v>
          </cell>
          <cell r="D63" t="str">
            <v>DPT - Three doses</v>
          </cell>
          <cell r="E63">
            <v>3</v>
          </cell>
          <cell r="F63">
            <v>1</v>
          </cell>
          <cell r="G63">
            <v>3</v>
          </cell>
          <cell r="I63">
            <v>0</v>
          </cell>
        </row>
        <row r="64">
          <cell r="B64">
            <v>54</v>
          </cell>
          <cell r="C64">
            <v>58</v>
          </cell>
          <cell r="D64" t="str">
            <v>Hib - Three doses</v>
          </cell>
          <cell r="E64">
            <v>3</v>
          </cell>
          <cell r="F64">
            <v>1</v>
          </cell>
          <cell r="G64">
            <v>3</v>
          </cell>
          <cell r="I64">
            <v>0</v>
          </cell>
        </row>
        <row r="65">
          <cell r="B65">
            <v>55</v>
          </cell>
          <cell r="C65">
            <v>59</v>
          </cell>
          <cell r="D65" t="str">
            <v>HepB - Three doses</v>
          </cell>
          <cell r="E65">
            <v>3</v>
          </cell>
          <cell r="F65">
            <v>1</v>
          </cell>
          <cell r="G65">
            <v>3</v>
          </cell>
          <cell r="I65">
            <v>0</v>
          </cell>
        </row>
        <row r="66">
          <cell r="B66">
            <v>56</v>
          </cell>
          <cell r="C66">
            <v>60</v>
          </cell>
          <cell r="D66" t="str">
            <v>Pneumococcal - Three doses</v>
          </cell>
          <cell r="E66">
            <v>3</v>
          </cell>
          <cell r="F66">
            <v>1</v>
          </cell>
          <cell r="G66">
            <v>3</v>
          </cell>
          <cell r="I66">
            <v>0</v>
          </cell>
        </row>
        <row r="67">
          <cell r="B67">
            <v>57</v>
          </cell>
          <cell r="C67">
            <v>61</v>
          </cell>
          <cell r="D67" t="str">
            <v>Rotavirus - Two doses</v>
          </cell>
          <cell r="E67">
            <v>2</v>
          </cell>
          <cell r="F67">
            <v>1</v>
          </cell>
          <cell r="G67">
            <v>2</v>
          </cell>
          <cell r="I67">
            <v>0</v>
          </cell>
        </row>
        <row r="68">
          <cell r="B68">
            <v>58</v>
          </cell>
          <cell r="C68">
            <v>62</v>
          </cell>
          <cell r="D68" t="str">
            <v>Meningococcal A - Single dose</v>
          </cell>
          <cell r="E68">
            <v>1</v>
          </cell>
          <cell r="F68">
            <v>1</v>
          </cell>
          <cell r="G68">
            <v>1</v>
          </cell>
          <cell r="I68">
            <v>0</v>
          </cell>
        </row>
        <row r="69">
          <cell r="B69">
            <v>59</v>
          </cell>
          <cell r="C69">
            <v>63</v>
          </cell>
          <cell r="D69" t="str">
            <v>Malaria vaccine - Three doses</v>
          </cell>
          <cell r="E69">
            <v>3</v>
          </cell>
          <cell r="F69">
            <v>1</v>
          </cell>
          <cell r="G69">
            <v>3</v>
          </cell>
          <cell r="I69">
            <v>0</v>
          </cell>
        </row>
        <row r="70">
          <cell r="B70">
            <v>60</v>
          </cell>
          <cell r="C70">
            <v>64</v>
          </cell>
          <cell r="D70" t="str">
            <v>Measles - Single dose</v>
          </cell>
          <cell r="E70">
            <v>1</v>
          </cell>
          <cell r="F70">
            <v>1</v>
          </cell>
          <cell r="G70">
            <v>1</v>
          </cell>
          <cell r="I70">
            <v>0</v>
          </cell>
        </row>
        <row r="71">
          <cell r="B71" t="str">
            <v>Int#</v>
          </cell>
          <cell r="C71" t="str">
            <v>LiST#</v>
          </cell>
          <cell r="D71" t="str">
            <v>Intervention</v>
          </cell>
          <cell r="E71" t="str">
            <v>Number of Visits per Patient per Case/Episode</v>
          </cell>
          <cell r="F71" t="str">
            <v>Number of Health Workers involved in each Visit</v>
          </cell>
          <cell r="G71" t="str">
            <v>Number of Health Worker Contacts per Case/Episode</v>
          </cell>
          <cell r="I71" t="str">
            <v>No of Visits if Part of Package</v>
          </cell>
        </row>
        <row r="72">
          <cell r="B72">
            <v>400</v>
          </cell>
          <cell r="C72">
            <v>400</v>
          </cell>
          <cell r="D72" t="str">
            <v>AVERAGE NUMBER OF SICK/WELL CHILD VISITS PER YEAR</v>
          </cell>
          <cell r="E72">
            <v>3</v>
          </cell>
          <cell r="F72">
            <v>1</v>
          </cell>
          <cell r="G72">
            <v>3</v>
          </cell>
          <cell r="I72">
            <v>6</v>
          </cell>
        </row>
        <row r="73">
          <cell r="B73">
            <v>61</v>
          </cell>
          <cell r="C73">
            <v>47</v>
          </cell>
          <cell r="D73" t="str">
            <v>Vitamin A supplementation</v>
          </cell>
          <cell r="E73">
            <v>2</v>
          </cell>
          <cell r="F73">
            <v>1</v>
          </cell>
          <cell r="G73">
            <v>2</v>
          </cell>
          <cell r="I73">
            <v>2</v>
          </cell>
        </row>
        <row r="74">
          <cell r="B74">
            <v>62</v>
          </cell>
          <cell r="C74">
            <v>48</v>
          </cell>
          <cell r="D74" t="str">
            <v>Zinc supplementation</v>
          </cell>
          <cell r="E74">
            <v>2</v>
          </cell>
          <cell r="F74">
            <v>1</v>
          </cell>
          <cell r="G74">
            <v>2</v>
          </cell>
          <cell r="I74">
            <v>2</v>
          </cell>
        </row>
        <row r="75">
          <cell r="B75">
            <v>63</v>
          </cell>
          <cell r="C75">
            <v>71</v>
          </cell>
          <cell r="D75" t="str">
            <v>ORS - Oral Rehydration Solution</v>
          </cell>
          <cell r="E75">
            <v>1</v>
          </cell>
          <cell r="F75">
            <v>1</v>
          </cell>
          <cell r="G75">
            <v>1</v>
          </cell>
          <cell r="I75">
            <v>1</v>
          </cell>
        </row>
        <row r="76">
          <cell r="B76">
            <v>64</v>
          </cell>
          <cell r="C76">
            <v>72</v>
          </cell>
          <cell r="D76" t="str">
            <v>Antibiotics for treatment of dysentery</v>
          </cell>
          <cell r="E76">
            <v>1</v>
          </cell>
          <cell r="F76">
            <v>1</v>
          </cell>
          <cell r="G76">
            <v>1</v>
          </cell>
          <cell r="I76">
            <v>1</v>
          </cell>
        </row>
        <row r="77">
          <cell r="B77">
            <v>65</v>
          </cell>
          <cell r="C77">
            <v>73</v>
          </cell>
          <cell r="D77" t="str">
            <v>Zinc for treatment of diarrhea</v>
          </cell>
          <cell r="E77">
            <v>1</v>
          </cell>
          <cell r="F77">
            <v>1</v>
          </cell>
          <cell r="G77">
            <v>1</v>
          </cell>
          <cell r="I77">
            <v>1</v>
          </cell>
        </row>
        <row r="78">
          <cell r="B78">
            <v>66</v>
          </cell>
          <cell r="C78">
            <v>74</v>
          </cell>
          <cell r="D78" t="str">
            <v>Oral antibiotics for pneumonia</v>
          </cell>
          <cell r="E78">
            <v>1</v>
          </cell>
          <cell r="F78">
            <v>1</v>
          </cell>
          <cell r="G78">
            <v>1</v>
          </cell>
          <cell r="I78">
            <v>1</v>
          </cell>
        </row>
        <row r="79">
          <cell r="B79">
            <v>67</v>
          </cell>
          <cell r="C79">
            <v>75</v>
          </cell>
          <cell r="D79" t="str">
            <v>Vitamin A for treatment of measles</v>
          </cell>
          <cell r="E79">
            <v>1</v>
          </cell>
          <cell r="F79">
            <v>1</v>
          </cell>
          <cell r="G79">
            <v>1</v>
          </cell>
          <cell r="I79">
            <v>1</v>
          </cell>
        </row>
        <row r="80">
          <cell r="B80">
            <v>68</v>
          </cell>
          <cell r="C80">
            <v>76</v>
          </cell>
          <cell r="D80" t="str">
            <v>ACTs - Artemisinin compounds for treatment of malaria</v>
          </cell>
          <cell r="E80">
            <v>2</v>
          </cell>
          <cell r="F80">
            <v>1</v>
          </cell>
          <cell r="G80">
            <v>2</v>
          </cell>
          <cell r="I80">
            <v>2</v>
          </cell>
        </row>
        <row r="81">
          <cell r="B81">
            <v>69</v>
          </cell>
          <cell r="C81">
            <v>77</v>
          </cell>
          <cell r="D81" t="str">
            <v>SAM - treatment for severe acute malnutrition</v>
          </cell>
          <cell r="E81">
            <v>4</v>
          </cell>
          <cell r="F81">
            <v>1</v>
          </cell>
          <cell r="G81">
            <v>4</v>
          </cell>
          <cell r="I81">
            <v>4</v>
          </cell>
        </row>
        <row r="82">
          <cell r="B82">
            <v>70</v>
          </cell>
          <cell r="C82">
            <v>78</v>
          </cell>
          <cell r="D82" t="str">
            <v>MAM - treatment for moderate acute malnutrition</v>
          </cell>
          <cell r="E82">
            <v>4</v>
          </cell>
          <cell r="F82">
            <v>1</v>
          </cell>
          <cell r="G82">
            <v>4</v>
          </cell>
          <cell r="I82">
            <v>4</v>
          </cell>
        </row>
        <row r="83">
          <cell r="B83" t="str">
            <v>Int#</v>
          </cell>
          <cell r="C83" t="str">
            <v>LiST#</v>
          </cell>
          <cell r="D83" t="str">
            <v>Intervention</v>
          </cell>
          <cell r="E83" t="str">
            <v>Number of Visits per Patient per Case/Episode</v>
          </cell>
          <cell r="F83" t="str">
            <v>Number of Health Workers involved in each Visit</v>
          </cell>
          <cell r="G83" t="str">
            <v>Number of Health Worker Contacts per Case/Episode</v>
          </cell>
          <cell r="I83" t="str">
            <v>No of Visits if Part of Package</v>
          </cell>
        </row>
        <row r="84">
          <cell r="B84">
            <v>71</v>
          </cell>
          <cell r="C84">
            <v>54</v>
          </cell>
          <cell r="D84" t="str">
            <v>ITN/IRS - Households protected from malaria</v>
          </cell>
          <cell r="E84">
            <v>1</v>
          </cell>
          <cell r="F84">
            <v>1</v>
          </cell>
          <cell r="G84">
            <v>1</v>
          </cell>
          <cell r="I84">
            <v>1</v>
          </cell>
        </row>
      </sheetData>
      <sheetData sheetId="24"/>
      <sheetData sheetId="25">
        <row r="7">
          <cell r="C7">
            <v>0.1</v>
          </cell>
        </row>
        <row r="9">
          <cell r="C9">
            <v>0.33333333333333298</v>
          </cell>
        </row>
        <row r="16">
          <cell r="C16">
            <v>5.5</v>
          </cell>
        </row>
        <row r="17">
          <cell r="C17">
            <v>6.7123287671232903E-3</v>
          </cell>
        </row>
        <row r="18">
          <cell r="C18">
            <v>1.6780821917808199E-2</v>
          </cell>
        </row>
        <row r="19">
          <cell r="C19">
            <v>3.5714285714285698E-2</v>
          </cell>
        </row>
        <row r="20">
          <cell r="C20">
            <v>2.21428571428571E-2</v>
          </cell>
        </row>
        <row r="21">
          <cell r="C21">
            <v>6.6428571428571406E-2</v>
          </cell>
        </row>
        <row r="23">
          <cell r="C23">
            <v>0.1</v>
          </cell>
        </row>
        <row r="24">
          <cell r="C24">
            <v>0.1</v>
          </cell>
        </row>
        <row r="48">
          <cell r="C48">
            <v>0.9</v>
          </cell>
        </row>
        <row r="51">
          <cell r="C51">
            <v>1.6099999999999998E-5</v>
          </cell>
        </row>
        <row r="52">
          <cell r="C52">
            <v>8.4639999999999997E-4</v>
          </cell>
        </row>
        <row r="53">
          <cell r="C53">
            <v>3.2837900000000003E-2</v>
          </cell>
        </row>
        <row r="56">
          <cell r="C56">
            <v>6.3</v>
          </cell>
        </row>
        <row r="57">
          <cell r="C57">
            <v>3.2</v>
          </cell>
        </row>
        <row r="58">
          <cell r="C58">
            <v>2.8</v>
          </cell>
        </row>
        <row r="59">
          <cell r="C59">
            <v>0.3</v>
          </cell>
        </row>
      </sheetData>
      <sheetData sheetId="26">
        <row r="7">
          <cell r="F7">
            <v>56100</v>
          </cell>
        </row>
        <row r="8">
          <cell r="F8">
            <v>56100</v>
          </cell>
        </row>
      </sheetData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88"/>
  <sheetViews>
    <sheetView tabSelected="1" zoomScale="70" zoomScaleNormal="70" workbookViewId="0">
      <selection activeCell="AD67" sqref="AD67:AD87"/>
    </sheetView>
  </sheetViews>
  <sheetFormatPr defaultColWidth="8.7265625" defaultRowHeight="14.5"/>
  <cols>
    <col min="1" max="1" width="5.26953125" customWidth="1"/>
    <col min="2" max="2" width="6.36328125" customWidth="1"/>
    <col min="3" max="3" width="7.54296875" customWidth="1"/>
    <col min="4" max="4" width="17" customWidth="1"/>
    <col min="5" max="5" width="69.26953125" customWidth="1"/>
    <col min="6" max="6" width="8.81640625" customWidth="1"/>
    <col min="7" max="7" width="32.36328125" customWidth="1"/>
    <col min="8" max="8" width="6.81640625" customWidth="1"/>
    <col min="9" max="10" width="8.36328125" customWidth="1"/>
    <col min="11" max="11" width="8.90625" customWidth="1"/>
    <col min="12" max="12" width="7.1796875" customWidth="1"/>
    <col min="13" max="13" width="5.6328125" customWidth="1"/>
    <col min="14" max="14" width="20.26953125" customWidth="1"/>
    <col min="15" max="15" width="8" customWidth="1"/>
    <col min="16" max="16" width="7.453125" customWidth="1"/>
    <col min="17" max="17" width="5.6328125" customWidth="1"/>
    <col min="18" max="18" width="8.36328125" customWidth="1"/>
    <col min="19" max="19" width="8" customWidth="1"/>
    <col min="20" max="20" width="7.453125" customWidth="1"/>
    <col min="21" max="21" width="5.6328125" customWidth="1"/>
    <col min="22" max="22" width="8.36328125" customWidth="1"/>
    <col min="23" max="23" width="8" customWidth="1"/>
    <col min="24" max="24" width="7.1796875" customWidth="1"/>
    <col min="25" max="25" width="5.81640625" customWidth="1"/>
    <col min="26" max="26" width="17" customWidth="1"/>
    <col min="27" max="27" width="8" customWidth="1"/>
    <col min="28" max="28" width="7.1796875" customWidth="1"/>
    <col min="29" max="29" width="5.81640625" customWidth="1"/>
    <col min="30" max="30" width="14.54296875" customWidth="1"/>
  </cols>
  <sheetData>
    <row r="1" spans="1:30" ht="20">
      <c r="A1" s="1"/>
      <c r="B1" s="2"/>
      <c r="C1" s="3"/>
      <c r="D1" s="114" t="s">
        <v>0</v>
      </c>
      <c r="E1" s="4"/>
      <c r="F1" s="3"/>
      <c r="G1" s="113" t="s">
        <v>1</v>
      </c>
      <c r="H1" s="3"/>
      <c r="I1" s="3"/>
      <c r="J1" s="3"/>
      <c r="K1" s="120" t="s">
        <v>2</v>
      </c>
      <c r="L1" s="3"/>
      <c r="M1" s="3"/>
      <c r="N1" s="120" t="s">
        <v>3</v>
      </c>
      <c r="O1" s="47"/>
      <c r="P1" s="3"/>
      <c r="Q1" s="3"/>
      <c r="R1" s="3"/>
      <c r="S1" s="3"/>
      <c r="T1" s="3"/>
      <c r="U1" s="3"/>
      <c r="V1" s="3"/>
      <c r="W1" s="3"/>
      <c r="X1" s="3"/>
      <c r="Y1" s="3"/>
      <c r="Z1" s="118" t="s">
        <v>4</v>
      </c>
      <c r="AA1" s="3"/>
      <c r="AB1" s="3"/>
      <c r="AC1" s="3"/>
      <c r="AD1" s="60"/>
    </row>
    <row r="2" spans="1:30" ht="31" customHeight="1">
      <c r="A2" s="115" t="s">
        <v>5</v>
      </c>
      <c r="B2" s="5"/>
      <c r="C2" s="5"/>
      <c r="D2" s="3"/>
      <c r="E2" s="4"/>
      <c r="F2" s="6"/>
      <c r="G2" s="122" t="s">
        <v>6</v>
      </c>
      <c r="H2" s="123" t="s">
        <v>7</v>
      </c>
      <c r="I2" s="124"/>
      <c r="J2" s="93" t="s">
        <v>8</v>
      </c>
      <c r="K2" s="94"/>
      <c r="L2" s="94"/>
      <c r="M2" s="94"/>
      <c r="N2" s="95" t="s">
        <v>9</v>
      </c>
      <c r="O2" s="95"/>
      <c r="P2" s="95"/>
      <c r="Q2" s="95"/>
      <c r="R2" s="96" t="s">
        <v>10</v>
      </c>
      <c r="S2" s="96"/>
      <c r="T2" s="96"/>
      <c r="U2" s="96"/>
      <c r="V2" s="97" t="s">
        <v>11</v>
      </c>
      <c r="W2" s="97"/>
      <c r="X2" s="97"/>
      <c r="Y2" s="97"/>
      <c r="Z2" s="98" t="s">
        <v>12</v>
      </c>
      <c r="AA2" s="98"/>
      <c r="AB2" s="98"/>
      <c r="AC2" s="98"/>
      <c r="AD2" s="60"/>
    </row>
    <row r="3" spans="1:30" ht="71">
      <c r="A3" s="116" t="s">
        <v>13</v>
      </c>
      <c r="B3" s="117" t="s">
        <v>14</v>
      </c>
      <c r="C3" s="117" t="s">
        <v>15</v>
      </c>
      <c r="D3" s="7"/>
      <c r="E3" s="8"/>
      <c r="F3" s="121" t="s">
        <v>16</v>
      </c>
      <c r="G3" s="121" t="s">
        <v>17</v>
      </c>
      <c r="H3" s="121" t="s">
        <v>18</v>
      </c>
      <c r="I3" s="121" t="s">
        <v>19</v>
      </c>
      <c r="J3" s="121" t="s">
        <v>20</v>
      </c>
      <c r="K3" s="121" t="s">
        <v>21</v>
      </c>
      <c r="L3" s="121" t="s">
        <v>22</v>
      </c>
      <c r="M3" s="121" t="s">
        <v>23</v>
      </c>
      <c r="N3" s="121" t="s">
        <v>20</v>
      </c>
      <c r="O3" s="121" t="s">
        <v>21</v>
      </c>
      <c r="P3" s="121" t="s">
        <v>22</v>
      </c>
      <c r="Q3" s="121" t="s">
        <v>23</v>
      </c>
      <c r="R3" s="121" t="s">
        <v>20</v>
      </c>
      <c r="S3" s="121" t="s">
        <v>21</v>
      </c>
      <c r="T3" s="121" t="s">
        <v>22</v>
      </c>
      <c r="U3" s="121" t="s">
        <v>23</v>
      </c>
      <c r="V3" s="121" t="s">
        <v>20</v>
      </c>
      <c r="W3" s="121" t="s">
        <v>21</v>
      </c>
      <c r="X3" s="121" t="s">
        <v>22</v>
      </c>
      <c r="Y3" s="121" t="s">
        <v>23</v>
      </c>
      <c r="Z3" s="121" t="s">
        <v>20</v>
      </c>
      <c r="AA3" s="121" t="s">
        <v>21</v>
      </c>
      <c r="AB3" s="121" t="s">
        <v>22</v>
      </c>
      <c r="AC3" s="121" t="s">
        <v>23</v>
      </c>
      <c r="AD3" s="60"/>
    </row>
    <row r="4" spans="1:30">
      <c r="A4" s="125"/>
      <c r="B4" s="125" t="str">
        <f>IF('[1]1. Select Services'!$E$13="x","x","")</f>
        <v/>
      </c>
      <c r="C4" s="125"/>
      <c r="D4" s="126" t="s">
        <v>24</v>
      </c>
      <c r="E4" s="127"/>
      <c r="F4" s="128"/>
      <c r="G4" s="129" t="s">
        <v>25</v>
      </c>
      <c r="H4" s="129"/>
      <c r="I4" s="129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60"/>
    </row>
    <row r="5" spans="1:30">
      <c r="A5" s="9"/>
      <c r="B5" s="10">
        <v>0</v>
      </c>
      <c r="C5" s="10">
        <v>0</v>
      </c>
      <c r="D5" s="9" t="s">
        <v>26</v>
      </c>
      <c r="E5" s="9"/>
      <c r="F5" s="11">
        <f>SUM(F$15:F$22)</f>
        <v>106900</v>
      </c>
      <c r="G5" s="12">
        <f>SUMPRODUCT($F$15:$F$22,$G$15:$G$22)/$F$5</f>
        <v>5.1805425631431241</v>
      </c>
      <c r="H5" s="12">
        <f>SUMPRODUCT($F$15:$F$22,$H$15:$H$22)/$F5</f>
        <v>5.1805425631431241</v>
      </c>
      <c r="I5" s="48">
        <f>SUMPRODUCT($F$15:$F$22,$I$15:$I$22)/SUM($F$15:$F$22)</f>
        <v>0.89</v>
      </c>
      <c r="J5" s="49" t="e">
        <f ca="1">1-((1-Risk_of_Provider_Being_Infected*_xlfn.SINGLE(Transmission_Risk_Contact_Health_Care_Provider))^(G5)*(1-Risk_of_Community_Member_being_Infected*Transmission_Risk_in_Community)^(G5*Contacts_During_Travel_to_Facility))</f>
        <v>#NAME?</v>
      </c>
      <c r="K5" s="50" t="e">
        <f ca="1">J5*(1-(Percent_Prevalence_at_End_of_Projection_Period-Percent_Prevalence_at_Beginning_of_Projection_Period))</f>
        <v>#NAME?</v>
      </c>
      <c r="L5" s="11" t="e">
        <f t="shared" ref="L5:L13" ca="1" si="0">$F5*$K5*HH_Size</f>
        <v>#NAME?</v>
      </c>
      <c r="M5" s="12" t="e">
        <f t="shared" ref="M5:M13" ca="1" si="1">$F5*$J5*(HH_Children*Fatality_Rate_Child+HH_Adults*Fatality_Rate_Adult+HH_Over_60*Fatality_Rate_Over_60)</f>
        <v>#NAME?</v>
      </c>
      <c r="N5" s="51" t="e">
        <f ca="1">1-((1-Risk_of_Provider_Being_Infected*_xlfn.SINGLE(Transmission_Risk_Contact_Health_Care_Provider)*(1-Reduction_in_Risk_PPE))^($G5)*(1-Risk_of_Community_Member_being_Infected*Transmission_Risk_in_Community)^($G5*Contacts_During_Travel_to_Facility))</f>
        <v>#NAME?</v>
      </c>
      <c r="O5" s="49" t="e">
        <f t="shared" ref="O5:O13" ca="1" si="2">N5*(1-(Percent_Prevalence_at_End_of_Projection_Period-Percent_Prevalence_at_Beginning_of_Projection_Period))</f>
        <v>#NAME?</v>
      </c>
      <c r="P5" s="11" t="e">
        <f t="shared" ref="P5:P13" ca="1" si="3">$F5*$O5*HH_Size</f>
        <v>#NAME?</v>
      </c>
      <c r="Q5" s="12" t="e">
        <f t="shared" ref="Q5:Q13" ca="1" si="4">$F5*$O5*(HH_Children*Fatality_Rate_Child+HH_Adults*Fatality_Rate_Adult+HH_Over_60*Fatality_Rate_Over_60)</f>
        <v>#NAME?</v>
      </c>
      <c r="R5" s="51" t="e">
        <f ca="1">1-((1-Risk_of_Provider_Being_Infected*_xlfn.SINGLE(Transmission_Risk_Contact_Health_Care_Provider)*(1-Reduction_in_Risk_PPE))^($G5*(1-Reduction_in_Risk_TS)))*(1-Risk_of_Community_Member_being_Infected*Transmission_Risk_in_Community)^($G5*Contacts_During_Travel_to_Facility)</f>
        <v>#NAME?</v>
      </c>
      <c r="S5" s="49" t="e">
        <f t="shared" ref="S5:S13" ca="1" si="5">R5*(1-(Percent_Prevalence_at_End_of_Projection_Period-Percent_Prevalence_at_Beginning_of_Projection_Period))</f>
        <v>#NAME?</v>
      </c>
      <c r="T5" s="11" t="e">
        <f t="shared" ref="T5:T13" ca="1" si="6">$F5*$S5*HH_Size</f>
        <v>#NAME?</v>
      </c>
      <c r="U5" s="12" t="e">
        <f t="shared" ref="U5:U13" ca="1" si="7">$F5*$S5*(HH_Children*Fatality_Rate_Child+HH_Adults*Fatality_Rate_Adult+HH_Over_60*Fatality_Rate_Over_60)</f>
        <v>#NAME?</v>
      </c>
      <c r="V5" s="51" t="e">
        <f ca="1">1-((1-Risk_of_Provider_Being_Infected*_xlfn.SINGLE(Transmission_Risk_Contact_Health_Care_Provider)*(1-Reduction_in_Risk_PPE))^($H5*(1-Reduction_in_Risk_TS)))*(1-Risk_of_Community_Member_being_Infected*Transmission_Risk_in_Community)^($H5*Contacts_During_Travel_to_Facility)</f>
        <v>#NAME?</v>
      </c>
      <c r="W5" s="49" t="e">
        <f t="shared" ref="W5:W13" ca="1" si="8">V5*(1-(Percent_Prevalence_at_End_of_Projection_Period-Percent_Prevalence_at_Beginning_of_Projection_Period))</f>
        <v>#NAME?</v>
      </c>
      <c r="X5" s="11" t="e">
        <f t="shared" ref="X5:X13" ca="1" si="9">$F5*$W5*HH_Size</f>
        <v>#NAME?</v>
      </c>
      <c r="Y5" s="12" t="e">
        <f t="shared" ref="Y5:Y13" ca="1" si="10">$F5*$W5*(HH_Children*Fatality_Rate_Child+HH_Adults*Fatality_Rate_Adult+HH_Over_60*Fatality_Rate_Over_60)</f>
        <v>#NAME?</v>
      </c>
      <c r="Z5" s="51">
        <f>1-((1-Risk_of_Provider_Being_Infected*Transmission_Risk_Contact_Health_Care_Provider*(1-$I5))^($H5)*(1-Risk_of_Community_Member_being_Infected*Transmission_Risk_in_Community)^($H5*Contacts_During_Travel_to_Facility))</f>
        <v>7.0183345228684857E-3</v>
      </c>
      <c r="AA5" s="50">
        <f t="shared" ref="AA5:AA13" si="11">Z5*(1-(Percent_Prevalence_at_End_of_Projection_Period-Percent_Prevalence_at_Beginning_of_Projection_Period))</f>
        <v>5.3807231341991748E-3</v>
      </c>
      <c r="AB5" s="11">
        <f>$F5*$AA5*HH_Size*Infection_Rate_within_HH</f>
        <v>3261.3800482702068</v>
      </c>
      <c r="AC5" s="12">
        <f>$F5*$AA5*Infection_Rate_within_HH*(HH_Children*Fatality_Rate_Child+HH_Adults*Fatality_Rate_Adult+HH_Over_60*Fatality_Rate_Over_60)</f>
        <v>6.3533805825731866</v>
      </c>
      <c r="AD5" s="119" t="s">
        <v>27</v>
      </c>
    </row>
    <row r="6" spans="1:30">
      <c r="A6" s="13"/>
      <c r="B6" s="14">
        <v>100</v>
      </c>
      <c r="C6" s="14">
        <v>100</v>
      </c>
      <c r="D6" s="13" t="s">
        <v>28</v>
      </c>
      <c r="E6" s="13"/>
      <c r="F6" s="11">
        <f>F24</f>
        <v>152700</v>
      </c>
      <c r="G6" s="12">
        <f>'[1]7. Number of HW Contacts'!$E$13*'[1]7. Number of HW Contacts'!$F$13</f>
        <v>8</v>
      </c>
      <c r="H6" s="12" t="e">
        <f>G6*#REF!/#REF!</f>
        <v>#REF!</v>
      </c>
      <c r="I6" s="48">
        <f>SUMPRODUCT($F$23:$F$35,$I$23:$I$35)/SUM($F$23:$F$35)</f>
        <v>0.87</v>
      </c>
      <c r="J6" s="49" t="e">
        <f ca="1">1-((1-Risk_of_Provider_Being_Infected*_xlfn.SINGLE(Transmission_Risk_Contact_Health_Care_Provider))^(G6)*(1-Risk_of_Community_Member_being_Infected*Transmission_Risk_in_Community)^(G6*Contacts_During_Travel_to_Facility))</f>
        <v>#NAME?</v>
      </c>
      <c r="K6" s="49" t="e">
        <f t="shared" ref="K6:K13" ca="1" si="12">J6*(1-(Percent_Prevalence_at_End_of_Projection_Period-Percent_Prevalence_at_Beginning_of_Projection_Period)-Percent_Prevalence_at_Beginning_of_Projection_Period-Percent_Prevalence_at_Beginning_of_Projection_Period)</f>
        <v>#NAME?</v>
      </c>
      <c r="L6" s="11" t="e">
        <f t="shared" ca="1" si="0"/>
        <v>#NAME?</v>
      </c>
      <c r="M6" s="12" t="e">
        <f t="shared" ca="1" si="1"/>
        <v>#NAME?</v>
      </c>
      <c r="N6" s="51" t="e">
        <f ca="1">1-((1-Risk_of_Provider_Being_Infected*_xlfn.SINGLE(Transmission_Risk_Contact_Health_Care_Provider)*(1-Reduction_in_Risk_PPE))^($G6)*(1-Risk_of_Community_Member_being_Infected*Transmission_Risk_in_Community)^($G6*Contacts_During_Travel_to_Facility))</f>
        <v>#NAME?</v>
      </c>
      <c r="O6" s="49" t="e">
        <f t="shared" ca="1" si="2"/>
        <v>#NAME?</v>
      </c>
      <c r="P6" s="11" t="e">
        <f t="shared" ca="1" si="3"/>
        <v>#NAME?</v>
      </c>
      <c r="Q6" s="12" t="e">
        <f t="shared" ca="1" si="4"/>
        <v>#NAME?</v>
      </c>
      <c r="R6" s="51" t="e">
        <f ca="1">1-((1-Risk_of_Provider_Being_Infected*_xlfn.SINGLE(Transmission_Risk_Contact_Health_Care_Provider)*(1-Reduction_in_Risk_PPE))^($G6*(1-Reduction_in_Risk_TS)))*(1-Risk_of_Community_Member_being_Infected*Transmission_Risk_in_Community)^($G6*Contacts_During_Travel_to_Facility)</f>
        <v>#NAME?</v>
      </c>
      <c r="S6" s="49" t="e">
        <f t="shared" ca="1" si="5"/>
        <v>#NAME?</v>
      </c>
      <c r="T6" s="11" t="e">
        <f t="shared" ca="1" si="6"/>
        <v>#NAME?</v>
      </c>
      <c r="U6" s="12" t="e">
        <f t="shared" ca="1" si="7"/>
        <v>#NAME?</v>
      </c>
      <c r="V6" s="51" t="e">
        <f ca="1">1-((1-Risk_of_Provider_Being_Infected*_xlfn.SINGLE(Transmission_Risk_Contact_Health_Care_Provider)*(1-$I6)))*(1-Risk_of_Community_Member_being_Infected*Transmission_Risk_in_Community)^($H6*Contacts_During_Travel_to_Facility)</f>
        <v>#NAME?</v>
      </c>
      <c r="W6" s="49" t="e">
        <f t="shared" ca="1" si="8"/>
        <v>#NAME?</v>
      </c>
      <c r="X6" s="11" t="e">
        <f t="shared" ca="1" si="9"/>
        <v>#NAME?</v>
      </c>
      <c r="Y6" s="12" t="e">
        <f t="shared" ca="1" si="10"/>
        <v>#NAME?</v>
      </c>
      <c r="Z6" s="51" t="e">
        <f>1-((1-Risk_of_Provider_Being_Infected*Transmission_Risk_Contact_Health_Care_Provider*(1-$I6))^($H6)*(1-Risk_of_Community_Member_being_Infected*Transmission_Risk_in_Community)^($H6*Contacts_During_Travel_to_Facility))</f>
        <v>#REF!</v>
      </c>
      <c r="AA6" s="49" t="e">
        <f t="shared" si="11"/>
        <v>#REF!</v>
      </c>
      <c r="AB6" s="11" t="e">
        <f>IF($F6*$AA6*HH_Size&lt;0,0,$F6*$AA6*HH_Size*Infection_Rate_within_HH)</f>
        <v>#REF!</v>
      </c>
      <c r="AC6" s="12" t="e">
        <f>IF(AB6=0,0,$F6*$AA6*(HH_Children*Fatality_Rate_Child+HH_Adults*Fatality_Rate_Adult+HH_Over_60*Fatality_Rate_Over_60))</f>
        <v>#REF!</v>
      </c>
      <c r="AD6" s="119" t="s">
        <v>27</v>
      </c>
    </row>
    <row r="7" spans="1:30">
      <c r="A7" s="15"/>
      <c r="B7" s="16">
        <v>200</v>
      </c>
      <c r="C7" s="16">
        <v>200</v>
      </c>
      <c r="D7" s="15" t="s">
        <v>29</v>
      </c>
      <c r="E7" s="15"/>
      <c r="F7" s="11">
        <f>$F$36</f>
        <v>56100</v>
      </c>
      <c r="G7" s="12">
        <f>'[1]7. Number of HW Contacts'!N26/'[1]Detailed COVID Calculations - 2'!F7</f>
        <v>5.117647058823529</v>
      </c>
      <c r="H7" s="12" t="e">
        <f>G7*#REF!/#REF!</f>
        <v>#REF!</v>
      </c>
      <c r="I7" s="48">
        <f>SUMPRODUCT($F$36:$F$52,$I$36:$I$52)/SUM($F$36:$F$52)</f>
        <v>0.77</v>
      </c>
      <c r="J7" s="52" t="e">
        <f ca="1">1-((1-Risk_of_Provider_Being_Infected*_xlfn.SINGLE(Transmission_Risk_Hospital_Stay))^(G7)*(1-Risk_of_Community_Member_being_Infected*Transmission_Risk_in_Community)^(G7*Contacts_During_Travel_to_Facility))</f>
        <v>#NAME?</v>
      </c>
      <c r="K7" s="52" t="e">
        <f t="shared" ca="1" si="12"/>
        <v>#NAME?</v>
      </c>
      <c r="L7" s="32" t="e">
        <f t="shared" ca="1" si="0"/>
        <v>#NAME?</v>
      </c>
      <c r="M7" s="34" t="e">
        <f t="shared" ca="1" si="1"/>
        <v>#NAME?</v>
      </c>
      <c r="N7" s="53" t="e">
        <f ca="1">1-((1-Risk_of_Provider_Being_Infected*_xlfn.SINGLE(Transmission_Risk_Hospital_Stay)*(1-Reduction_in_Risk_PPE))^(G7)*(1-Risk_of_Community_Member_being_Infected*Transmission_Risk_in_Community)^($G7*Contacts_During_Travel_to_Facility))</f>
        <v>#NAME?</v>
      </c>
      <c r="O7" s="52" t="e">
        <f t="shared" ca="1" si="2"/>
        <v>#NAME?</v>
      </c>
      <c r="P7" s="32" t="e">
        <f t="shared" ca="1" si="3"/>
        <v>#NAME?</v>
      </c>
      <c r="Q7" s="34" t="e">
        <f t="shared" ca="1" si="4"/>
        <v>#NAME?</v>
      </c>
      <c r="R7" s="53" t="e">
        <f ca="1">1-((1-Risk_of_Provider_Being_Infected*_xlfn.SINGLE(Transmission_Risk_Hospital_Stay)*(1-Reduction_in_Risk_PPE))^(G7*(1-Reduction_in_Risk_TS)))*(1-Risk_of_Community_Member_being_Infected*Transmission_Risk_in_Community)^($G7*Contacts_During_Travel_to_Facility)</f>
        <v>#NAME?</v>
      </c>
      <c r="S7" s="52" t="e">
        <f t="shared" ca="1" si="5"/>
        <v>#NAME?</v>
      </c>
      <c r="T7" s="32" t="e">
        <f t="shared" ca="1" si="6"/>
        <v>#NAME?</v>
      </c>
      <c r="U7" s="34" t="e">
        <f t="shared" ca="1" si="7"/>
        <v>#NAME?</v>
      </c>
      <c r="V7" s="53" t="e">
        <f ca="1">1-((1-Risk_of_Provider_Being_Infected*_xlfn.SINGLE(Transmission_Risk_Hospital_Stay)*(1-Reduction_in_Risk_PPE))^(H7*(1-Reduction_in_Risk_TS)))*(1-Risk_of_Community_Member_being_Infected*Transmission_Risk_in_Community)^($H7*Contacts_During_Travel_to_Facility)</f>
        <v>#NAME?</v>
      </c>
      <c r="W7" s="52" t="e">
        <f t="shared" ca="1" si="8"/>
        <v>#NAME?</v>
      </c>
      <c r="X7" s="32" t="e">
        <f t="shared" ca="1" si="9"/>
        <v>#NAME?</v>
      </c>
      <c r="Y7" s="34" t="e">
        <f t="shared" ca="1" si="10"/>
        <v>#NAME?</v>
      </c>
      <c r="Z7" s="53" t="e">
        <f>1-((1-Risk_of_Provider_Being_Infected*Transmission_Risk_Hospital_Stay*(1-$I7))^($H7)*(1-Risk_of_Community_Member_being_Infected*Transmission_Risk_in_Community)^($G7*Contacts_During_Travel_to_Facility))</f>
        <v>#REF!</v>
      </c>
      <c r="AA7" s="52" t="e">
        <f t="shared" si="11"/>
        <v>#REF!</v>
      </c>
      <c r="AB7" s="32" t="e">
        <f t="shared" ref="AB7:AB13" si="13">$F7*$AA7*HH_Size*Infection_Rate_within_HH</f>
        <v>#REF!</v>
      </c>
      <c r="AC7" s="34" t="e">
        <f t="shared" ref="AC7:AC13" si="14">$F7*$AA7*Infection_Rate_within_HH*(HH_Children*Fatality_Rate_Child+HH_Adults*Fatality_Rate_Adult+HH_Over_60*Fatality_Rate_Over_60)</f>
        <v>#REF!</v>
      </c>
      <c r="AD7" s="119" t="s">
        <v>30</v>
      </c>
    </row>
    <row r="8" spans="1:30">
      <c r="A8" s="9"/>
      <c r="B8" s="17">
        <v>200</v>
      </c>
      <c r="C8" s="17">
        <v>200</v>
      </c>
      <c r="D8" s="9" t="s">
        <v>31</v>
      </c>
      <c r="E8" s="9"/>
      <c r="F8" s="11">
        <f>$F$36</f>
        <v>56100</v>
      </c>
      <c r="G8" s="12">
        <f>'[1]7. Number of HW Contacts'!$N$43/'[1]Detailed COVID Calculations - 2'!F8</f>
        <v>4</v>
      </c>
      <c r="H8" s="12" t="e">
        <f>G8*#REF!/#REF!</f>
        <v>#REF!</v>
      </c>
      <c r="I8" s="48">
        <f>SUMPRODUCT($F$53:$F$63,$I$53:$I$63)/SUM($F$53:$F$63)</f>
        <v>0.79</v>
      </c>
      <c r="J8" s="52" t="e">
        <f ca="1">1-((1-Risk_of_Provider_Being_Infected*_xlfn.SINGLE(Transmission_Risk_Hospital_Stay))^(G8)*(1-Risk_of_Community_Member_being_Infected*Transmission_Risk_in_Community)^(G8*Contacts_During_Travel_to_Facility))</f>
        <v>#NAME?</v>
      </c>
      <c r="K8" s="52" t="e">
        <f t="shared" ca="1" si="12"/>
        <v>#NAME?</v>
      </c>
      <c r="L8" s="32" t="e">
        <f t="shared" ca="1" si="0"/>
        <v>#NAME?</v>
      </c>
      <c r="M8" s="34" t="e">
        <f t="shared" ca="1" si="1"/>
        <v>#NAME?</v>
      </c>
      <c r="N8" s="53" t="e">
        <f ca="1">1-((1-Risk_of_Provider_Being_Infected*_xlfn.SINGLE(Transmission_Risk_Hospital_Stay)*(1-Reduction_in_Risk_PPE))^(G8)*(1-Risk_of_Community_Member_being_Infected*Transmission_Risk_in_Community)^($G8*Contacts_During_Travel_to_Facility))</f>
        <v>#NAME?</v>
      </c>
      <c r="O8" s="52" t="e">
        <f t="shared" ca="1" si="2"/>
        <v>#NAME?</v>
      </c>
      <c r="P8" s="32" t="e">
        <f t="shared" ca="1" si="3"/>
        <v>#NAME?</v>
      </c>
      <c r="Q8" s="34" t="e">
        <f t="shared" ca="1" si="4"/>
        <v>#NAME?</v>
      </c>
      <c r="R8" s="53" t="e">
        <f ca="1">1-((1-Risk_of_Provider_Being_Infected*_xlfn.SINGLE(Transmission_Risk_Hospital_Stay)*(1-Reduction_in_Risk_PPE))^(G8*(1-Reduction_in_Risk_TS)))*(1-Risk_of_Community_Member_being_Infected*Transmission_Risk_in_Community)^($G8*Contacts_During_Travel_to_Facility)</f>
        <v>#NAME?</v>
      </c>
      <c r="S8" s="52" t="e">
        <f t="shared" ca="1" si="5"/>
        <v>#NAME?</v>
      </c>
      <c r="T8" s="32" t="e">
        <f t="shared" ca="1" si="6"/>
        <v>#NAME?</v>
      </c>
      <c r="U8" s="34" t="e">
        <f t="shared" ca="1" si="7"/>
        <v>#NAME?</v>
      </c>
      <c r="V8" s="53" t="e">
        <f ca="1">1-((1-Risk_of_Provider_Being_Infected*_xlfn.SINGLE(Transmission_Risk_Hospital_Stay)*(1-Reduction_in_Risk_PPE))^(H8*(1-Reduction_in_Risk_TS)))*(1-Risk_of_Community_Member_being_Infected*Transmission_Risk_in_Community)^($H8*Contacts_During_Travel_to_Facility)</f>
        <v>#NAME?</v>
      </c>
      <c r="W8" s="52" t="e">
        <f t="shared" ca="1" si="8"/>
        <v>#NAME?</v>
      </c>
      <c r="X8" s="32" t="e">
        <f t="shared" ca="1" si="9"/>
        <v>#NAME?</v>
      </c>
      <c r="Y8" s="34" t="e">
        <f t="shared" ca="1" si="10"/>
        <v>#NAME?</v>
      </c>
      <c r="Z8" s="53" t="e">
        <f>1-((1-Risk_of_Provider_Being_Infected*Transmission_Risk_Hospital_Stay*(1-$I8))^($H8)*(1-Risk_of_Community_Member_being_Infected*Transmission_Risk_in_Community)^($G8*Contacts_During_Travel_to_Facility))</f>
        <v>#REF!</v>
      </c>
      <c r="AA8" s="52" t="e">
        <f t="shared" si="11"/>
        <v>#REF!</v>
      </c>
      <c r="AB8" s="32" t="e">
        <f t="shared" si="13"/>
        <v>#REF!</v>
      </c>
      <c r="AC8" s="34" t="e">
        <f t="shared" si="14"/>
        <v>#REF!</v>
      </c>
      <c r="AD8" s="119" t="s">
        <v>30</v>
      </c>
    </row>
    <row r="9" spans="1:30">
      <c r="A9" s="18"/>
      <c r="B9" s="19"/>
      <c r="C9" s="19"/>
      <c r="D9" s="18" t="s">
        <v>32</v>
      </c>
      <c r="E9" s="18"/>
      <c r="F9" s="11">
        <f>SUM($F$64:$F$66)</f>
        <v>120200</v>
      </c>
      <c r="G9" s="12">
        <f>IFERROR(SUMPRODUCT($F$64:$F$66,$G$64:$G$66)/SUM($F$64:$F$66),0)</f>
        <v>3.7121464226289516</v>
      </c>
      <c r="H9" s="12">
        <f>IFERROR(SUMPRODUCT($F$64:$F$66,$H$64:$H$66)/SUM($F$64:$F$66),0)</f>
        <v>3.7121464226289516</v>
      </c>
      <c r="I9" s="48">
        <f>SUMPRODUCT($F$64:$F$66,$I$64:$I$66)/SUM($F$64:$F$66)</f>
        <v>0.87</v>
      </c>
      <c r="J9" s="49" t="e">
        <f ca="1">1-((1-Risk_of_Provider_Being_Infected*_xlfn.SINGLE(Transmission_Risk_Contact_Health_Care_Provider))^(G9)*(1-Risk_of_Community_Member_being_Infected*Transmission_Risk_in_Community)^(G9*Contacts_During_Travel_to_Facility))</f>
        <v>#NAME?</v>
      </c>
      <c r="K9" s="49" t="e">
        <f t="shared" ca="1" si="12"/>
        <v>#NAME?</v>
      </c>
      <c r="L9" s="11" t="e">
        <f t="shared" ca="1" si="0"/>
        <v>#NAME?</v>
      </c>
      <c r="M9" s="12" t="e">
        <f t="shared" ca="1" si="1"/>
        <v>#NAME?</v>
      </c>
      <c r="N9" s="51" t="e">
        <f ca="1">1-((1-Risk_of_Provider_Being_Infected*_xlfn.SINGLE(Transmission_Risk_Contact_Health_Care_Provider)*(1-Reduction_in_Risk_PPE))^($G9)*(1-Risk_of_Community_Member_being_Infected*Transmission_Risk_in_Community)^($G9*Contacts_During_Travel_to_Facility))</f>
        <v>#NAME?</v>
      </c>
      <c r="O9" s="49" t="e">
        <f t="shared" ca="1" si="2"/>
        <v>#NAME?</v>
      </c>
      <c r="P9" s="11" t="e">
        <f t="shared" ca="1" si="3"/>
        <v>#NAME?</v>
      </c>
      <c r="Q9" s="12" t="e">
        <f t="shared" ca="1" si="4"/>
        <v>#NAME?</v>
      </c>
      <c r="R9" s="51" t="e">
        <f ca="1">1-((1-Risk_of_Provider_Being_Infected*_xlfn.SINGLE(Transmission_Risk_Contact_Health_Care_Provider)*(1-Reduction_in_Risk_PPE))^($G9*(1-Reduction_in_Risk_TS)))*(1-Risk_of_Community_Member_being_Infected*Transmission_Risk_in_Community)^($G9*Contacts_During_Travel_to_Facility)</f>
        <v>#NAME?</v>
      </c>
      <c r="S9" s="49" t="e">
        <f t="shared" ca="1" si="5"/>
        <v>#NAME?</v>
      </c>
      <c r="T9" s="11" t="e">
        <f t="shared" ca="1" si="6"/>
        <v>#NAME?</v>
      </c>
      <c r="U9" s="12" t="e">
        <f t="shared" ca="1" si="7"/>
        <v>#NAME?</v>
      </c>
      <c r="V9" s="51" t="e">
        <f ca="1">1-((1-Risk_of_Provider_Being_Infected*_xlfn.SINGLE(Transmission_Risk_Contact_Health_Care_Provider)*(1-$I9)))*(1-Risk_of_Community_Member_being_Infected*Transmission_Risk_in_Community)^($H9*Contacts_During_Travel_to_Facility)</f>
        <v>#NAME?</v>
      </c>
      <c r="W9" s="49" t="e">
        <f t="shared" ca="1" si="8"/>
        <v>#NAME?</v>
      </c>
      <c r="X9" s="11" t="e">
        <f t="shared" ca="1" si="9"/>
        <v>#NAME?</v>
      </c>
      <c r="Y9" s="12" t="e">
        <f t="shared" ca="1" si="10"/>
        <v>#NAME?</v>
      </c>
      <c r="Z9" s="51">
        <f>1-((1-Risk_of_Provider_Being_Infected*Transmission_Risk_Contact_Health_Care_Provider*(1-$I9))^($H9)*(1-Risk_of_Community_Member_being_Infected*Transmission_Risk_in_Community)^($H9*Contacts_During_Travel_to_Facility))</f>
        <v>5.0614924492107249E-3</v>
      </c>
      <c r="AA9" s="49">
        <f t="shared" si="11"/>
        <v>3.8804775443948909E-3</v>
      </c>
      <c r="AB9" s="11">
        <f t="shared" si="13"/>
        <v>2644.6773827416278</v>
      </c>
      <c r="AC9" s="12">
        <f t="shared" si="14"/>
        <v>5.1520036555055988</v>
      </c>
      <c r="AD9" s="119" t="s">
        <v>27</v>
      </c>
    </row>
    <row r="10" spans="1:30">
      <c r="A10" s="20"/>
      <c r="B10" s="21">
        <v>300</v>
      </c>
      <c r="C10" s="21">
        <v>300</v>
      </c>
      <c r="D10" s="20" t="s">
        <v>33</v>
      </c>
      <c r="E10" s="20"/>
      <c r="F10" s="11">
        <f>SUM($F$67:$F$77)/3</f>
        <v>523933.33333333331</v>
      </c>
      <c r="G10" s="12">
        <f>'[1]7. Number of HW Contacts'!$E$59*'[1]7. Number of HW Contacts'!$F$59</f>
        <v>6</v>
      </c>
      <c r="H10" s="12">
        <f>'[1]7. Number of HW Contacts'!$E$59*'[1]7. Number of HW Contacts'!$F$59</f>
        <v>6</v>
      </c>
      <c r="I10" s="48">
        <f>SUMPRODUCT($F$67:$F$77,$I$67:$I$77)/SUM($F$67:$F$77)</f>
        <v>0.87</v>
      </c>
      <c r="J10" s="54" t="e">
        <f ca="1">1-((1-Risk_of_Provider_Being_Infected*_xlfn.SINGLE(Transmission_Risk_Contact_Health_Care_Provider))^(2*$G10)*(1-Risk_of_Community_Member_being_Infected*Transmission_Risk_in_Community)^(2*$G10*Contacts_During_Travel_to_Facility))</f>
        <v>#NAME?</v>
      </c>
      <c r="K10" s="54" t="e">
        <f t="shared" ca="1" si="12"/>
        <v>#NAME?</v>
      </c>
      <c r="L10" s="55" t="e">
        <f t="shared" ca="1" si="0"/>
        <v>#NAME?</v>
      </c>
      <c r="M10" s="56" t="e">
        <f t="shared" ca="1" si="1"/>
        <v>#NAME?</v>
      </c>
      <c r="N10" s="57" t="e">
        <f ca="1">1-((1-Risk_of_Provider_Being_Infected*_xlfn.SINGLE(Transmission_Risk_Contact_Health_Care_Provider)*(1-Reduction_in_Risk_PPE))^(2*$G10)*(1-Risk_of_Community_Member_being_Infected*Transmission_Risk_in_Community)^(2*$G10*Contacts_During_Travel_to_Facility))</f>
        <v>#NAME?</v>
      </c>
      <c r="O10" s="54" t="e">
        <f t="shared" ca="1" si="2"/>
        <v>#NAME?</v>
      </c>
      <c r="P10" s="55" t="e">
        <f t="shared" ca="1" si="3"/>
        <v>#NAME?</v>
      </c>
      <c r="Q10" s="56" t="e">
        <f t="shared" ca="1" si="4"/>
        <v>#NAME?</v>
      </c>
      <c r="R10" s="57" t="e">
        <f ca="1">1-((1-Risk_of_Provider_Being_Infected*_xlfn.SINGLE(Transmission_Risk_Contact_Health_Care_Provider)*(1-Reduction_in_Risk_PPE))^(2*$G10*(1-Reduction_in_Risk_TS)))*(1-Risk_of_Community_Member_being_Infected*Transmission_Risk_in_Community)^(2*$G10*Contacts_During_Travel_to_Facility)</f>
        <v>#NAME?</v>
      </c>
      <c r="S10" s="54" t="e">
        <f t="shared" ca="1" si="5"/>
        <v>#NAME?</v>
      </c>
      <c r="T10" s="55" t="e">
        <f t="shared" ca="1" si="6"/>
        <v>#NAME?</v>
      </c>
      <c r="U10" s="56" t="e">
        <f t="shared" ca="1" si="7"/>
        <v>#NAME?</v>
      </c>
      <c r="V10" s="57" t="e">
        <f ca="1">1-((1-Risk_of_Provider_Being_Infected*_xlfn.SINGLE(Transmission_Risk_Contact_Health_Care_Provider)*(1-Reduction_in_Risk_PPE))^(2*$H10*(1-Reduction_in_Risk_TS)))*(1-Risk_of_Community_Member_being_Infected*Transmission_Risk_in_Community)^(2*$H10*Contacts_During_Travel_to_Facility)</f>
        <v>#NAME?</v>
      </c>
      <c r="W10" s="54" t="e">
        <f t="shared" ca="1" si="8"/>
        <v>#NAME?</v>
      </c>
      <c r="X10" s="55" t="e">
        <f t="shared" ca="1" si="9"/>
        <v>#NAME?</v>
      </c>
      <c r="Y10" s="56" t="e">
        <f t="shared" ca="1" si="10"/>
        <v>#NAME?</v>
      </c>
      <c r="Z10" s="57">
        <f>1-((1-Risk_of_Provider_Being_Infected*Transmission_Risk_Contact_Health_Care_Provider*(1-$I10))^(2*$H10)*(1-Risk_of_Community_Member_being_Infected*Transmission_Risk_in_Community)^(2*$H10*Contacts_During_Travel_to_Facility))</f>
        <v>1.6269681550074577E-2</v>
      </c>
      <c r="AA10" s="54">
        <f t="shared" si="11"/>
        <v>1.247342252172385E-2</v>
      </c>
      <c r="AB10" s="55">
        <f t="shared" si="13"/>
        <v>37054.821232130082</v>
      </c>
      <c r="AC10" s="56">
        <f t="shared" si="14"/>
        <v>72.18520326442831</v>
      </c>
      <c r="AD10" s="119" t="s">
        <v>34</v>
      </c>
    </row>
    <row r="11" spans="1:30">
      <c r="A11" s="22"/>
      <c r="B11" s="23">
        <v>400</v>
      </c>
      <c r="C11" s="23">
        <v>400</v>
      </c>
      <c r="D11" s="22" t="s">
        <v>35</v>
      </c>
      <c r="E11" s="22"/>
      <c r="F11" s="11">
        <f>F78+F79+F83+F84+F85+AVERAGE(F80:F82)</f>
        <v>3764200</v>
      </c>
      <c r="G11" s="12">
        <f>($F$78*$G$78+$F$79*$G$79+$F$80*$G$80+$F$83*$G$83+$F$84*$G$84+$F$85*$G$85)/$F$11</f>
        <v>1.7232612507305669</v>
      </c>
      <c r="H11" s="12">
        <f>($F$78*$H$78+$F$79*$H$79+$F$80*$H$80+$F$83*$H$83+$F$84*$H$84+$F$85*$H$85)/$F$11</f>
        <v>1.5509351256575101</v>
      </c>
      <c r="I11" s="48">
        <f>SUMPRODUCT($F$78:$F$85,$I$78:$I$85)/SUM($F$78:$F$85)</f>
        <v>0.89</v>
      </c>
      <c r="J11" s="54" t="e">
        <f ca="1">1-((1-Risk_of_Provider_Being_Infected*_xlfn.SINGLE(Transmission_Risk_Contact_Health_Care_Provider))^(2*$G11)*(1-Risk_of_Community_Member_being_Infected*Transmission_Risk_in_Community)^(2*$G11*Contacts_During_Travel_to_Facility))</f>
        <v>#NAME?</v>
      </c>
      <c r="K11" s="54" t="e">
        <f t="shared" ca="1" si="12"/>
        <v>#NAME?</v>
      </c>
      <c r="L11" s="55" t="e">
        <f t="shared" ca="1" si="0"/>
        <v>#NAME?</v>
      </c>
      <c r="M11" s="56" t="e">
        <f t="shared" ca="1" si="1"/>
        <v>#NAME?</v>
      </c>
      <c r="N11" s="57" t="e">
        <f ca="1">1-((1-Risk_of_Provider_Being_Infected*_xlfn.SINGLE(Transmission_Risk_Contact_Health_Care_Provider)*(1-Reduction_in_Risk_PPE))^(2*$G11)*(1-Risk_of_Community_Member_being_Infected*Transmission_Risk_in_Community)^(2*$G11*Contacts_During_Travel_to_Facility))</f>
        <v>#NAME?</v>
      </c>
      <c r="O11" s="54" t="e">
        <f t="shared" ca="1" si="2"/>
        <v>#NAME?</v>
      </c>
      <c r="P11" s="55" t="e">
        <f t="shared" ca="1" si="3"/>
        <v>#NAME?</v>
      </c>
      <c r="Q11" s="56" t="e">
        <f t="shared" ca="1" si="4"/>
        <v>#NAME?</v>
      </c>
      <c r="R11" s="57" t="e">
        <f ca="1">1-((1-Risk_of_Provider_Being_Infected*_xlfn.SINGLE(Transmission_Risk_Contact_Health_Care_Provider)*(1-Reduction_in_Risk_PPE))^(2*$G11*(1-Reduction_in_Risk_TS)))*(1-Risk_of_Community_Member_being_Infected*Transmission_Risk_in_Community)^(2*$G11*Contacts_During_Travel_to_Facility)</f>
        <v>#NAME?</v>
      </c>
      <c r="S11" s="54" t="e">
        <f t="shared" ca="1" si="5"/>
        <v>#NAME?</v>
      </c>
      <c r="T11" s="55" t="e">
        <f t="shared" ca="1" si="6"/>
        <v>#NAME?</v>
      </c>
      <c r="U11" s="56" t="e">
        <f t="shared" ca="1" si="7"/>
        <v>#NAME?</v>
      </c>
      <c r="V11" s="57" t="e">
        <f ca="1">1-((1-Risk_of_Provider_Being_Infected*_xlfn.SINGLE(Transmission_Risk_Contact_Health_Care_Provider)*(1-Reduction_in_Risk_PPE))^(2*$H11*(1-Reduction_in_Risk_TS)))*(1-Risk_of_Community_Member_being_Infected*Transmission_Risk_in_Community)^(2*$H11*Contacts_During_Travel_to_Facility)</f>
        <v>#NAME?</v>
      </c>
      <c r="W11" s="54" t="e">
        <f t="shared" ca="1" si="8"/>
        <v>#NAME?</v>
      </c>
      <c r="X11" s="55" t="e">
        <f t="shared" ca="1" si="9"/>
        <v>#NAME?</v>
      </c>
      <c r="Y11" s="56" t="e">
        <f t="shared" ca="1" si="10"/>
        <v>#NAME?</v>
      </c>
      <c r="Z11" s="57">
        <f>1-((1-Risk_of_Provider_Being_Infected*Transmission_Risk_Contact_Health_Care_Provider*(1-$I11))^(2*$H11)*(1-Risk_of_Community_Member_being_Infected*Transmission_Risk_in_Community)^(2*$H11*Contacts_During_Travel_to_Facility))</f>
        <v>4.2081918416112529E-3</v>
      </c>
      <c r="AA11" s="54">
        <f t="shared" si="11"/>
        <v>3.2262804119019624E-3</v>
      </c>
      <c r="AB11" s="55">
        <f t="shared" si="13"/>
        <v>68858.547999149348</v>
      </c>
      <c r="AC11" s="56">
        <f t="shared" si="14"/>
        <v>134.14093277292699</v>
      </c>
      <c r="AD11" s="119" t="s">
        <v>34</v>
      </c>
    </row>
    <row r="12" spans="1:30">
      <c r="A12" s="24"/>
      <c r="B12" s="25"/>
      <c r="C12" s="25"/>
      <c r="D12" s="24" t="s">
        <v>36</v>
      </c>
      <c r="E12" s="24"/>
      <c r="F12" s="11">
        <f>SUM(F$86:F$87)</f>
        <v>0</v>
      </c>
      <c r="G12" s="12">
        <f>IFERROR(SUMPRODUCT($F$86:$F$86,$G$87:$G$87)/SUM($F$86:$F$86),0)</f>
        <v>0</v>
      </c>
      <c r="H12" s="12">
        <f>IFERROR(SUMPRODUCT($F$86:$F$86,$H$87:$H$87)/SUM($F$86:$F$86),0)</f>
        <v>0</v>
      </c>
      <c r="I12" s="48">
        <f>IFERROR(SUMPRODUCT(F86:F87,I86:I87)/SUM(F86:F87),0)</f>
        <v>0</v>
      </c>
      <c r="J12" s="54" t="e">
        <f ca="1">1-((1-Risk_of_Provider_Being_Infected*_xlfn.SINGLE(Transmission_Risk_Contact_Health_Care_Provider))^(2*$G12)*(1-Risk_of_Community_Member_being_Infected*Transmission_Risk_in_Community)^(2*$G12*Contacts_During_Travel_to_Facility))</f>
        <v>#NAME?</v>
      </c>
      <c r="K12" s="54" t="e">
        <f t="shared" ca="1" si="12"/>
        <v>#NAME?</v>
      </c>
      <c r="L12" s="55" t="e">
        <f t="shared" ca="1" si="0"/>
        <v>#NAME?</v>
      </c>
      <c r="M12" s="56" t="e">
        <f t="shared" ca="1" si="1"/>
        <v>#NAME?</v>
      </c>
      <c r="N12" s="57" t="e">
        <f ca="1">1-((1-Risk_of_Provider_Being_Infected*_xlfn.SINGLE(Transmission_Risk_Contact_Health_Care_Provider)*(1-Reduction_in_Risk_PPE))^(2*$G12)*(1-Risk_of_Community_Member_being_Infected*Transmission_Risk_in_Community)^(2*$G12*Contacts_During_Travel_to_Facility))</f>
        <v>#NAME?</v>
      </c>
      <c r="O12" s="54" t="e">
        <f t="shared" ca="1" si="2"/>
        <v>#NAME?</v>
      </c>
      <c r="P12" s="55" t="e">
        <f t="shared" ca="1" si="3"/>
        <v>#NAME?</v>
      </c>
      <c r="Q12" s="56" t="e">
        <f t="shared" ca="1" si="4"/>
        <v>#NAME?</v>
      </c>
      <c r="R12" s="57" t="e">
        <f ca="1">1-((1-Risk_of_Provider_Being_Infected*_xlfn.SINGLE(Transmission_Risk_Contact_Health_Care_Provider)*(1-Reduction_in_Risk_PPE))^(2*$G12*(1-Reduction_in_Risk_TS)))*(1-Risk_of_Community_Member_being_Infected*Transmission_Risk_in_Community)^(2*$G12*Contacts_During_Travel_to_Facility)</f>
        <v>#NAME?</v>
      </c>
      <c r="S12" s="54" t="e">
        <f t="shared" ca="1" si="5"/>
        <v>#NAME?</v>
      </c>
      <c r="T12" s="55" t="e">
        <f t="shared" ca="1" si="6"/>
        <v>#NAME?</v>
      </c>
      <c r="U12" s="56" t="e">
        <f t="shared" ca="1" si="7"/>
        <v>#NAME?</v>
      </c>
      <c r="V12" s="57" t="e">
        <f ca="1">1-((1-Risk_of_Provider_Being_Infected*_xlfn.SINGLE(Transmission_Risk_Contact_Health_Care_Provider)*(1-Reduction_in_Risk_PPE))^(2*$H12*(1-Reduction_in_Risk_TS)))*(1-Risk_of_Community_Member_being_Infected*Transmission_Risk_in_Community)^(2*$H12*Contacts_During_Travel_to_Facility)</f>
        <v>#NAME?</v>
      </c>
      <c r="W12" s="54" t="e">
        <f t="shared" ca="1" si="8"/>
        <v>#NAME?</v>
      </c>
      <c r="X12" s="55" t="e">
        <f t="shared" ca="1" si="9"/>
        <v>#NAME?</v>
      </c>
      <c r="Y12" s="56" t="e">
        <f t="shared" ca="1" si="10"/>
        <v>#NAME?</v>
      </c>
      <c r="Z12" s="57">
        <f>1-((1-Risk_of_Provider_Being_Infected*Transmission_Risk_Contact_Health_Care_Provider*(1-$I12))^(2*$H12)*(1-Risk_of_Community_Member_being_Infected*Transmission_Risk_in_Community)^(2*$H12*Contacts_During_Travel_to_Facility))</f>
        <v>0</v>
      </c>
      <c r="AA12" s="54">
        <f t="shared" si="11"/>
        <v>0</v>
      </c>
      <c r="AB12" s="55">
        <f t="shared" si="13"/>
        <v>0</v>
      </c>
      <c r="AC12" s="56">
        <f t="shared" si="14"/>
        <v>0</v>
      </c>
      <c r="AD12" s="119" t="s">
        <v>34</v>
      </c>
    </row>
    <row r="13" spans="1:30">
      <c r="A13" s="26"/>
      <c r="B13" s="26"/>
      <c r="C13" s="26"/>
      <c r="D13" s="26" t="s">
        <v>37</v>
      </c>
      <c r="E13" s="26"/>
      <c r="F13" s="11">
        <f>SUM(F$88:F$88)</f>
        <v>0</v>
      </c>
      <c r="G13" s="12">
        <f t="shared" ref="G13:I13" si="15">G88</f>
        <v>4</v>
      </c>
      <c r="H13" s="12">
        <f t="shared" si="15"/>
        <v>4</v>
      </c>
      <c r="I13" s="48">
        <f t="shared" si="15"/>
        <v>0</v>
      </c>
      <c r="J13" s="49" t="e">
        <f ca="1">1-((1-Risk_of_Provider_Being_Infected*_xlfn.SINGLE(Transmission_Risk_Contact_Health_Care_Provider))^(G13)*(1-Risk_of_Community_Member_being_Infected*Transmission_Risk_in_Community)^(G13*Contacts_During_Travel_to_Facility))</f>
        <v>#NAME?</v>
      </c>
      <c r="K13" s="49" t="e">
        <f t="shared" ca="1" si="12"/>
        <v>#NAME?</v>
      </c>
      <c r="L13" s="11" t="e">
        <f t="shared" ca="1" si="0"/>
        <v>#NAME?</v>
      </c>
      <c r="M13" s="12" t="e">
        <f t="shared" ca="1" si="1"/>
        <v>#NAME?</v>
      </c>
      <c r="N13" s="51" t="e">
        <f ca="1">1-((1-Risk_of_Provider_Being_Infected*_xlfn.SINGLE(Transmission_Risk_Contact_Health_Care_Provider)*(1-Reduction_in_Risk_PPE))^($G13)*(1-Risk_of_Community_Member_being_Infected*Transmission_Risk_in_Community)^($G13*Contacts_During_Travel_to_Facility))</f>
        <v>#NAME?</v>
      </c>
      <c r="O13" s="49" t="e">
        <f t="shared" ca="1" si="2"/>
        <v>#NAME?</v>
      </c>
      <c r="P13" s="11" t="e">
        <f t="shared" ca="1" si="3"/>
        <v>#NAME?</v>
      </c>
      <c r="Q13" s="12" t="e">
        <f t="shared" ca="1" si="4"/>
        <v>#NAME?</v>
      </c>
      <c r="R13" s="51" t="e">
        <f ca="1">1-((1-Risk_of_Provider_Being_Infected*_xlfn.SINGLE(Transmission_Risk_Contact_Health_Care_Provider)*(1-Reduction_in_Risk_PPE))^($G13*(1-Reduction_in_Risk_TS)))*(1-Risk_of_Community_Member_being_Infected*Transmission_Risk_in_Community)^($G13*Contacts_During_Travel_to_Facility)</f>
        <v>#NAME?</v>
      </c>
      <c r="S13" s="49" t="e">
        <f t="shared" ca="1" si="5"/>
        <v>#NAME?</v>
      </c>
      <c r="T13" s="11" t="e">
        <f t="shared" ca="1" si="6"/>
        <v>#NAME?</v>
      </c>
      <c r="U13" s="12" t="e">
        <f t="shared" ca="1" si="7"/>
        <v>#NAME?</v>
      </c>
      <c r="V13" s="51" t="e">
        <f ca="1">1-((1-Risk_of_Provider_Being_Infected*_xlfn.SINGLE(Transmission_Risk_Contact_Health_Care_Provider)*(1-$I13)))*(1-Risk_of_Community_Member_being_Infected*Transmission_Risk_in_Community)^($H13*Contacts_During_Travel_to_Facility)</f>
        <v>#NAME?</v>
      </c>
      <c r="W13" s="49" t="e">
        <f t="shared" ca="1" si="8"/>
        <v>#NAME?</v>
      </c>
      <c r="X13" s="11" t="e">
        <f t="shared" ca="1" si="9"/>
        <v>#NAME?</v>
      </c>
      <c r="Y13" s="12" t="e">
        <f t="shared" ca="1" si="10"/>
        <v>#NAME?</v>
      </c>
      <c r="Z13" s="51">
        <f>1-((1-Risk_of_Provider_Being_Infected*Transmission_Risk_Contact_Health_Care_Provider*(1-$I13))^($H13)*(1-Risk_of_Community_Member_being_Infected*Transmission_Risk_in_Community)^($H13*Contacts_During_Travel_to_Facility))</f>
        <v>6.7383770648795638E-3</v>
      </c>
      <c r="AA13" s="49">
        <f t="shared" si="11"/>
        <v>5.1660890830743352E-3</v>
      </c>
      <c r="AB13" s="11">
        <f t="shared" si="13"/>
        <v>0</v>
      </c>
      <c r="AC13" s="12">
        <f t="shared" si="14"/>
        <v>0</v>
      </c>
      <c r="AD13" s="60"/>
    </row>
    <row r="14" spans="1:30">
      <c r="A14" s="125"/>
      <c r="B14" s="125"/>
      <c r="C14" s="125"/>
      <c r="D14" s="126" t="s">
        <v>38</v>
      </c>
      <c r="E14" s="127"/>
      <c r="F14" s="128"/>
      <c r="G14" s="128"/>
      <c r="H14" s="128"/>
      <c r="I14" s="130"/>
      <c r="J14" s="128"/>
      <c r="K14" s="128"/>
      <c r="L14" s="128"/>
      <c r="M14" s="128"/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60"/>
    </row>
    <row r="15" spans="1:30">
      <c r="A15" s="27" t="str">
        <f>IF(VLOOKUP(B15,'[1]1. Select Services'!$A$6:$E$77,5,FALSE)="x","x","")</f>
        <v>x</v>
      </c>
      <c r="B15" s="28">
        <v>1</v>
      </c>
      <c r="C15" s="29">
        <v>7</v>
      </c>
      <c r="D15" s="99" t="s">
        <v>26</v>
      </c>
      <c r="E15" s="29" t="s">
        <v>39</v>
      </c>
      <c r="F15" s="11">
        <f>IF(Chosen_Scenario="Mitigation Impact Only",VLOOKUP($B15,'[1]Coverage Review Updated'!$B$5:$T$78,18,FALSE),VLOOKUP($B15,'[1]Coverage Review Updated'!$B$5:$T$78,19,FALSE))</f>
        <v>42300</v>
      </c>
      <c r="G15" s="11">
        <f>VLOOKUP($B15,'[1]7. Number of HW Contacts'!$B$4:$I$84,6,FALSE)</f>
        <v>12</v>
      </c>
      <c r="H15" s="12">
        <f>G15*(1-HLOOKUP($B15,'[1]3. Mitigation Impact on Coverag'!$BY$5:$EQ$7,3,FALSE))</f>
        <v>12</v>
      </c>
      <c r="I15" s="48">
        <f>HLOOKUP(B15,'[1]3. Mitigation Impact on Coverag'!ES$5:HK$7,3,FALSE)</f>
        <v>0.89</v>
      </c>
      <c r="J15" s="49" t="e">
        <f t="shared" ref="J15:J34" ca="1" si="16">1-((1-Risk_of_Provider_Being_Infected*_xlfn.SINGLE(Transmission_Risk_Contact_Health_Care_Provider))^(G15)*(1-Risk_of_Community_Member_being_Infected*Transmission_Risk_in_Community)^(G15*Contacts_During_Travel_to_Facility))</f>
        <v>#NAME?</v>
      </c>
      <c r="K15" s="49" t="e">
        <f ca="1">J15*(1-(Percent_Prevalence_at_End_of_Projection_Period-Percent_Prevalence_at_Beginning_of_Projection_Period)-Percent_Prevalence_at_Beginning_of_Projection_Period-Percent_Prevalence_at_Beginning_of_Projection_Period)</f>
        <v>#NAME?</v>
      </c>
      <c r="L15" s="11" t="e">
        <f t="shared" ref="L15:L56" ca="1" si="17">$F15*$K15*HH_Size</f>
        <v>#NAME?</v>
      </c>
      <c r="M15" s="12" t="e">
        <f t="shared" ref="M15:M56" ca="1" si="18">$F15*$J15*(HH_Children*Fatality_Rate_Child+HH_Adults*Fatality_Rate_Adult+HH_Over_60*Fatality_Rate_Over_60)</f>
        <v>#NAME?</v>
      </c>
      <c r="N15" s="51">
        <f>1-((1-Risk_of_Provider_Being_Infected*Transmission_Risk_Contact_Health_Care_Provider*(1-Reduction_in_Risk_PPE))^($G16)*(1-Risk_of_Community_Member_being_Infected*Transmission_Risk_in_Community)^($G16*Contacts_During_Travel_to_Facility))</f>
        <v>1.964203091156691E-2</v>
      </c>
      <c r="O15" s="49">
        <f t="shared" ref="O15:O56" si="19">N15*(1-(Percent_Prevalence_at_End_of_Projection_Period-Percent_Prevalence_at_Beginning_of_Projection_Period))</f>
        <v>1.5058890365534639E-2</v>
      </c>
      <c r="P15" s="11">
        <f t="shared" ref="P15:P56" si="20">$F15*$O15*HH_Size</f>
        <v>4013.0436935113257</v>
      </c>
      <c r="Q15" s="12">
        <f t="shared" ref="Q15:Q56" si="21">$F15*$O15*(HH_Children*Fatality_Rate_Child+HH_Adults*Fatality_Rate_Adult+HH_Over_60*Fatality_Rate_Over_60)</f>
        <v>7.8176702812956718</v>
      </c>
      <c r="R15" s="51" t="e">
        <f t="shared" ref="R15:R34" ca="1" si="22">1-((1-Risk_of_Provider_Being_Infected*_xlfn.SINGLE(Transmission_Risk_Contact_Health_Care_Provider)*(1-Reduction_in_Risk_PPE))^($G15*(1-Reduction_in_Risk_TS)))*(1-Risk_of_Community_Member_being_Infected*Transmission_Risk_in_Community)^($G15*Contacts_During_Travel_to_Facility)</f>
        <v>#NAME?</v>
      </c>
      <c r="S15" s="49" t="e">
        <f t="shared" ref="S15:S56" ca="1" si="23">R15*(1-(Percent_Prevalence_at_End_of_Projection_Period-Percent_Prevalence_at_Beginning_of_Projection_Period))</f>
        <v>#NAME?</v>
      </c>
      <c r="T15" s="11" t="e">
        <f t="shared" ref="T15:T56" ca="1" si="24">$F15*$S15*HH_Size</f>
        <v>#NAME?</v>
      </c>
      <c r="U15" s="12" t="e">
        <f t="shared" ref="U15:U56" ca="1" si="25">$F15*$S15*(HH_Children*Fatality_Rate_Child+HH_Adults*Fatality_Rate_Adult+HH_Over_60*Fatality_Rate_Over_60)</f>
        <v>#NAME?</v>
      </c>
      <c r="V15" s="51" t="e">
        <f t="shared" ref="V15:V34" ca="1" si="26">1-((1-Risk_of_Provider_Being_Infected*_xlfn.SINGLE(Transmission_Risk_Contact_Health_Care_Provider)*(1-$I15)))*(1-Risk_of_Community_Member_being_Infected*Transmission_Risk_in_Community)^($H15*Contacts_During_Travel_to_Facility)</f>
        <v>#NAME?</v>
      </c>
      <c r="W15" s="49" t="e">
        <f t="shared" ref="W15:W56" ca="1" si="27">V15*(1-(Percent_Prevalence_at_End_of_Projection_Period-Percent_Prevalence_at_Beginning_of_Projection_Period))</f>
        <v>#NAME?</v>
      </c>
      <c r="X15" s="11" t="e">
        <f t="shared" ref="X15:X56" ca="1" si="28">$F15*$W15*HH_Size</f>
        <v>#NAME?</v>
      </c>
      <c r="Y15" s="12" t="e">
        <f t="shared" ref="Y15:Y56" ca="1" si="29">$F15*$W15*(HH_Children*Fatality_Rate_Child+HH_Adults*Fatality_Rate_Adult+HH_Over_60*Fatality_Rate_Over_60)</f>
        <v>#NAME?</v>
      </c>
      <c r="Z15" s="51">
        <f t="shared" ref="Z15:Z34" si="30">1-((1-Risk_of_Provider_Being_Infected*Transmission_Risk_Contact_Health_Care_Provider*(1-$I15))^($H15)*(1-Risk_of_Community_Member_being_Infected*Transmission_Risk_in_Community)^($H15*Contacts_During_Travel_to_Facility))</f>
        <v>1.6181946542899062E-2</v>
      </c>
      <c r="AA15" s="49">
        <f t="shared" ref="AA15:AA56" si="31">Z15*(1-(Percent_Prevalence_at_End_of_Projection_Period-Percent_Prevalence_at_Beginning_of_Projection_Period))</f>
        <v>1.240615901622262E-2</v>
      </c>
      <c r="AB15" s="11">
        <f t="shared" ref="AB15:AB56" si="32">$F15*$AA15*HH_Size*Infection_Rate_within_HH</f>
        <v>2975.5055846098494</v>
      </c>
      <c r="AC15" s="12">
        <f t="shared" ref="AC15:AC56" si="33">$F15*$AA15*Infection_Rate_within_HH*(HH_Children*Fatality_Rate_Child+HH_Adults*Fatality_Rate_Adult+HH_Over_60*Fatality_Rate_Over_60)</f>
        <v>5.7964785228342226</v>
      </c>
      <c r="AD15" s="60"/>
    </row>
    <row r="16" spans="1:30">
      <c r="A16" s="27" t="str">
        <f>IF(VLOOKUP(B16,'[1]1. Select Services'!$A$6:$E$77,5,FALSE)="x","x","")</f>
        <v>x</v>
      </c>
      <c r="B16" s="28">
        <v>2</v>
      </c>
      <c r="C16" s="30">
        <v>1</v>
      </c>
      <c r="D16" s="100"/>
      <c r="E16" s="30" t="s">
        <v>40</v>
      </c>
      <c r="F16" s="11">
        <f>IF(Chosen_Scenario="Mitigation Impact Only",VLOOKUP($B16,'[1]Coverage Review Updated'!$B$5:$T$78,18,FALSE),VLOOKUP($B16,'[1]Coverage Review Updated'!$B$5:$T$78,19,FALSE))</f>
        <v>1700</v>
      </c>
      <c r="G16" s="11">
        <f>VLOOKUP($B16,'[1]7. Number of HW Contacts'!$B$4:$I$84,6,FALSE)</f>
        <v>12</v>
      </c>
      <c r="H16" s="12">
        <f>G16*(1-HLOOKUP($B16,'[1]3. Mitigation Impact on Coverag'!$BY$5:$EQ$7,3,FALSE))</f>
        <v>12</v>
      </c>
      <c r="I16" s="48">
        <f>HLOOKUP(B16,'[1]3. Mitigation Impact on Coverag'!ES$5:HK$7,3,FALSE)</f>
        <v>0.89</v>
      </c>
      <c r="J16" s="49" t="e">
        <f t="shared" ca="1" si="16"/>
        <v>#NAME?</v>
      </c>
      <c r="K16" s="49" t="e">
        <f t="shared" ref="K16:K56" ca="1" si="34">J16*(1-(Percent_Prevalence_at_End_of_Projection_Period-Percent_Prevalence_at_Beginning_of_Projection_Period))</f>
        <v>#NAME?</v>
      </c>
      <c r="L16" s="11" t="e">
        <f t="shared" ca="1" si="17"/>
        <v>#NAME?</v>
      </c>
      <c r="M16" s="12" t="e">
        <f t="shared" ca="1" si="18"/>
        <v>#NAME?</v>
      </c>
      <c r="N16" s="51" t="e">
        <f t="shared" ref="N16:N34" ca="1" si="35">1-((1-Risk_of_Provider_Being_Infected*_xlfn.SINGLE(Transmission_Risk_Contact_Health_Care_Provider)*(1-Reduction_in_Risk_PPE))^($G16)*(1-Risk_of_Community_Member_being_Infected*Transmission_Risk_in_Community)^($G16*Contacts_During_Travel_to_Facility))</f>
        <v>#NAME?</v>
      </c>
      <c r="O16" s="49" t="e">
        <f t="shared" ca="1" si="19"/>
        <v>#NAME?</v>
      </c>
      <c r="P16" s="11" t="e">
        <f t="shared" ca="1" si="20"/>
        <v>#NAME?</v>
      </c>
      <c r="Q16" s="12" t="e">
        <f t="shared" ca="1" si="21"/>
        <v>#NAME?</v>
      </c>
      <c r="R16" s="51" t="e">
        <f t="shared" ca="1" si="22"/>
        <v>#NAME?</v>
      </c>
      <c r="S16" s="49" t="e">
        <f t="shared" ca="1" si="23"/>
        <v>#NAME?</v>
      </c>
      <c r="T16" s="11" t="e">
        <f t="shared" ca="1" si="24"/>
        <v>#NAME?</v>
      </c>
      <c r="U16" s="12" t="e">
        <f t="shared" ca="1" si="25"/>
        <v>#NAME?</v>
      </c>
      <c r="V16" s="51" t="e">
        <f t="shared" ca="1" si="26"/>
        <v>#NAME?</v>
      </c>
      <c r="W16" s="49" t="e">
        <f t="shared" ca="1" si="27"/>
        <v>#NAME?</v>
      </c>
      <c r="X16" s="11" t="e">
        <f t="shared" ca="1" si="28"/>
        <v>#NAME?</v>
      </c>
      <c r="Y16" s="12" t="e">
        <f t="shared" ca="1" si="29"/>
        <v>#NAME?</v>
      </c>
      <c r="Z16" s="51">
        <f t="shared" si="30"/>
        <v>1.6181946542899062E-2</v>
      </c>
      <c r="AA16" s="49">
        <f t="shared" si="31"/>
        <v>1.240615901622262E-2</v>
      </c>
      <c r="AB16" s="11">
        <f t="shared" si="32"/>
        <v>119.58296675736983</v>
      </c>
      <c r="AC16" s="12">
        <f t="shared" si="33"/>
        <v>0.23295540162690728</v>
      </c>
      <c r="AD16" s="60"/>
    </row>
    <row r="17" spans="1:30">
      <c r="A17" s="27" t="str">
        <f>IF(VLOOKUP(B17,'[1]1. Select Services'!$A$6:$E$77,5,FALSE)="x","x","")</f>
        <v>x</v>
      </c>
      <c r="B17" s="28">
        <v>3</v>
      </c>
      <c r="C17" s="30">
        <v>4</v>
      </c>
      <c r="D17" s="100"/>
      <c r="E17" s="30" t="s">
        <v>41</v>
      </c>
      <c r="F17" s="11">
        <f>IF(Chosen_Scenario="Mitigation Impact Only",VLOOKUP($B17,'[1]Coverage Review Updated'!$B$5:$T$78,18,FALSE),VLOOKUP($B17,'[1]Coverage Review Updated'!$B$5:$T$78,19,FALSE))</f>
        <v>2500</v>
      </c>
      <c r="G17" s="11">
        <f>VLOOKUP($B17,'[1]7. Number of HW Contacts'!$B$4:$I$84,6,FALSE)</f>
        <v>4</v>
      </c>
      <c r="H17" s="12">
        <f>G17*(1-HLOOKUP($B17,'[1]3. Mitigation Impact on Coverag'!$BY$5:$EQ$7,3,FALSE))</f>
        <v>4</v>
      </c>
      <c r="I17" s="48">
        <f>HLOOKUP(B17,'[1]3. Mitigation Impact on Coverag'!ES$5:HK$7,3,FALSE)</f>
        <v>0.89</v>
      </c>
      <c r="J17" s="49" t="e">
        <f t="shared" ca="1" si="16"/>
        <v>#NAME?</v>
      </c>
      <c r="K17" s="49" t="e">
        <f t="shared" ca="1" si="34"/>
        <v>#NAME?</v>
      </c>
      <c r="L17" s="11" t="e">
        <f t="shared" ca="1" si="17"/>
        <v>#NAME?</v>
      </c>
      <c r="M17" s="12" t="e">
        <f t="shared" ca="1" si="18"/>
        <v>#NAME?</v>
      </c>
      <c r="N17" s="51" t="e">
        <f t="shared" ca="1" si="35"/>
        <v>#NAME?</v>
      </c>
      <c r="O17" s="49" t="e">
        <f t="shared" ca="1" si="19"/>
        <v>#NAME?</v>
      </c>
      <c r="P17" s="11" t="e">
        <f t="shared" ca="1" si="20"/>
        <v>#NAME?</v>
      </c>
      <c r="Q17" s="12" t="e">
        <f t="shared" ca="1" si="21"/>
        <v>#NAME?</v>
      </c>
      <c r="R17" s="51" t="e">
        <f t="shared" ca="1" si="22"/>
        <v>#NAME?</v>
      </c>
      <c r="S17" s="49" t="e">
        <f t="shared" ca="1" si="23"/>
        <v>#NAME?</v>
      </c>
      <c r="T17" s="11" t="e">
        <f t="shared" ca="1" si="24"/>
        <v>#NAME?</v>
      </c>
      <c r="U17" s="12" t="e">
        <f t="shared" ca="1" si="25"/>
        <v>#NAME?</v>
      </c>
      <c r="V17" s="51" t="e">
        <f t="shared" ca="1" si="26"/>
        <v>#NAME?</v>
      </c>
      <c r="W17" s="49" t="e">
        <f t="shared" ca="1" si="27"/>
        <v>#NAME?</v>
      </c>
      <c r="X17" s="11" t="e">
        <f t="shared" ca="1" si="28"/>
        <v>#NAME?</v>
      </c>
      <c r="Y17" s="12" t="e">
        <f t="shared" ca="1" si="29"/>
        <v>#NAME?</v>
      </c>
      <c r="Z17" s="51">
        <f t="shared" si="30"/>
        <v>5.4233416439648519E-3</v>
      </c>
      <c r="AA17" s="49">
        <f t="shared" si="31"/>
        <v>4.1578952603730556E-3</v>
      </c>
      <c r="AB17" s="11">
        <f t="shared" si="32"/>
        <v>58.938165315788069</v>
      </c>
      <c r="AC17" s="12">
        <f t="shared" si="33"/>
        <v>0.11481538169353284</v>
      </c>
      <c r="AD17" s="60"/>
    </row>
    <row r="18" spans="1:30">
      <c r="A18" s="27" t="str">
        <f>IF(VLOOKUP(B18,'[1]1. Select Services'!$A$6:$E$77,5,FALSE)="x","x","")</f>
        <v>x</v>
      </c>
      <c r="B18" s="28">
        <v>4</v>
      </c>
      <c r="C18" s="30">
        <v>5</v>
      </c>
      <c r="D18" s="100"/>
      <c r="E18" s="30" t="s">
        <v>42</v>
      </c>
      <c r="F18" s="11">
        <f>IF(Chosen_Scenario="Mitigation Impact Only",VLOOKUP($B18,'[1]Coverage Review Updated'!$B$5:$T$78,18,FALSE),VLOOKUP($B18,'[1]Coverage Review Updated'!$B$5:$T$78,19,FALSE))</f>
        <v>0</v>
      </c>
      <c r="G18" s="11">
        <f>VLOOKUP($B18,'[1]7. Number of HW Contacts'!$B$4:$I$84,6,FALSE)</f>
        <v>1</v>
      </c>
      <c r="H18" s="12">
        <f>G18*(1-HLOOKUP($B18,'[1]3. Mitigation Impact on Coverag'!$BY$5:$EQ$7,3,FALSE))</f>
        <v>1</v>
      </c>
      <c r="I18" s="48">
        <f>HLOOKUP(B18,'[1]3. Mitigation Impact on Coverag'!ES$5:HK$7,3,FALSE)</f>
        <v>0.89</v>
      </c>
      <c r="J18" s="49" t="e">
        <f t="shared" ca="1" si="16"/>
        <v>#NAME?</v>
      </c>
      <c r="K18" s="49" t="e">
        <f t="shared" ca="1" si="34"/>
        <v>#NAME?</v>
      </c>
      <c r="L18" s="11" t="e">
        <f t="shared" ca="1" si="17"/>
        <v>#NAME?</v>
      </c>
      <c r="M18" s="12" t="e">
        <f t="shared" ca="1" si="18"/>
        <v>#NAME?</v>
      </c>
      <c r="N18" s="51" t="e">
        <f t="shared" ca="1" si="35"/>
        <v>#NAME?</v>
      </c>
      <c r="O18" s="49" t="e">
        <f t="shared" ca="1" si="19"/>
        <v>#NAME?</v>
      </c>
      <c r="P18" s="11" t="e">
        <f t="shared" ca="1" si="20"/>
        <v>#NAME?</v>
      </c>
      <c r="Q18" s="12" t="e">
        <f t="shared" ca="1" si="21"/>
        <v>#NAME?</v>
      </c>
      <c r="R18" s="51" t="e">
        <f t="shared" ca="1" si="22"/>
        <v>#NAME?</v>
      </c>
      <c r="S18" s="49" t="e">
        <f t="shared" ca="1" si="23"/>
        <v>#NAME?</v>
      </c>
      <c r="T18" s="11" t="e">
        <f t="shared" ca="1" si="24"/>
        <v>#NAME?</v>
      </c>
      <c r="U18" s="12" t="e">
        <f t="shared" ca="1" si="25"/>
        <v>#NAME?</v>
      </c>
      <c r="V18" s="51" t="e">
        <f t="shared" ca="1" si="26"/>
        <v>#NAME?</v>
      </c>
      <c r="W18" s="49" t="e">
        <f t="shared" ca="1" si="27"/>
        <v>#NAME?</v>
      </c>
      <c r="X18" s="11" t="e">
        <f t="shared" ca="1" si="28"/>
        <v>#NAME?</v>
      </c>
      <c r="Y18" s="12" t="e">
        <f t="shared" ca="1" si="29"/>
        <v>#NAME?</v>
      </c>
      <c r="Z18" s="51">
        <f t="shared" si="30"/>
        <v>1.3586016016061686E-3</v>
      </c>
      <c r="AA18" s="49">
        <f t="shared" si="31"/>
        <v>1.0415945612313965E-3</v>
      </c>
      <c r="AB18" s="11">
        <f t="shared" si="32"/>
        <v>0</v>
      </c>
      <c r="AC18" s="12">
        <f t="shared" si="33"/>
        <v>0</v>
      </c>
      <c r="AD18" s="60"/>
    </row>
    <row r="19" spans="1:30">
      <c r="A19" s="27" t="str">
        <f>IF(VLOOKUP(B19,'[1]1. Select Services'!$A$6:$E$77,5,FALSE)="x","x","")</f>
        <v>x</v>
      </c>
      <c r="B19" s="28">
        <v>5</v>
      </c>
      <c r="C19" s="30">
        <v>6</v>
      </c>
      <c r="D19" s="100"/>
      <c r="E19" s="30" t="s">
        <v>43</v>
      </c>
      <c r="F19" s="11">
        <f>IF(Chosen_Scenario="Mitigation Impact Only",VLOOKUP($B19,'[1]Coverage Review Updated'!$B$5:$T$78,18,FALSE),VLOOKUP($B19,'[1]Coverage Review Updated'!$B$5:$T$78,19,FALSE))</f>
        <v>12800</v>
      </c>
      <c r="G19" s="11">
        <f>VLOOKUP($B19,'[1]7. Number of HW Contacts'!$B$4:$I$84,6,FALSE)</f>
        <v>1</v>
      </c>
      <c r="H19" s="12">
        <f>G19*(1-HLOOKUP($B19,'[1]3. Mitigation Impact on Coverag'!$BY$5:$EQ$7,3,FALSE))</f>
        <v>1</v>
      </c>
      <c r="I19" s="48">
        <f>HLOOKUP(B19,'[1]3. Mitigation Impact on Coverag'!ES$5:HK$7,3,FALSE)</f>
        <v>0.89</v>
      </c>
      <c r="J19" s="58" t="e">
        <f t="shared" ca="1" si="16"/>
        <v>#NAME?</v>
      </c>
      <c r="K19" s="49" t="e">
        <f t="shared" ca="1" si="34"/>
        <v>#NAME?</v>
      </c>
      <c r="L19" s="11" t="e">
        <f t="shared" ca="1" si="17"/>
        <v>#NAME?</v>
      </c>
      <c r="M19" s="12" t="e">
        <f t="shared" ca="1" si="18"/>
        <v>#NAME?</v>
      </c>
      <c r="N19" s="58" t="e">
        <f t="shared" ca="1" si="35"/>
        <v>#NAME?</v>
      </c>
      <c r="O19" s="49" t="e">
        <f t="shared" ca="1" si="19"/>
        <v>#NAME?</v>
      </c>
      <c r="P19" s="11" t="e">
        <f t="shared" ca="1" si="20"/>
        <v>#NAME?</v>
      </c>
      <c r="Q19" s="12" t="e">
        <f t="shared" ca="1" si="21"/>
        <v>#NAME?</v>
      </c>
      <c r="R19" s="58" t="e">
        <f t="shared" ca="1" si="22"/>
        <v>#NAME?</v>
      </c>
      <c r="S19" s="49" t="e">
        <f t="shared" ca="1" si="23"/>
        <v>#NAME?</v>
      </c>
      <c r="T19" s="11" t="e">
        <f t="shared" ca="1" si="24"/>
        <v>#NAME?</v>
      </c>
      <c r="U19" s="12" t="e">
        <f t="shared" ca="1" si="25"/>
        <v>#NAME?</v>
      </c>
      <c r="V19" s="51" t="e">
        <f t="shared" ca="1" si="26"/>
        <v>#NAME?</v>
      </c>
      <c r="W19" s="49" t="e">
        <f t="shared" ca="1" si="27"/>
        <v>#NAME?</v>
      </c>
      <c r="X19" s="11" t="e">
        <f t="shared" ca="1" si="28"/>
        <v>#NAME?</v>
      </c>
      <c r="Y19" s="12" t="e">
        <f t="shared" ca="1" si="29"/>
        <v>#NAME?</v>
      </c>
      <c r="Z19" s="51">
        <f t="shared" si="30"/>
        <v>1.3586016016061686E-3</v>
      </c>
      <c r="AA19" s="49">
        <f t="shared" si="31"/>
        <v>1.0415945612313965E-3</v>
      </c>
      <c r="AB19" s="11">
        <f t="shared" si="32"/>
        <v>75.594766875929835</v>
      </c>
      <c r="AC19" s="12">
        <f t="shared" si="33"/>
        <v>0.14726352553374292</v>
      </c>
      <c r="AD19" s="60"/>
    </row>
    <row r="20" spans="1:30">
      <c r="A20" s="27" t="str">
        <f>IF(VLOOKUP(B20,'[1]1. Select Services'!$A$6:$E$77,5,FALSE)="x","x","")</f>
        <v>x</v>
      </c>
      <c r="B20" s="28">
        <v>6</v>
      </c>
      <c r="C20" s="30">
        <v>2</v>
      </c>
      <c r="D20" s="100"/>
      <c r="E20" s="30" t="s">
        <v>44</v>
      </c>
      <c r="F20" s="11">
        <f>IF(Chosen_Scenario="Mitigation Impact Only",VLOOKUP($B20,'[1]Coverage Review Updated'!$B$5:$T$78,18,FALSE),VLOOKUP($B20,'[1]Coverage Review Updated'!$B$5:$T$78,19,FALSE))</f>
        <v>1500</v>
      </c>
      <c r="G20" s="11">
        <f>VLOOKUP($B20,'[1]7. Number of HW Contacts'!$B$4:$I$84,6,FALSE)</f>
        <v>2</v>
      </c>
      <c r="H20" s="12">
        <f>G20*(1-HLOOKUP($B20,'[1]3. Mitigation Impact on Coverag'!$BY$5:$EQ$7,3,FALSE))</f>
        <v>2</v>
      </c>
      <c r="I20" s="48">
        <f>HLOOKUP(B20,'[1]3. Mitigation Impact on Coverag'!ES$5:HK$7,3,FALSE)</f>
        <v>0.89</v>
      </c>
      <c r="J20" s="49" t="e">
        <f t="shared" ca="1" si="16"/>
        <v>#NAME?</v>
      </c>
      <c r="K20" s="49" t="e">
        <f t="shared" ca="1" si="34"/>
        <v>#NAME?</v>
      </c>
      <c r="L20" s="11" t="e">
        <f t="shared" ca="1" si="17"/>
        <v>#NAME?</v>
      </c>
      <c r="M20" s="12" t="e">
        <f t="shared" ca="1" si="18"/>
        <v>#NAME?</v>
      </c>
      <c r="N20" s="51" t="e">
        <f t="shared" ca="1" si="35"/>
        <v>#NAME?</v>
      </c>
      <c r="O20" s="49" t="e">
        <f t="shared" ca="1" si="19"/>
        <v>#NAME?</v>
      </c>
      <c r="P20" s="11" t="e">
        <f t="shared" ca="1" si="20"/>
        <v>#NAME?</v>
      </c>
      <c r="Q20" s="12" t="e">
        <f t="shared" ca="1" si="21"/>
        <v>#NAME?</v>
      </c>
      <c r="R20" s="51" t="e">
        <f t="shared" ca="1" si="22"/>
        <v>#NAME?</v>
      </c>
      <c r="S20" s="49" t="e">
        <f t="shared" ca="1" si="23"/>
        <v>#NAME?</v>
      </c>
      <c r="T20" s="11" t="e">
        <f t="shared" ca="1" si="24"/>
        <v>#NAME?</v>
      </c>
      <c r="U20" s="12" t="e">
        <f t="shared" ca="1" si="25"/>
        <v>#NAME?</v>
      </c>
      <c r="V20" s="51" t="e">
        <f t="shared" ca="1" si="26"/>
        <v>#NAME?</v>
      </c>
      <c r="W20" s="49" t="e">
        <f t="shared" ca="1" si="27"/>
        <v>#NAME?</v>
      </c>
      <c r="X20" s="11" t="e">
        <f t="shared" ca="1" si="28"/>
        <v>#NAME?</v>
      </c>
      <c r="Y20" s="12" t="e">
        <f t="shared" ca="1" si="29"/>
        <v>#NAME?</v>
      </c>
      <c r="Z20" s="51">
        <f t="shared" si="30"/>
        <v>2.7153574049004758E-3</v>
      </c>
      <c r="AA20" s="49">
        <f t="shared" si="31"/>
        <v>2.081774010423699E-3</v>
      </c>
      <c r="AB20" s="11">
        <f t="shared" si="32"/>
        <v>17.70548795865356</v>
      </c>
      <c r="AC20" s="12">
        <f t="shared" si="33"/>
        <v>3.4491442805371898E-2</v>
      </c>
      <c r="AD20" s="60"/>
    </row>
    <row r="21" spans="1:30">
      <c r="A21" s="27" t="str">
        <f>IF(VLOOKUP(B21,'[1]1. Select Services'!$A$6:$E$77,5,FALSE)="x","x","")</f>
        <v/>
      </c>
      <c r="B21" s="28">
        <v>7</v>
      </c>
      <c r="C21" s="30">
        <v>3</v>
      </c>
      <c r="D21" s="100"/>
      <c r="E21" s="30" t="s">
        <v>45</v>
      </c>
      <c r="F21" s="11">
        <f>IF(Chosen_Scenario="Mitigation Impact Only",VLOOKUP($B21,'[1]Coverage Review Updated'!$B$5:$T$78,18,FALSE),VLOOKUP($B21,'[1]Coverage Review Updated'!$B$5:$T$78,19,FALSE))</f>
        <v>0</v>
      </c>
      <c r="G21" s="11">
        <f>VLOOKUP($B21,'[1]7. Number of HW Contacts'!$B$4:$I$84,6,FALSE)</f>
        <v>2</v>
      </c>
      <c r="H21" s="12">
        <f>G21*(1-HLOOKUP($B21,'[1]3. Mitigation Impact on Coverag'!$BY$5:$EQ$7,3,FALSE))</f>
        <v>2</v>
      </c>
      <c r="I21" s="48">
        <f>HLOOKUP(B21,'[1]3. Mitigation Impact on Coverag'!ES$5:HK$7,3,FALSE)</f>
        <v>0.89</v>
      </c>
      <c r="J21" s="49" t="e">
        <f t="shared" ca="1" si="16"/>
        <v>#NAME?</v>
      </c>
      <c r="K21" s="49" t="e">
        <f t="shared" ca="1" si="34"/>
        <v>#NAME?</v>
      </c>
      <c r="L21" s="11" t="e">
        <f t="shared" ca="1" si="17"/>
        <v>#NAME?</v>
      </c>
      <c r="M21" s="12" t="e">
        <f t="shared" ca="1" si="18"/>
        <v>#NAME?</v>
      </c>
      <c r="N21" s="51" t="e">
        <f t="shared" ca="1" si="35"/>
        <v>#NAME?</v>
      </c>
      <c r="O21" s="49" t="e">
        <f t="shared" ca="1" si="19"/>
        <v>#NAME?</v>
      </c>
      <c r="P21" s="11" t="e">
        <f t="shared" ca="1" si="20"/>
        <v>#NAME?</v>
      </c>
      <c r="Q21" s="12" t="e">
        <f t="shared" ca="1" si="21"/>
        <v>#NAME?</v>
      </c>
      <c r="R21" s="51" t="e">
        <f t="shared" ca="1" si="22"/>
        <v>#NAME?</v>
      </c>
      <c r="S21" s="49" t="e">
        <f t="shared" ca="1" si="23"/>
        <v>#NAME?</v>
      </c>
      <c r="T21" s="11" t="e">
        <f t="shared" ca="1" si="24"/>
        <v>#NAME?</v>
      </c>
      <c r="U21" s="12" t="e">
        <f t="shared" ca="1" si="25"/>
        <v>#NAME?</v>
      </c>
      <c r="V21" s="51" t="e">
        <f t="shared" ca="1" si="26"/>
        <v>#NAME?</v>
      </c>
      <c r="W21" s="49" t="e">
        <f t="shared" ca="1" si="27"/>
        <v>#NAME?</v>
      </c>
      <c r="X21" s="11" t="e">
        <f t="shared" ca="1" si="28"/>
        <v>#NAME?</v>
      </c>
      <c r="Y21" s="12" t="e">
        <f t="shared" ca="1" si="29"/>
        <v>#NAME?</v>
      </c>
      <c r="Z21" s="51">
        <f t="shared" si="30"/>
        <v>2.7153574049004758E-3</v>
      </c>
      <c r="AA21" s="49">
        <f t="shared" si="31"/>
        <v>2.081774010423699E-3</v>
      </c>
      <c r="AB21" s="11">
        <f t="shared" si="32"/>
        <v>0</v>
      </c>
      <c r="AC21" s="12">
        <f t="shared" si="33"/>
        <v>0</v>
      </c>
      <c r="AD21" s="60"/>
    </row>
    <row r="22" spans="1:30">
      <c r="A22" s="27" t="str">
        <f>IF(VLOOKUP(B22,'[1]1. Select Services'!$A$6:$E$77,5,FALSE)="x","x","")</f>
        <v/>
      </c>
      <c r="B22" s="28">
        <v>8</v>
      </c>
      <c r="C22" s="30">
        <v>8</v>
      </c>
      <c r="D22" s="100"/>
      <c r="E22" s="30" t="s">
        <v>46</v>
      </c>
      <c r="F22" s="11">
        <f>IF(Chosen_Scenario="Mitigation Impact Only",VLOOKUP($B22,'[1]Coverage Review Updated'!$B$5:$T$78,18,FALSE),VLOOKUP($B22,'[1]Coverage Review Updated'!$B$5:$T$78,19,FALSE))</f>
        <v>46100</v>
      </c>
      <c r="G22" s="11">
        <f>VLOOKUP($B22,'[1]7. Number of HW Contacts'!$B$4:$I$84,6,FALSE)</f>
        <v>0</v>
      </c>
      <c r="H22" s="12">
        <f>G22*(1-HLOOKUP($B22,'[1]3. Mitigation Impact on Coverag'!$BY$5:$EQ$7,3,FALSE))</f>
        <v>0</v>
      </c>
      <c r="I22" s="48">
        <f>HLOOKUP(B22,'[1]3. Mitigation Impact on Coverag'!ES$5:HK$7,3,FALSE)</f>
        <v>0.89</v>
      </c>
      <c r="J22" s="49" t="e">
        <f t="shared" ca="1" si="16"/>
        <v>#NAME?</v>
      </c>
      <c r="K22" s="49" t="e">
        <f t="shared" ca="1" si="34"/>
        <v>#NAME?</v>
      </c>
      <c r="L22" s="11" t="e">
        <f t="shared" ca="1" si="17"/>
        <v>#NAME?</v>
      </c>
      <c r="M22" s="12" t="e">
        <f t="shared" ca="1" si="18"/>
        <v>#NAME?</v>
      </c>
      <c r="N22" s="51" t="e">
        <f t="shared" ca="1" si="35"/>
        <v>#NAME?</v>
      </c>
      <c r="O22" s="49" t="e">
        <f t="shared" ca="1" si="19"/>
        <v>#NAME?</v>
      </c>
      <c r="P22" s="11" t="e">
        <f t="shared" ca="1" si="20"/>
        <v>#NAME?</v>
      </c>
      <c r="Q22" s="12" t="e">
        <f t="shared" ca="1" si="21"/>
        <v>#NAME?</v>
      </c>
      <c r="R22" s="51" t="e">
        <f t="shared" ca="1" si="22"/>
        <v>#NAME?</v>
      </c>
      <c r="S22" s="49" t="e">
        <f t="shared" ca="1" si="23"/>
        <v>#NAME?</v>
      </c>
      <c r="T22" s="11" t="e">
        <f t="shared" ca="1" si="24"/>
        <v>#NAME?</v>
      </c>
      <c r="U22" s="12" t="e">
        <f t="shared" ca="1" si="25"/>
        <v>#NAME?</v>
      </c>
      <c r="V22" s="51" t="e">
        <f t="shared" ca="1" si="26"/>
        <v>#NAME?</v>
      </c>
      <c r="W22" s="49" t="e">
        <f t="shared" ca="1" si="27"/>
        <v>#NAME?</v>
      </c>
      <c r="X22" s="11" t="e">
        <f t="shared" ca="1" si="28"/>
        <v>#NAME?</v>
      </c>
      <c r="Y22" s="12" t="e">
        <f t="shared" ca="1" si="29"/>
        <v>#NAME?</v>
      </c>
      <c r="Z22" s="51">
        <f t="shared" si="30"/>
        <v>0</v>
      </c>
      <c r="AA22" s="49">
        <f t="shared" si="31"/>
        <v>0</v>
      </c>
      <c r="AB22" s="11">
        <f t="shared" si="32"/>
        <v>0</v>
      </c>
      <c r="AC22" s="12">
        <f t="shared" si="33"/>
        <v>0</v>
      </c>
      <c r="AD22" s="60"/>
    </row>
    <row r="23" spans="1:30">
      <c r="A23" s="27" t="s">
        <v>47</v>
      </c>
      <c r="B23" s="31">
        <v>9</v>
      </c>
      <c r="C23" s="31">
        <v>14</v>
      </c>
      <c r="D23" s="101" t="s">
        <v>28</v>
      </c>
      <c r="E23" s="31" t="s">
        <v>48</v>
      </c>
      <c r="F23" s="11">
        <f>IF(Chosen_Scenario="Mitigation Impact Only",VLOOKUP($B23,'[1]Coverage Review Updated'!$B$5:$T$78,18,FALSE),VLOOKUP($B23,'[1]Coverage Review Updated'!$B$5:$T$78,19,FALSE))</f>
        <v>197100</v>
      </c>
      <c r="G23" s="11">
        <v>1</v>
      </c>
      <c r="H23" s="12">
        <v>1</v>
      </c>
      <c r="I23" s="48">
        <f>HLOOKUP(B23,'[1]3. Mitigation Impact on Coverag'!ES$5:HK$7,3,FALSE)</f>
        <v>0.87</v>
      </c>
      <c r="J23" s="49" t="e">
        <f t="shared" ca="1" si="16"/>
        <v>#NAME?</v>
      </c>
      <c r="K23" s="49" t="e">
        <f t="shared" ca="1" si="34"/>
        <v>#NAME?</v>
      </c>
      <c r="L23" s="11" t="e">
        <f t="shared" ca="1" si="17"/>
        <v>#NAME?</v>
      </c>
      <c r="M23" s="12" t="e">
        <f t="shared" ca="1" si="18"/>
        <v>#NAME?</v>
      </c>
      <c r="N23" s="51" t="e">
        <f t="shared" ca="1" si="35"/>
        <v>#NAME?</v>
      </c>
      <c r="O23" s="49" t="e">
        <f t="shared" ca="1" si="19"/>
        <v>#NAME?</v>
      </c>
      <c r="P23" s="11" t="e">
        <f t="shared" ca="1" si="20"/>
        <v>#NAME?</v>
      </c>
      <c r="Q23" s="12" t="e">
        <f t="shared" ca="1" si="21"/>
        <v>#NAME?</v>
      </c>
      <c r="R23" s="51" t="e">
        <f t="shared" ca="1" si="22"/>
        <v>#NAME?</v>
      </c>
      <c r="S23" s="49" t="e">
        <f t="shared" ca="1" si="23"/>
        <v>#NAME?</v>
      </c>
      <c r="T23" s="11" t="e">
        <f t="shared" ca="1" si="24"/>
        <v>#NAME?</v>
      </c>
      <c r="U23" s="12" t="e">
        <f t="shared" ca="1" si="25"/>
        <v>#NAME?</v>
      </c>
      <c r="V23" s="51" t="e">
        <f t="shared" ca="1" si="26"/>
        <v>#NAME?</v>
      </c>
      <c r="W23" s="49" t="e">
        <f t="shared" ca="1" si="27"/>
        <v>#NAME?</v>
      </c>
      <c r="X23" s="11" t="e">
        <f t="shared" ca="1" si="28"/>
        <v>#NAME?</v>
      </c>
      <c r="Y23" s="12" t="e">
        <f t="shared" ca="1" si="29"/>
        <v>#NAME?</v>
      </c>
      <c r="Z23" s="51">
        <f t="shared" si="30"/>
        <v>1.366023315348297E-3</v>
      </c>
      <c r="AA23" s="49">
        <f t="shared" si="31"/>
        <v>1.0472845417670283E-3</v>
      </c>
      <c r="AB23" s="11">
        <f t="shared" si="32"/>
        <v>1170.4001706435347</v>
      </c>
      <c r="AC23" s="12">
        <f t="shared" si="33"/>
        <v>2.2800157013135998</v>
      </c>
      <c r="AD23" s="60"/>
    </row>
    <row r="24" spans="1:30">
      <c r="A24" s="27" t="s">
        <v>47</v>
      </c>
      <c r="B24" s="31">
        <v>10</v>
      </c>
      <c r="C24" s="31">
        <v>15</v>
      </c>
      <c r="D24" s="102"/>
      <c r="E24" s="31" t="s">
        <v>49</v>
      </c>
      <c r="F24" s="11">
        <f>IF(Chosen_Scenario="Mitigation Impact Only",VLOOKUP($B24,'[1]Coverage Review Updated'!$B$5:$T$78,18,FALSE),VLOOKUP($B24,'[1]Coverage Review Updated'!$B$5:$T$78,19,FALSE))</f>
        <v>152700</v>
      </c>
      <c r="G24" s="11">
        <v>6</v>
      </c>
      <c r="H24" s="12">
        <f>G24*(1-HLOOKUP($B24,'[1]3. Mitigation Impact on Coverag'!$BY$5:$EQ$7,3,FALSE))</f>
        <v>5.6999999999999993</v>
      </c>
      <c r="I24" s="48">
        <f>HLOOKUP(B24,'[1]3. Mitigation Impact on Coverag'!ES$5:HK$7,3,FALSE)</f>
        <v>0.87</v>
      </c>
      <c r="J24" s="49" t="e">
        <f t="shared" ca="1" si="16"/>
        <v>#NAME?</v>
      </c>
      <c r="K24" s="49" t="e">
        <f t="shared" ca="1" si="34"/>
        <v>#NAME?</v>
      </c>
      <c r="L24" s="11" t="e">
        <f t="shared" ca="1" si="17"/>
        <v>#NAME?</v>
      </c>
      <c r="M24" s="12" t="e">
        <f t="shared" ca="1" si="18"/>
        <v>#NAME?</v>
      </c>
      <c r="N24" s="51" t="e">
        <f t="shared" ca="1" si="35"/>
        <v>#NAME?</v>
      </c>
      <c r="O24" s="49" t="e">
        <f t="shared" ca="1" si="19"/>
        <v>#NAME?</v>
      </c>
      <c r="P24" s="11" t="e">
        <f t="shared" ca="1" si="20"/>
        <v>#NAME?</v>
      </c>
      <c r="Q24" s="12" t="e">
        <f t="shared" ca="1" si="21"/>
        <v>#NAME?</v>
      </c>
      <c r="R24" s="51" t="e">
        <f t="shared" ca="1" si="22"/>
        <v>#NAME?</v>
      </c>
      <c r="S24" s="49" t="e">
        <f t="shared" ca="1" si="23"/>
        <v>#NAME?</v>
      </c>
      <c r="T24" s="11" t="e">
        <f t="shared" ca="1" si="24"/>
        <v>#NAME?</v>
      </c>
      <c r="U24" s="12" t="e">
        <f t="shared" ca="1" si="25"/>
        <v>#NAME?</v>
      </c>
      <c r="V24" s="51" t="e">
        <f t="shared" ca="1" si="26"/>
        <v>#NAME?</v>
      </c>
      <c r="W24" s="49" t="e">
        <f t="shared" ca="1" si="27"/>
        <v>#NAME?</v>
      </c>
      <c r="X24" s="11" t="e">
        <f t="shared" ca="1" si="28"/>
        <v>#NAME?</v>
      </c>
      <c r="Y24" s="12" t="e">
        <f t="shared" ca="1" si="29"/>
        <v>#NAME?</v>
      </c>
      <c r="Z24" s="51">
        <f t="shared" si="30"/>
        <v>7.7613796360094245E-3</v>
      </c>
      <c r="AA24" s="49">
        <f t="shared" si="31"/>
        <v>5.9503910542738955E-3</v>
      </c>
      <c r="AB24" s="11">
        <f t="shared" si="32"/>
        <v>5151.9021283098273</v>
      </c>
      <c r="AC24" s="12">
        <f t="shared" si="33"/>
        <v>10.036240628467004</v>
      </c>
      <c r="AD24" s="60"/>
    </row>
    <row r="25" spans="1:30">
      <c r="A25" s="27" t="str">
        <f>IF(VLOOKUP(B25,'[1]1. Select Services'!$A$6:$E$77,5,FALSE)="x","x","")</f>
        <v>x</v>
      </c>
      <c r="B25" s="31">
        <v>11</v>
      </c>
      <c r="C25" s="31">
        <v>16</v>
      </c>
      <c r="D25" s="102"/>
      <c r="E25" s="31" t="s">
        <v>50</v>
      </c>
      <c r="F25" s="11">
        <f>IF(Chosen_Scenario="Mitigation Impact Only",VLOOKUP($B25,'[1]Coverage Review Updated'!$B$5:$T$78,18,FALSE),VLOOKUP($B25,'[1]Coverage Review Updated'!$B$5:$T$78,19,FALSE))</f>
        <v>168600</v>
      </c>
      <c r="G25" s="11">
        <f>VLOOKUP($B25,'[1]7. Number of HW Contacts'!$B$4:$I$84,6,FALSE)</f>
        <v>2</v>
      </c>
      <c r="H25" s="12">
        <f>G25*(1-HLOOKUP($B25,'[1]3. Mitigation Impact on Coverag'!$BY$5:$EQ$7,3,FALSE))</f>
        <v>1.9</v>
      </c>
      <c r="I25" s="48">
        <f>HLOOKUP(B25,'[1]3. Mitigation Impact on Coverag'!ES$5:HK$7,3,FALSE)</f>
        <v>0.87</v>
      </c>
      <c r="J25" s="49" t="e">
        <f t="shared" ca="1" si="16"/>
        <v>#NAME?</v>
      </c>
      <c r="K25" s="49" t="e">
        <f t="shared" ca="1" si="34"/>
        <v>#NAME?</v>
      </c>
      <c r="L25" s="11" t="e">
        <f t="shared" ca="1" si="17"/>
        <v>#NAME?</v>
      </c>
      <c r="M25" s="12" t="e">
        <f t="shared" ca="1" si="18"/>
        <v>#NAME?</v>
      </c>
      <c r="N25" s="51" t="e">
        <f t="shared" ca="1" si="35"/>
        <v>#NAME?</v>
      </c>
      <c r="O25" s="49" t="e">
        <f t="shared" ca="1" si="19"/>
        <v>#NAME?</v>
      </c>
      <c r="P25" s="11" t="e">
        <f t="shared" ca="1" si="20"/>
        <v>#NAME?</v>
      </c>
      <c r="Q25" s="12" t="e">
        <f t="shared" ca="1" si="21"/>
        <v>#NAME?</v>
      </c>
      <c r="R25" s="51" t="e">
        <f t="shared" ca="1" si="22"/>
        <v>#NAME?</v>
      </c>
      <c r="S25" s="49" t="e">
        <f t="shared" ca="1" si="23"/>
        <v>#NAME?</v>
      </c>
      <c r="T25" s="11" t="e">
        <f t="shared" ca="1" si="24"/>
        <v>#NAME?</v>
      </c>
      <c r="U25" s="12" t="e">
        <f t="shared" ca="1" si="25"/>
        <v>#NAME?</v>
      </c>
      <c r="V25" s="51" t="e">
        <f t="shared" ca="1" si="26"/>
        <v>#NAME?</v>
      </c>
      <c r="W25" s="49" t="e">
        <f t="shared" ca="1" si="27"/>
        <v>#NAME?</v>
      </c>
      <c r="X25" s="11" t="e">
        <f t="shared" ca="1" si="28"/>
        <v>#NAME?</v>
      </c>
      <c r="Y25" s="12" t="e">
        <f t="shared" ca="1" si="29"/>
        <v>#NAME?</v>
      </c>
      <c r="Z25" s="51">
        <f t="shared" si="30"/>
        <v>2.5938487796454135E-3</v>
      </c>
      <c r="AA25" s="49">
        <f t="shared" si="31"/>
        <v>1.9886173977281514E-3</v>
      </c>
      <c r="AB25" s="11">
        <f t="shared" si="32"/>
        <v>1901.042664766999</v>
      </c>
      <c r="AC25" s="12">
        <f t="shared" si="33"/>
        <v>3.7033548296157259</v>
      </c>
      <c r="AD25" s="60"/>
    </row>
    <row r="26" spans="1:30">
      <c r="A26" s="27" t="str">
        <f>IF(VLOOKUP(B26,'[1]1. Select Services'!$A$6:$E$77,5,FALSE)="x","x","")</f>
        <v>x</v>
      </c>
      <c r="B26" s="31">
        <v>12</v>
      </c>
      <c r="C26" s="31">
        <v>17</v>
      </c>
      <c r="D26" s="102"/>
      <c r="E26" s="31" t="s">
        <v>51</v>
      </c>
      <c r="F26" s="11">
        <f>IF(Chosen_Scenario="Mitigation Impact Only",VLOOKUP($B26,'[1]Coverage Review Updated'!$B$5:$T$78,18,FALSE),VLOOKUP($B26,'[1]Coverage Review Updated'!$B$5:$T$78,19,FALSE))</f>
        <v>0</v>
      </c>
      <c r="G26" s="11">
        <f>VLOOKUP($B26,'[1]7. Number of HW Contacts'!$B$4:$I$84,6,FALSE)</f>
        <v>3</v>
      </c>
      <c r="H26" s="12">
        <f>G26*(1-HLOOKUP($B26,'[1]3. Mitigation Impact on Coverag'!$BY$5:$EQ$7,3,FALSE))</f>
        <v>2.8499999999999996</v>
      </c>
      <c r="I26" s="48">
        <f>HLOOKUP(B26,'[1]3. Mitigation Impact on Coverag'!ES$5:HK$7,3,FALSE)</f>
        <v>0.87</v>
      </c>
      <c r="J26" s="49" t="e">
        <f t="shared" ca="1" si="16"/>
        <v>#NAME?</v>
      </c>
      <c r="K26" s="49" t="e">
        <f t="shared" ca="1" si="34"/>
        <v>#NAME?</v>
      </c>
      <c r="L26" s="11" t="e">
        <f t="shared" ca="1" si="17"/>
        <v>#NAME?</v>
      </c>
      <c r="M26" s="12" t="e">
        <f t="shared" ca="1" si="18"/>
        <v>#NAME?</v>
      </c>
      <c r="N26" s="51" t="e">
        <f t="shared" ca="1" si="35"/>
        <v>#NAME?</v>
      </c>
      <c r="O26" s="49" t="e">
        <f t="shared" ca="1" si="19"/>
        <v>#NAME?</v>
      </c>
      <c r="P26" s="11" t="e">
        <f t="shared" ca="1" si="20"/>
        <v>#NAME?</v>
      </c>
      <c r="Q26" s="12" t="e">
        <f t="shared" ca="1" si="21"/>
        <v>#NAME?</v>
      </c>
      <c r="R26" s="51" t="e">
        <f t="shared" ca="1" si="22"/>
        <v>#NAME?</v>
      </c>
      <c r="S26" s="49" t="e">
        <f t="shared" ca="1" si="23"/>
        <v>#NAME?</v>
      </c>
      <c r="T26" s="11" t="e">
        <f t="shared" ca="1" si="24"/>
        <v>#NAME?</v>
      </c>
      <c r="U26" s="12" t="e">
        <f t="shared" ca="1" si="25"/>
        <v>#NAME?</v>
      </c>
      <c r="V26" s="51" t="e">
        <f t="shared" ca="1" si="26"/>
        <v>#NAME?</v>
      </c>
      <c r="W26" s="49" t="e">
        <f t="shared" ca="1" si="27"/>
        <v>#NAME?</v>
      </c>
      <c r="X26" s="11" t="e">
        <f t="shared" ca="1" si="28"/>
        <v>#NAME?</v>
      </c>
      <c r="Y26" s="12" t="e">
        <f t="shared" ca="1" si="29"/>
        <v>#NAME?</v>
      </c>
      <c r="Z26" s="51">
        <f t="shared" si="30"/>
        <v>3.8882490583747042E-3</v>
      </c>
      <c r="AA26" s="49">
        <f t="shared" si="31"/>
        <v>2.9809909447539415E-3</v>
      </c>
      <c r="AB26" s="11">
        <f t="shared" si="32"/>
        <v>0</v>
      </c>
      <c r="AC26" s="12">
        <f t="shared" si="33"/>
        <v>0</v>
      </c>
      <c r="AD26" s="60"/>
    </row>
    <row r="27" spans="1:30">
      <c r="A27" s="27" t="str">
        <f>IF(VLOOKUP(B27,'[1]1. Select Services'!$A$6:$E$77,5,FALSE)="x","x","")</f>
        <v>x</v>
      </c>
      <c r="B27" s="31">
        <v>13</v>
      </c>
      <c r="C27" s="31">
        <v>18</v>
      </c>
      <c r="D27" s="102"/>
      <c r="E27" s="31" t="s">
        <v>52</v>
      </c>
      <c r="F27" s="11">
        <f>IF(Chosen_Scenario="Mitigation Impact Only",VLOOKUP($B27,'[1]Coverage Review Updated'!$B$5:$T$78,18,FALSE),VLOOKUP($B27,'[1]Coverage Review Updated'!$B$5:$T$78,19,FALSE))</f>
        <v>48800</v>
      </c>
      <c r="G27" s="11">
        <f>VLOOKUP($B27,'[1]7. Number of HW Contacts'!$B$4:$I$84,6,FALSE)</f>
        <v>2</v>
      </c>
      <c r="H27" s="12">
        <f>G27*(1-HLOOKUP($B27,'[1]3. Mitigation Impact on Coverag'!$BY$5:$EQ$7,3,FALSE))</f>
        <v>1.9</v>
      </c>
      <c r="I27" s="48">
        <f>HLOOKUP(B27,'[1]3. Mitigation Impact on Coverag'!ES$5:HK$7,3,FALSE)</f>
        <v>0.87</v>
      </c>
      <c r="J27" s="49" t="e">
        <f t="shared" ca="1" si="16"/>
        <v>#NAME?</v>
      </c>
      <c r="K27" s="49" t="e">
        <f t="shared" ca="1" si="34"/>
        <v>#NAME?</v>
      </c>
      <c r="L27" s="11" t="e">
        <f t="shared" ca="1" si="17"/>
        <v>#NAME?</v>
      </c>
      <c r="M27" s="12" t="e">
        <f t="shared" ca="1" si="18"/>
        <v>#NAME?</v>
      </c>
      <c r="N27" s="51" t="e">
        <f t="shared" ca="1" si="35"/>
        <v>#NAME?</v>
      </c>
      <c r="O27" s="49" t="e">
        <f t="shared" ca="1" si="19"/>
        <v>#NAME?</v>
      </c>
      <c r="P27" s="11" t="e">
        <f t="shared" ca="1" si="20"/>
        <v>#NAME?</v>
      </c>
      <c r="Q27" s="12" t="e">
        <f t="shared" ca="1" si="21"/>
        <v>#NAME?</v>
      </c>
      <c r="R27" s="51" t="e">
        <f t="shared" ca="1" si="22"/>
        <v>#NAME?</v>
      </c>
      <c r="S27" s="49" t="e">
        <f t="shared" ca="1" si="23"/>
        <v>#NAME?</v>
      </c>
      <c r="T27" s="11" t="e">
        <f t="shared" ca="1" si="24"/>
        <v>#NAME?</v>
      </c>
      <c r="U27" s="12" t="e">
        <f t="shared" ca="1" si="25"/>
        <v>#NAME?</v>
      </c>
      <c r="V27" s="51" t="e">
        <f t="shared" ca="1" si="26"/>
        <v>#NAME?</v>
      </c>
      <c r="W27" s="49" t="e">
        <f t="shared" ca="1" si="27"/>
        <v>#NAME?</v>
      </c>
      <c r="X27" s="11" t="e">
        <f t="shared" ca="1" si="28"/>
        <v>#NAME?</v>
      </c>
      <c r="Y27" s="12" t="e">
        <f t="shared" ca="1" si="29"/>
        <v>#NAME?</v>
      </c>
      <c r="Z27" s="51">
        <f t="shared" si="30"/>
        <v>2.5938487796454135E-3</v>
      </c>
      <c r="AA27" s="49">
        <f t="shared" si="31"/>
        <v>1.9886173977281514E-3</v>
      </c>
      <c r="AB27" s="11">
        <f t="shared" si="32"/>
        <v>550.24247948178868</v>
      </c>
      <c r="AC27" s="12">
        <f t="shared" si="33"/>
        <v>1.0719081594617286</v>
      </c>
      <c r="AD27" s="60"/>
    </row>
    <row r="28" spans="1:30">
      <c r="A28" s="27" t="str">
        <f>IF(VLOOKUP(B28,'[1]1. Select Services'!$A$6:$E$77,5,FALSE)="x","x","")</f>
        <v/>
      </c>
      <c r="B28" s="31">
        <v>14</v>
      </c>
      <c r="C28" s="31">
        <v>19</v>
      </c>
      <c r="D28" s="102"/>
      <c r="E28" s="31" t="s">
        <v>53</v>
      </c>
      <c r="F28" s="11">
        <f>IF(Chosen_Scenario="Mitigation Impact Only",VLOOKUP($B28,'[1]Coverage Review Updated'!$B$5:$T$78,18,FALSE),VLOOKUP($B28,'[1]Coverage Review Updated'!$B$5:$T$78,19,FALSE))</f>
        <v>0</v>
      </c>
      <c r="G28" s="11">
        <f>VLOOKUP($B28,'[1]7. Number of HW Contacts'!$B$4:$I$84,6,FALSE)</f>
        <v>4</v>
      </c>
      <c r="H28" s="12">
        <f>G28*(1-HLOOKUP($B28,'[1]3. Mitigation Impact on Coverag'!$BY$5:$EQ$7,3,FALSE))</f>
        <v>3.8</v>
      </c>
      <c r="I28" s="48">
        <f>HLOOKUP(B28,'[1]3. Mitigation Impact on Coverag'!ES$5:HK$7,3,FALSE)</f>
        <v>0.87</v>
      </c>
      <c r="J28" s="49" t="e">
        <f t="shared" ca="1" si="16"/>
        <v>#NAME?</v>
      </c>
      <c r="K28" s="49" t="e">
        <f t="shared" ca="1" si="34"/>
        <v>#NAME?</v>
      </c>
      <c r="L28" s="11" t="e">
        <f t="shared" ca="1" si="17"/>
        <v>#NAME?</v>
      </c>
      <c r="M28" s="12" t="e">
        <f t="shared" ca="1" si="18"/>
        <v>#NAME?</v>
      </c>
      <c r="N28" s="51" t="e">
        <f t="shared" ca="1" si="35"/>
        <v>#NAME?</v>
      </c>
      <c r="O28" s="49" t="e">
        <f t="shared" ca="1" si="19"/>
        <v>#NAME?</v>
      </c>
      <c r="P28" s="11" t="e">
        <f t="shared" ca="1" si="20"/>
        <v>#NAME?</v>
      </c>
      <c r="Q28" s="12" t="e">
        <f t="shared" ca="1" si="21"/>
        <v>#NAME?</v>
      </c>
      <c r="R28" s="51" t="e">
        <f t="shared" ca="1" si="22"/>
        <v>#NAME?</v>
      </c>
      <c r="S28" s="49" t="e">
        <f t="shared" ca="1" si="23"/>
        <v>#NAME?</v>
      </c>
      <c r="T28" s="11" t="e">
        <f t="shared" ca="1" si="24"/>
        <v>#NAME?</v>
      </c>
      <c r="U28" s="12" t="e">
        <f t="shared" ca="1" si="25"/>
        <v>#NAME?</v>
      </c>
      <c r="V28" s="51" t="e">
        <f t="shared" ca="1" si="26"/>
        <v>#NAME?</v>
      </c>
      <c r="W28" s="49" t="e">
        <f t="shared" ca="1" si="27"/>
        <v>#NAME?</v>
      </c>
      <c r="X28" s="11" t="e">
        <f t="shared" ca="1" si="28"/>
        <v>#NAME?</v>
      </c>
      <c r="Y28" s="12" t="e">
        <f t="shared" ca="1" si="29"/>
        <v>#NAME?</v>
      </c>
      <c r="Z28" s="51">
        <f t="shared" si="30"/>
        <v>5.1809695077992268E-3</v>
      </c>
      <c r="AA28" s="49">
        <f t="shared" si="31"/>
        <v>3.9720766226460759E-3</v>
      </c>
      <c r="AB28" s="11">
        <f t="shared" si="32"/>
        <v>0</v>
      </c>
      <c r="AC28" s="12">
        <f t="shared" si="33"/>
        <v>0</v>
      </c>
      <c r="AD28" s="60"/>
    </row>
    <row r="29" spans="1:30">
      <c r="A29" s="27" t="str">
        <f>IF(VLOOKUP(B29,'[1]1. Select Services'!$A$6:$E$77,5,FALSE)="x","x","")</f>
        <v>x</v>
      </c>
      <c r="B29" s="31">
        <v>15</v>
      </c>
      <c r="C29" s="31">
        <v>20</v>
      </c>
      <c r="D29" s="102"/>
      <c r="E29" s="31" t="s">
        <v>54</v>
      </c>
      <c r="F29" s="11">
        <f>IF(Chosen_Scenario="Mitigation Impact Only",VLOOKUP($B29,'[1]Coverage Review Updated'!$B$5:$T$78,18,FALSE),VLOOKUP($B29,'[1]Coverage Review Updated'!$B$5:$T$78,19,FALSE))</f>
        <v>0</v>
      </c>
      <c r="G29" s="11">
        <f>VLOOKUP($B29,'[1]7. Number of HW Contacts'!$B$4:$I$84,6,FALSE)</f>
        <v>4</v>
      </c>
      <c r="H29" s="12">
        <f>G29*(1-HLOOKUP($B29,'[1]3. Mitigation Impact on Coverag'!$BY$5:$EQ$7,3,FALSE))</f>
        <v>3.8</v>
      </c>
      <c r="I29" s="48">
        <f>HLOOKUP(B29,'[1]3. Mitigation Impact on Coverag'!ES$5:HK$7,3,FALSE)</f>
        <v>0.87</v>
      </c>
      <c r="J29" s="49" t="e">
        <f t="shared" ca="1" si="16"/>
        <v>#NAME?</v>
      </c>
      <c r="K29" s="49" t="e">
        <f t="shared" ca="1" si="34"/>
        <v>#NAME?</v>
      </c>
      <c r="L29" s="11" t="e">
        <f t="shared" ca="1" si="17"/>
        <v>#NAME?</v>
      </c>
      <c r="M29" s="12" t="e">
        <f t="shared" ca="1" si="18"/>
        <v>#NAME?</v>
      </c>
      <c r="N29" s="51" t="e">
        <f t="shared" ca="1" si="35"/>
        <v>#NAME?</v>
      </c>
      <c r="O29" s="49" t="e">
        <f t="shared" ca="1" si="19"/>
        <v>#NAME?</v>
      </c>
      <c r="P29" s="11" t="e">
        <f t="shared" ca="1" si="20"/>
        <v>#NAME?</v>
      </c>
      <c r="Q29" s="12" t="e">
        <f t="shared" ca="1" si="21"/>
        <v>#NAME?</v>
      </c>
      <c r="R29" s="51" t="e">
        <f t="shared" ca="1" si="22"/>
        <v>#NAME?</v>
      </c>
      <c r="S29" s="49" t="e">
        <f t="shared" ca="1" si="23"/>
        <v>#NAME?</v>
      </c>
      <c r="T29" s="11" t="e">
        <f t="shared" ca="1" si="24"/>
        <v>#NAME?</v>
      </c>
      <c r="U29" s="12" t="e">
        <f t="shared" ca="1" si="25"/>
        <v>#NAME?</v>
      </c>
      <c r="V29" s="51" t="e">
        <f t="shared" ca="1" si="26"/>
        <v>#NAME?</v>
      </c>
      <c r="W29" s="49" t="e">
        <f t="shared" ca="1" si="27"/>
        <v>#NAME?</v>
      </c>
      <c r="X29" s="11" t="e">
        <f t="shared" ca="1" si="28"/>
        <v>#NAME?</v>
      </c>
      <c r="Y29" s="12" t="e">
        <f t="shared" ca="1" si="29"/>
        <v>#NAME?</v>
      </c>
      <c r="Z29" s="51">
        <f t="shared" si="30"/>
        <v>5.1809695077992268E-3</v>
      </c>
      <c r="AA29" s="49">
        <f t="shared" si="31"/>
        <v>3.9720766226460759E-3</v>
      </c>
      <c r="AB29" s="11">
        <f t="shared" si="32"/>
        <v>0</v>
      </c>
      <c r="AC29" s="12">
        <f t="shared" si="33"/>
        <v>0</v>
      </c>
      <c r="AD29" s="60"/>
    </row>
    <row r="30" spans="1:30">
      <c r="A30" s="27" t="str">
        <f>IF(VLOOKUP(B30,'[1]1. Select Services'!$A$6:$E$77,5,FALSE)="x","x","")</f>
        <v>x</v>
      </c>
      <c r="B30" s="31">
        <v>16</v>
      </c>
      <c r="C30" s="31">
        <v>21</v>
      </c>
      <c r="D30" s="102"/>
      <c r="E30" s="31" t="s">
        <v>55</v>
      </c>
      <c r="F30" s="11">
        <f>IF(Chosen_Scenario="Mitigation Impact Only",VLOOKUP($B30,'[1]Coverage Review Updated'!$B$5:$T$78,18,FALSE),VLOOKUP($B30,'[1]Coverage Review Updated'!$B$5:$T$78,19,FALSE))</f>
        <v>0</v>
      </c>
      <c r="G30" s="11">
        <f>VLOOKUP($B30,'[1]7. Number of HW Contacts'!$B$4:$I$84,6,FALSE)</f>
        <v>4</v>
      </c>
      <c r="H30" s="12">
        <f>G30*(1-HLOOKUP($B30,'[1]3. Mitigation Impact on Coverag'!$BY$5:$EQ$7,3,FALSE))</f>
        <v>4</v>
      </c>
      <c r="I30" s="48">
        <f>HLOOKUP(B30,'[1]3. Mitigation Impact on Coverag'!ES$5:HK$7,3,FALSE)</f>
        <v>0.87</v>
      </c>
      <c r="J30" s="49" t="e">
        <f t="shared" ca="1" si="16"/>
        <v>#NAME?</v>
      </c>
      <c r="K30" s="49" t="e">
        <f t="shared" ca="1" si="34"/>
        <v>#NAME?</v>
      </c>
      <c r="L30" s="11" t="e">
        <f t="shared" ca="1" si="17"/>
        <v>#NAME?</v>
      </c>
      <c r="M30" s="12" t="e">
        <f t="shared" ca="1" si="18"/>
        <v>#NAME?</v>
      </c>
      <c r="N30" s="51" t="e">
        <f t="shared" ca="1" si="35"/>
        <v>#NAME?</v>
      </c>
      <c r="O30" s="49" t="e">
        <f t="shared" ca="1" si="19"/>
        <v>#NAME?</v>
      </c>
      <c r="P30" s="11" t="e">
        <f t="shared" ca="1" si="20"/>
        <v>#NAME?</v>
      </c>
      <c r="Q30" s="12" t="e">
        <f t="shared" ca="1" si="21"/>
        <v>#NAME?</v>
      </c>
      <c r="R30" s="51" t="e">
        <f t="shared" ca="1" si="22"/>
        <v>#NAME?</v>
      </c>
      <c r="S30" s="49" t="e">
        <f t="shared" ca="1" si="23"/>
        <v>#NAME?</v>
      </c>
      <c r="T30" s="11" t="e">
        <f t="shared" ca="1" si="24"/>
        <v>#NAME?</v>
      </c>
      <c r="U30" s="12" t="e">
        <f t="shared" ca="1" si="25"/>
        <v>#NAME?</v>
      </c>
      <c r="V30" s="51" t="e">
        <f t="shared" ca="1" si="26"/>
        <v>#NAME?</v>
      </c>
      <c r="W30" s="49" t="e">
        <f t="shared" ca="1" si="27"/>
        <v>#NAME?</v>
      </c>
      <c r="X30" s="11" t="e">
        <f t="shared" ca="1" si="28"/>
        <v>#NAME?</v>
      </c>
      <c r="Y30" s="12" t="e">
        <f t="shared" ca="1" si="29"/>
        <v>#NAME?</v>
      </c>
      <c r="Z30" s="51">
        <f t="shared" si="30"/>
        <v>5.452907335828483E-3</v>
      </c>
      <c r="AA30" s="49">
        <f t="shared" si="31"/>
        <v>4.1805622908018389E-3</v>
      </c>
      <c r="AB30" s="11">
        <f t="shared" si="32"/>
        <v>0</v>
      </c>
      <c r="AC30" s="12">
        <f t="shared" si="33"/>
        <v>0</v>
      </c>
      <c r="AD30" s="60"/>
    </row>
    <row r="31" spans="1:30">
      <c r="A31" s="27" t="str">
        <f>IF(VLOOKUP(B31,'[1]1. Select Services'!$A$6:$E$77,5,FALSE)="x","x","")</f>
        <v>x</v>
      </c>
      <c r="B31" s="31">
        <v>17</v>
      </c>
      <c r="C31" s="31">
        <v>22</v>
      </c>
      <c r="D31" s="102"/>
      <c r="E31" s="31" t="s">
        <v>56</v>
      </c>
      <c r="F31" s="11">
        <f>IF(Chosen_Scenario="Mitigation Impact Only",VLOOKUP($B31,'[1]Coverage Review Updated'!$B$5:$T$78,18,FALSE),VLOOKUP($B31,'[1]Coverage Review Updated'!$B$5:$T$78,19,FALSE))</f>
        <v>0</v>
      </c>
      <c r="G31" s="11">
        <f>VLOOKUP($B31,'[1]7. Number of HW Contacts'!$B$4:$I$84,6,FALSE)</f>
        <v>4</v>
      </c>
      <c r="H31" s="12">
        <f>G31*(1-HLOOKUP($B31,'[1]3. Mitigation Impact on Coverag'!$BY$5:$EQ$7,3,FALSE))</f>
        <v>3.8</v>
      </c>
      <c r="I31" s="48">
        <f>HLOOKUP(B31,'[1]3. Mitigation Impact on Coverag'!ES$5:HK$7,3,FALSE)</f>
        <v>0.87</v>
      </c>
      <c r="J31" s="49" t="e">
        <f t="shared" ca="1" si="16"/>
        <v>#NAME?</v>
      </c>
      <c r="K31" s="49" t="e">
        <f t="shared" ca="1" si="34"/>
        <v>#NAME?</v>
      </c>
      <c r="L31" s="11" t="e">
        <f t="shared" ca="1" si="17"/>
        <v>#NAME?</v>
      </c>
      <c r="M31" s="12" t="e">
        <f t="shared" ca="1" si="18"/>
        <v>#NAME?</v>
      </c>
      <c r="N31" s="51" t="e">
        <f t="shared" ca="1" si="35"/>
        <v>#NAME?</v>
      </c>
      <c r="O31" s="49" t="e">
        <f t="shared" ca="1" si="19"/>
        <v>#NAME?</v>
      </c>
      <c r="P31" s="11" t="e">
        <f t="shared" ca="1" si="20"/>
        <v>#NAME?</v>
      </c>
      <c r="Q31" s="12" t="e">
        <f t="shared" ca="1" si="21"/>
        <v>#NAME?</v>
      </c>
      <c r="R31" s="51" t="e">
        <f t="shared" ca="1" si="22"/>
        <v>#NAME?</v>
      </c>
      <c r="S31" s="49" t="e">
        <f t="shared" ca="1" si="23"/>
        <v>#NAME?</v>
      </c>
      <c r="T31" s="11" t="e">
        <f t="shared" ca="1" si="24"/>
        <v>#NAME?</v>
      </c>
      <c r="U31" s="12" t="e">
        <f t="shared" ca="1" si="25"/>
        <v>#NAME?</v>
      </c>
      <c r="V31" s="51" t="e">
        <f t="shared" ca="1" si="26"/>
        <v>#NAME?</v>
      </c>
      <c r="W31" s="49" t="e">
        <f t="shared" ca="1" si="27"/>
        <v>#NAME?</v>
      </c>
      <c r="X31" s="11" t="e">
        <f t="shared" ca="1" si="28"/>
        <v>#NAME?</v>
      </c>
      <c r="Y31" s="12" t="e">
        <f t="shared" ca="1" si="29"/>
        <v>#NAME?</v>
      </c>
      <c r="Z31" s="51">
        <f t="shared" si="30"/>
        <v>5.1809695077992268E-3</v>
      </c>
      <c r="AA31" s="49">
        <f t="shared" si="31"/>
        <v>3.9720766226460759E-3</v>
      </c>
      <c r="AB31" s="11">
        <f t="shared" si="32"/>
        <v>0</v>
      </c>
      <c r="AC31" s="12">
        <f t="shared" si="33"/>
        <v>0</v>
      </c>
      <c r="AD31" s="60"/>
    </row>
    <row r="32" spans="1:30">
      <c r="A32" s="27" t="str">
        <f>IF(VLOOKUP(B32,'[1]1. Select Services'!$A$6:$E$77,5,FALSE)="x","x","")</f>
        <v>x</v>
      </c>
      <c r="B32" s="31">
        <v>18</v>
      </c>
      <c r="C32" s="31">
        <v>23</v>
      </c>
      <c r="D32" s="102"/>
      <c r="E32" s="31" t="s">
        <v>57</v>
      </c>
      <c r="F32" s="11">
        <f>IF(Chosen_Scenario="Mitigation Impact Only",VLOOKUP($B32,'[1]Coverage Review Updated'!$B$5:$T$78,18,FALSE),VLOOKUP($B32,'[1]Coverage Review Updated'!$B$5:$T$78,19,FALSE))</f>
        <v>1800</v>
      </c>
      <c r="G32" s="11">
        <f>VLOOKUP($B32,'[1]7. Number of HW Contacts'!$B$4:$I$84,6,FALSE)</f>
        <v>4</v>
      </c>
      <c r="H32" s="12">
        <f>G32*(1-HLOOKUP($B32,'[1]3. Mitigation Impact on Coverag'!$BY$5:$EQ$7,3,FALSE))</f>
        <v>3.8</v>
      </c>
      <c r="I32" s="48">
        <f>HLOOKUP(B32,'[1]3. Mitigation Impact on Coverag'!ES$5:HK$7,3,FALSE)</f>
        <v>0.87</v>
      </c>
      <c r="J32" s="49" t="e">
        <f t="shared" ca="1" si="16"/>
        <v>#NAME?</v>
      </c>
      <c r="K32" s="49" t="e">
        <f t="shared" ca="1" si="34"/>
        <v>#NAME?</v>
      </c>
      <c r="L32" s="11" t="e">
        <f t="shared" ca="1" si="17"/>
        <v>#NAME?</v>
      </c>
      <c r="M32" s="12" t="e">
        <f t="shared" ca="1" si="18"/>
        <v>#NAME?</v>
      </c>
      <c r="N32" s="51" t="e">
        <f t="shared" ca="1" si="35"/>
        <v>#NAME?</v>
      </c>
      <c r="O32" s="49" t="e">
        <f t="shared" ca="1" si="19"/>
        <v>#NAME?</v>
      </c>
      <c r="P32" s="11" t="e">
        <f t="shared" ca="1" si="20"/>
        <v>#NAME?</v>
      </c>
      <c r="Q32" s="12" t="e">
        <f t="shared" ca="1" si="21"/>
        <v>#NAME?</v>
      </c>
      <c r="R32" s="51" t="e">
        <f t="shared" ca="1" si="22"/>
        <v>#NAME?</v>
      </c>
      <c r="S32" s="49" t="e">
        <f t="shared" ca="1" si="23"/>
        <v>#NAME?</v>
      </c>
      <c r="T32" s="11" t="e">
        <f t="shared" ca="1" si="24"/>
        <v>#NAME?</v>
      </c>
      <c r="U32" s="12" t="e">
        <f t="shared" ca="1" si="25"/>
        <v>#NAME?</v>
      </c>
      <c r="V32" s="51" t="e">
        <f t="shared" ca="1" si="26"/>
        <v>#NAME?</v>
      </c>
      <c r="W32" s="49" t="e">
        <f t="shared" ca="1" si="27"/>
        <v>#NAME?</v>
      </c>
      <c r="X32" s="11" t="e">
        <f t="shared" ca="1" si="28"/>
        <v>#NAME?</v>
      </c>
      <c r="Y32" s="12" t="e">
        <f t="shared" ca="1" si="29"/>
        <v>#NAME?</v>
      </c>
      <c r="Z32" s="51">
        <f t="shared" si="30"/>
        <v>5.1809695077992268E-3</v>
      </c>
      <c r="AA32" s="49">
        <f t="shared" si="31"/>
        <v>3.9720766226460759E-3</v>
      </c>
      <c r="AB32" s="11">
        <f t="shared" si="32"/>
        <v>40.53901401072585</v>
      </c>
      <c r="AC32" s="12">
        <f t="shared" si="33"/>
        <v>7.8972637546186705E-2</v>
      </c>
      <c r="AD32" s="60"/>
    </row>
    <row r="33" spans="1:30">
      <c r="A33" s="27" t="str">
        <f>IF(VLOOKUP(B33,'[1]1. Select Services'!$A$6:$E$77,5,FALSE)="x","x","")</f>
        <v>x</v>
      </c>
      <c r="B33" s="31">
        <v>19</v>
      </c>
      <c r="C33" s="31">
        <v>24</v>
      </c>
      <c r="D33" s="102"/>
      <c r="E33" s="31" t="s">
        <v>58</v>
      </c>
      <c r="F33" s="11">
        <f>IF(Chosen_Scenario="Mitigation Impact Only",VLOOKUP($B33,'[1]Coverage Review Updated'!$B$5:$T$78,18,FALSE),VLOOKUP($B33,'[1]Coverage Review Updated'!$B$5:$T$78,19,FALSE))</f>
        <v>2000</v>
      </c>
      <c r="G33" s="11">
        <f>VLOOKUP($B33,'[1]7. Number of HW Contacts'!$B$4:$I$84,6,FALSE)</f>
        <v>4</v>
      </c>
      <c r="H33" s="12">
        <f>G33*(1-HLOOKUP($B33,'[1]3. Mitigation Impact on Coverag'!$BY$5:$EQ$7,3,FALSE))</f>
        <v>4</v>
      </c>
      <c r="I33" s="48">
        <f>HLOOKUP(B33,'[1]3. Mitigation Impact on Coverag'!ES$5:HK$7,3,FALSE)</f>
        <v>0.87</v>
      </c>
      <c r="J33" s="49" t="e">
        <f t="shared" ca="1" si="16"/>
        <v>#NAME?</v>
      </c>
      <c r="K33" s="49" t="e">
        <f t="shared" ca="1" si="34"/>
        <v>#NAME?</v>
      </c>
      <c r="L33" s="11" t="e">
        <f t="shared" ca="1" si="17"/>
        <v>#NAME?</v>
      </c>
      <c r="M33" s="12" t="e">
        <f t="shared" ca="1" si="18"/>
        <v>#NAME?</v>
      </c>
      <c r="N33" s="51" t="e">
        <f t="shared" ca="1" si="35"/>
        <v>#NAME?</v>
      </c>
      <c r="O33" s="49" t="e">
        <f t="shared" ca="1" si="19"/>
        <v>#NAME?</v>
      </c>
      <c r="P33" s="11" t="e">
        <f t="shared" ca="1" si="20"/>
        <v>#NAME?</v>
      </c>
      <c r="Q33" s="12" t="e">
        <f t="shared" ca="1" si="21"/>
        <v>#NAME?</v>
      </c>
      <c r="R33" s="51" t="e">
        <f t="shared" ca="1" si="22"/>
        <v>#NAME?</v>
      </c>
      <c r="S33" s="49" t="e">
        <f t="shared" ca="1" si="23"/>
        <v>#NAME?</v>
      </c>
      <c r="T33" s="11" t="e">
        <f t="shared" ca="1" si="24"/>
        <v>#NAME?</v>
      </c>
      <c r="U33" s="12" t="e">
        <f t="shared" ca="1" si="25"/>
        <v>#NAME?</v>
      </c>
      <c r="V33" s="51" t="e">
        <f t="shared" ca="1" si="26"/>
        <v>#NAME?</v>
      </c>
      <c r="W33" s="49" t="e">
        <f t="shared" ca="1" si="27"/>
        <v>#NAME?</v>
      </c>
      <c r="X33" s="11" t="e">
        <f t="shared" ca="1" si="28"/>
        <v>#NAME?</v>
      </c>
      <c r="Y33" s="12" t="e">
        <f t="shared" ca="1" si="29"/>
        <v>#NAME?</v>
      </c>
      <c r="Z33" s="51">
        <f t="shared" si="30"/>
        <v>5.452907335828483E-3</v>
      </c>
      <c r="AA33" s="49">
        <f t="shared" si="31"/>
        <v>4.1805622908018389E-3</v>
      </c>
      <c r="AB33" s="11">
        <f t="shared" si="32"/>
        <v>47.407576377692855</v>
      </c>
      <c r="AC33" s="12">
        <f t="shared" si="33"/>
        <v>9.2353044038716275E-2</v>
      </c>
      <c r="AD33" s="60"/>
    </row>
    <row r="34" spans="1:30">
      <c r="A34" s="27" t="str">
        <f>IF(VLOOKUP(B34,'[1]1. Select Services'!$A$6:$E$77,5,FALSE)="x","x","")</f>
        <v>x</v>
      </c>
      <c r="B34" s="31">
        <v>20</v>
      </c>
      <c r="C34" s="31">
        <v>25</v>
      </c>
      <c r="D34" s="102"/>
      <c r="E34" s="31" t="s">
        <v>59</v>
      </c>
      <c r="F34" s="11">
        <f>IF(Chosen_Scenario="Mitigation Impact Only",VLOOKUP($B34,'[1]Coverage Review Updated'!$B$5:$T$78,18,FALSE),VLOOKUP($B34,'[1]Coverage Review Updated'!$B$5:$T$78,19,FALSE))</f>
        <v>4200</v>
      </c>
      <c r="G34" s="11">
        <f>VLOOKUP($B34,'[1]7. Number of HW Contacts'!$B$4:$I$84,6,FALSE)</f>
        <v>2</v>
      </c>
      <c r="H34" s="12">
        <f>G34*(1-HLOOKUP($B34,'[1]3. Mitigation Impact on Coverag'!$BY$5:$EQ$7,3,FALSE))</f>
        <v>2</v>
      </c>
      <c r="I34" s="48">
        <f>HLOOKUP(B34,'[1]3. Mitigation Impact on Coverag'!ES$5:HK$7,3,FALSE)</f>
        <v>0.87</v>
      </c>
      <c r="J34" s="49" t="e">
        <f t="shared" ca="1" si="16"/>
        <v>#NAME?</v>
      </c>
      <c r="K34" s="49" t="e">
        <f t="shared" ca="1" si="34"/>
        <v>#NAME?</v>
      </c>
      <c r="L34" s="11" t="e">
        <f t="shared" ca="1" si="17"/>
        <v>#NAME?</v>
      </c>
      <c r="M34" s="12" t="e">
        <f t="shared" ca="1" si="18"/>
        <v>#NAME?</v>
      </c>
      <c r="N34" s="51" t="e">
        <f t="shared" ca="1" si="35"/>
        <v>#NAME?</v>
      </c>
      <c r="O34" s="49" t="e">
        <f t="shared" ca="1" si="19"/>
        <v>#NAME?</v>
      </c>
      <c r="P34" s="11" t="e">
        <f t="shared" ca="1" si="20"/>
        <v>#NAME?</v>
      </c>
      <c r="Q34" s="12" t="e">
        <f t="shared" ca="1" si="21"/>
        <v>#NAME?</v>
      </c>
      <c r="R34" s="51" t="e">
        <f t="shared" ca="1" si="22"/>
        <v>#NAME?</v>
      </c>
      <c r="S34" s="49" t="e">
        <f t="shared" ca="1" si="23"/>
        <v>#NAME?</v>
      </c>
      <c r="T34" s="11" t="e">
        <f t="shared" ca="1" si="24"/>
        <v>#NAME?</v>
      </c>
      <c r="U34" s="12" t="e">
        <f t="shared" ca="1" si="25"/>
        <v>#NAME?</v>
      </c>
      <c r="V34" s="51" t="e">
        <f t="shared" ca="1" si="26"/>
        <v>#NAME?</v>
      </c>
      <c r="W34" s="49" t="e">
        <f t="shared" ca="1" si="27"/>
        <v>#NAME?</v>
      </c>
      <c r="X34" s="11" t="e">
        <f t="shared" ca="1" si="28"/>
        <v>#NAME?</v>
      </c>
      <c r="Y34" s="12" t="e">
        <f t="shared" ca="1" si="29"/>
        <v>#NAME?</v>
      </c>
      <c r="Z34" s="51">
        <f t="shared" si="30"/>
        <v>2.7301806109985005E-3</v>
      </c>
      <c r="AA34" s="49">
        <f t="shared" si="31"/>
        <v>2.0931384684321846E-3</v>
      </c>
      <c r="AB34" s="11">
        <f t="shared" si="32"/>
        <v>49.845999487244036</v>
      </c>
      <c r="AC34" s="12">
        <f t="shared" si="33"/>
        <v>9.710325094714975E-2</v>
      </c>
      <c r="AD34" s="60"/>
    </row>
    <row r="35" spans="1:30">
      <c r="A35" s="27" t="str">
        <f>IF(VLOOKUP(B35,'[1]1. Select Services'!$A$6:$E$77,5,FALSE)="x","x","")</f>
        <v>x</v>
      </c>
      <c r="B35" s="31">
        <v>21</v>
      </c>
      <c r="C35" s="31">
        <v>26</v>
      </c>
      <c r="D35" s="103"/>
      <c r="E35" s="31" t="s">
        <v>60</v>
      </c>
      <c r="F35" s="32">
        <f>IF(Chosen_Scenario="Mitigation Impact Only",VLOOKUP($B35,'[1]Coverage Review Updated'!$B$5:$T$78,18,FALSE),VLOOKUP($B35,'[1]Coverage Review Updated'!$B$5:$T$78,19,FALSE))</f>
        <v>300</v>
      </c>
      <c r="G35" s="33">
        <f>VLOOKUP($B35,'[1]7. Number of HW Contacts'!$B$4:$I$84,6,FALSE)</f>
        <v>2</v>
      </c>
      <c r="H35" s="34">
        <f>G35*(1-HLOOKUP($B35,'[1]3. Mitigation Impact on Coverag'!$BY$5:$EQ$7,3,FALSE))</f>
        <v>1.9</v>
      </c>
      <c r="I35" s="59">
        <f>HLOOKUP(B35,'[1]3. Mitigation Impact on Coverag'!ES$5:HK$7,3,FALSE)</f>
        <v>0.87</v>
      </c>
      <c r="J35" s="52" t="e">
        <f t="shared" ref="J35:J47" ca="1" si="36">1-((1-Risk_of_Provider_Being_Infected*_xlfn.SINGLE(Transmission_Risk_Hospital_Stay))^(G35)*(1-Risk_of_Community_Member_being_Infected*Transmission_Risk_in_Community)^(G35*Contacts_During_Travel_to_Facility))</f>
        <v>#NAME?</v>
      </c>
      <c r="K35" s="52" t="e">
        <f t="shared" ca="1" si="34"/>
        <v>#NAME?</v>
      </c>
      <c r="L35" s="32" t="e">
        <f t="shared" ca="1" si="17"/>
        <v>#NAME?</v>
      </c>
      <c r="M35" s="34" t="e">
        <f t="shared" ca="1" si="18"/>
        <v>#NAME?</v>
      </c>
      <c r="N35" s="53" t="e">
        <f t="shared" ref="N35:N47" ca="1" si="37">1-((1-Risk_of_Provider_Being_Infected*_xlfn.SINGLE(Transmission_Risk_Hospital_Stay)*(1-Reduction_in_Risk_PPE))^(G35)*(1-Risk_of_Community_Member_being_Infected*Transmission_Risk_in_Community)^($G35*Contacts_During_Travel_to_Facility))</f>
        <v>#NAME?</v>
      </c>
      <c r="O35" s="52" t="e">
        <f t="shared" ca="1" si="19"/>
        <v>#NAME?</v>
      </c>
      <c r="P35" s="32" t="e">
        <f t="shared" ca="1" si="20"/>
        <v>#NAME?</v>
      </c>
      <c r="Q35" s="34" t="e">
        <f t="shared" ca="1" si="21"/>
        <v>#NAME?</v>
      </c>
      <c r="R35" s="53" t="e">
        <f t="shared" ref="R35:R47" ca="1" si="38">1-((1-Risk_of_Provider_Being_Infected*_xlfn.SINGLE(Transmission_Risk_Hospital_Stay)*(1-Reduction_in_Risk_PPE))^(G35*(1-Reduction_in_Risk_TS)))*(1-Risk_of_Community_Member_being_Infected*Transmission_Risk_in_Community)^($G35*Contacts_During_Travel_to_Facility)</f>
        <v>#NAME?</v>
      </c>
      <c r="S35" s="52" t="e">
        <f t="shared" ca="1" si="23"/>
        <v>#NAME?</v>
      </c>
      <c r="T35" s="32" t="e">
        <f t="shared" ca="1" si="24"/>
        <v>#NAME?</v>
      </c>
      <c r="U35" s="34" t="e">
        <f t="shared" ca="1" si="25"/>
        <v>#NAME?</v>
      </c>
      <c r="V35" s="53" t="e">
        <f t="shared" ref="V35:V47" ca="1" si="39">1-((1-Risk_of_Provider_Being_Infected*_xlfn.SINGLE(Transmission_Risk_Hospital_Stay)*(1-Reduction_in_Risk_PPE))^(H35*(1-Reduction_in_Risk_TS)))*(1-Risk_of_Community_Member_being_Infected*Transmission_Risk_in_Community)^($H35*Contacts_During_Travel_to_Facility)</f>
        <v>#NAME?</v>
      </c>
      <c r="W35" s="52" t="e">
        <f t="shared" ca="1" si="27"/>
        <v>#NAME?</v>
      </c>
      <c r="X35" s="32" t="e">
        <f t="shared" ca="1" si="28"/>
        <v>#NAME?</v>
      </c>
      <c r="Y35" s="34" t="e">
        <f t="shared" ca="1" si="29"/>
        <v>#NAME?</v>
      </c>
      <c r="Z35" s="61">
        <f t="shared" ref="Z35:Z47" si="40">1-((1-Risk_of_Provider_Being_Infected*Transmission_Risk_Hospital_Stay*(1-$I35)))*(1-Risk_of_Community_Member_being_Infected*Transmission_Risk_in_Community)^($H35*Contacts_During_Travel_to_Facility)</f>
        <v>2.646853083179912E-3</v>
      </c>
      <c r="AA35" s="52">
        <f t="shared" si="31"/>
        <v>2.0292540304379337E-3</v>
      </c>
      <c r="AB35" s="32">
        <f t="shared" si="32"/>
        <v>3.4517611057749251</v>
      </c>
      <c r="AC35" s="34">
        <f t="shared" si="33"/>
        <v>6.7242552724707232E-3</v>
      </c>
      <c r="AD35" s="119" t="s">
        <v>61</v>
      </c>
    </row>
    <row r="36" spans="1:30">
      <c r="A36" s="27" t="str">
        <f>IF(VLOOKUP(B36,'[1]1. Select Services'!$A$6:$E$77,5,FALSE)="x","x","")</f>
        <v>x</v>
      </c>
      <c r="B36" s="35">
        <v>22</v>
      </c>
      <c r="C36" s="35">
        <v>27</v>
      </c>
      <c r="D36" s="104" t="s">
        <v>29</v>
      </c>
      <c r="E36" s="36" t="s">
        <v>62</v>
      </c>
      <c r="F36" s="32">
        <f>IF(Chosen_Scenario="Mitigation Impact Only",VLOOKUP($B36,'[1]Coverage Review Updated'!$B$5:$T$78,18,FALSE),VLOOKUP($B36,'[1]Coverage Review Updated'!$B$5:$T$78,19,FALSE))</f>
        <v>56100</v>
      </c>
      <c r="G36" s="32">
        <f>VLOOKUP(200,'[1]7. Number of HW Contacts'!$B$4:$I$84,6,FALSE)</f>
        <v>4</v>
      </c>
      <c r="H36" s="34">
        <f>G36*(1-HLOOKUP($B36,'[1]3. Mitigation Impact on Coverag'!$BY$5:$EQ$7,3,FALSE))</f>
        <v>4</v>
      </c>
      <c r="I36" s="59">
        <f>HLOOKUP(B36,'[1]3. Mitigation Impact on Coverag'!ES$5:HK$7,3,FALSE)</f>
        <v>0.77</v>
      </c>
      <c r="J36" s="52" t="e">
        <f t="shared" ca="1" si="36"/>
        <v>#NAME?</v>
      </c>
      <c r="K36" s="52" t="e">
        <f t="shared" ca="1" si="34"/>
        <v>#NAME?</v>
      </c>
      <c r="L36" s="32" t="e">
        <f t="shared" ca="1" si="17"/>
        <v>#NAME?</v>
      </c>
      <c r="M36" s="34" t="e">
        <f t="shared" ca="1" si="18"/>
        <v>#NAME?</v>
      </c>
      <c r="N36" s="53" t="e">
        <f t="shared" ca="1" si="37"/>
        <v>#NAME?</v>
      </c>
      <c r="O36" s="52" t="e">
        <f t="shared" ca="1" si="19"/>
        <v>#NAME?</v>
      </c>
      <c r="P36" s="32" t="e">
        <f t="shared" ca="1" si="20"/>
        <v>#NAME?</v>
      </c>
      <c r="Q36" s="34" t="e">
        <f t="shared" ca="1" si="21"/>
        <v>#NAME?</v>
      </c>
      <c r="R36" s="53" t="e">
        <f t="shared" ca="1" si="38"/>
        <v>#NAME?</v>
      </c>
      <c r="S36" s="52" t="e">
        <f t="shared" ca="1" si="23"/>
        <v>#NAME?</v>
      </c>
      <c r="T36" s="32" t="e">
        <f t="shared" ca="1" si="24"/>
        <v>#NAME?</v>
      </c>
      <c r="U36" s="34" t="e">
        <f t="shared" ca="1" si="25"/>
        <v>#NAME?</v>
      </c>
      <c r="V36" s="53" t="e">
        <f t="shared" ca="1" si="39"/>
        <v>#NAME?</v>
      </c>
      <c r="W36" s="52" t="e">
        <f t="shared" ca="1" si="27"/>
        <v>#NAME?</v>
      </c>
      <c r="X36" s="32" t="e">
        <f t="shared" ca="1" si="28"/>
        <v>#NAME?</v>
      </c>
      <c r="Y36" s="34" t="e">
        <f t="shared" ca="1" si="29"/>
        <v>#NAME?</v>
      </c>
      <c r="Z36" s="61">
        <f t="shared" si="40"/>
        <v>5.5157567620066628E-3</v>
      </c>
      <c r="AA36" s="52">
        <f t="shared" si="31"/>
        <v>4.2287468508717769E-3</v>
      </c>
      <c r="AB36" s="32">
        <f t="shared" si="32"/>
        <v>1345.109399553251</v>
      </c>
      <c r="AC36" s="34">
        <f t="shared" si="33"/>
        <v>2.6203606491954177</v>
      </c>
      <c r="AD36" s="119" t="s">
        <v>61</v>
      </c>
    </row>
    <row r="37" spans="1:30">
      <c r="A37" s="27" t="str">
        <f>IF(VLOOKUP(B37,'[1]1. Select Services'!$A$6:$E$77,5,FALSE)="x","x","")</f>
        <v>x</v>
      </c>
      <c r="B37" s="35">
        <v>23</v>
      </c>
      <c r="C37" s="35">
        <v>28</v>
      </c>
      <c r="D37" s="105"/>
      <c r="E37" s="36" t="s">
        <v>63</v>
      </c>
      <c r="F37" s="32">
        <f>IF(Chosen_Scenario="Mitigation Impact Only",VLOOKUP($B37,'[1]Coverage Review Updated'!$B$5:$T$78,18,FALSE),VLOOKUP($B37,'[1]Coverage Review Updated'!$B$5:$T$78,19,FALSE))</f>
        <v>46000</v>
      </c>
      <c r="G37" s="32">
        <f>VLOOKUP($B37,'[1]7. Number of HW Contacts'!$B$4:$I$84,6,FALSE)</f>
        <v>0</v>
      </c>
      <c r="H37" s="34">
        <f>G37*(1-HLOOKUP($B37,'[1]3. Mitigation Impact on Coverag'!$BY$5:$EQ$7,3,FALSE))</f>
        <v>0</v>
      </c>
      <c r="I37" s="59">
        <f>HLOOKUP(B37,'[1]3. Mitigation Impact on Coverag'!ES$5:HK$7,3,FALSE)</f>
        <v>0.77</v>
      </c>
      <c r="J37" s="52" t="e">
        <f t="shared" ca="1" si="36"/>
        <v>#NAME?</v>
      </c>
      <c r="K37" s="52" t="e">
        <f t="shared" ca="1" si="34"/>
        <v>#NAME?</v>
      </c>
      <c r="L37" s="32" t="e">
        <f t="shared" ca="1" si="17"/>
        <v>#NAME?</v>
      </c>
      <c r="M37" s="34" t="e">
        <f t="shared" ca="1" si="18"/>
        <v>#NAME?</v>
      </c>
      <c r="N37" s="53" t="e">
        <f t="shared" ca="1" si="37"/>
        <v>#NAME?</v>
      </c>
      <c r="O37" s="52" t="e">
        <f t="shared" ca="1" si="19"/>
        <v>#NAME?</v>
      </c>
      <c r="P37" s="32" t="e">
        <f t="shared" ca="1" si="20"/>
        <v>#NAME?</v>
      </c>
      <c r="Q37" s="34" t="e">
        <f t="shared" ca="1" si="21"/>
        <v>#NAME?</v>
      </c>
      <c r="R37" s="53" t="e">
        <f t="shared" ca="1" si="38"/>
        <v>#NAME?</v>
      </c>
      <c r="S37" s="52" t="e">
        <f t="shared" ca="1" si="23"/>
        <v>#NAME?</v>
      </c>
      <c r="T37" s="32" t="e">
        <f t="shared" ca="1" si="24"/>
        <v>#NAME?</v>
      </c>
      <c r="U37" s="34" t="e">
        <f t="shared" ca="1" si="25"/>
        <v>#NAME?</v>
      </c>
      <c r="V37" s="53" t="e">
        <f t="shared" ca="1" si="39"/>
        <v>#NAME?</v>
      </c>
      <c r="W37" s="52" t="e">
        <f t="shared" ca="1" si="27"/>
        <v>#NAME?</v>
      </c>
      <c r="X37" s="32" t="e">
        <f t="shared" ca="1" si="28"/>
        <v>#NAME?</v>
      </c>
      <c r="Y37" s="34" t="e">
        <f t="shared" ca="1" si="29"/>
        <v>#NAME?</v>
      </c>
      <c r="Z37" s="61">
        <f t="shared" si="40"/>
        <v>2.5638698630137124E-4</v>
      </c>
      <c r="AA37" s="52">
        <f t="shared" si="31"/>
        <v>1.9656335616438471E-4</v>
      </c>
      <c r="AB37" s="32">
        <f t="shared" si="32"/>
        <v>51.267654554794817</v>
      </c>
      <c r="AC37" s="34">
        <f t="shared" si="33"/>
        <v>9.9872727539147832E-2</v>
      </c>
      <c r="AD37" s="119" t="s">
        <v>61</v>
      </c>
    </row>
    <row r="38" spans="1:30">
      <c r="A38" s="27" t="str">
        <f>IF(VLOOKUP(B38,'[1]1. Select Services'!$A$6:$E$77,5,FALSE)="x","x","")</f>
        <v>x</v>
      </c>
      <c r="B38" s="35">
        <v>24</v>
      </c>
      <c r="C38" s="35">
        <v>32</v>
      </c>
      <c r="D38" s="105"/>
      <c r="E38" s="36" t="s">
        <v>64</v>
      </c>
      <c r="F38" s="32">
        <f>IF(Chosen_Scenario="Mitigation Impact Only",VLOOKUP($B38,'[1]Coverage Review Updated'!$B$5:$T$78,18,FALSE),VLOOKUP($B38,'[1]Coverage Review Updated'!$B$5:$T$78,19,FALSE))</f>
        <v>400</v>
      </c>
      <c r="G38" s="32">
        <f>VLOOKUP($B38,'[1]7. Number of HW Contacts'!$B$4:$I$84,6,FALSE)</f>
        <v>4</v>
      </c>
      <c r="H38" s="34">
        <f>G38*(1-HLOOKUP($B38,'[1]3. Mitigation Impact on Coverag'!$BY$5:$EQ$7,3,FALSE))</f>
        <v>4</v>
      </c>
      <c r="I38" s="59">
        <f>HLOOKUP(B38,'[1]3. Mitigation Impact on Coverag'!ES$5:HK$7,3,FALSE)</f>
        <v>0.77</v>
      </c>
      <c r="J38" s="52" t="e">
        <f t="shared" ca="1" si="36"/>
        <v>#NAME?</v>
      </c>
      <c r="K38" s="52" t="e">
        <f t="shared" ca="1" si="34"/>
        <v>#NAME?</v>
      </c>
      <c r="L38" s="32" t="e">
        <f t="shared" ca="1" si="17"/>
        <v>#NAME?</v>
      </c>
      <c r="M38" s="34" t="e">
        <f t="shared" ca="1" si="18"/>
        <v>#NAME?</v>
      </c>
      <c r="N38" s="53" t="e">
        <f t="shared" ca="1" si="37"/>
        <v>#NAME?</v>
      </c>
      <c r="O38" s="52" t="e">
        <f t="shared" ca="1" si="19"/>
        <v>#NAME?</v>
      </c>
      <c r="P38" s="32" t="e">
        <f t="shared" ca="1" si="20"/>
        <v>#NAME?</v>
      </c>
      <c r="Q38" s="34" t="e">
        <f t="shared" ca="1" si="21"/>
        <v>#NAME?</v>
      </c>
      <c r="R38" s="53" t="e">
        <f t="shared" ca="1" si="38"/>
        <v>#NAME?</v>
      </c>
      <c r="S38" s="52" t="e">
        <f t="shared" ca="1" si="23"/>
        <v>#NAME?</v>
      </c>
      <c r="T38" s="32" t="e">
        <f t="shared" ca="1" si="24"/>
        <v>#NAME?</v>
      </c>
      <c r="U38" s="34" t="e">
        <f t="shared" ca="1" si="25"/>
        <v>#NAME?</v>
      </c>
      <c r="V38" s="53" t="e">
        <f t="shared" ca="1" si="39"/>
        <v>#NAME?</v>
      </c>
      <c r="W38" s="52" t="e">
        <f t="shared" ca="1" si="27"/>
        <v>#NAME?</v>
      </c>
      <c r="X38" s="32" t="e">
        <f t="shared" ca="1" si="28"/>
        <v>#NAME?</v>
      </c>
      <c r="Y38" s="34" t="e">
        <f t="shared" ca="1" si="29"/>
        <v>#NAME?</v>
      </c>
      <c r="Z38" s="61">
        <f t="shared" si="40"/>
        <v>5.5157567620066628E-3</v>
      </c>
      <c r="AA38" s="52">
        <f t="shared" si="31"/>
        <v>4.2287468508717769E-3</v>
      </c>
      <c r="AB38" s="32">
        <f t="shared" si="32"/>
        <v>9.59079785777719</v>
      </c>
      <c r="AC38" s="34">
        <f t="shared" si="33"/>
        <v>1.8683498389985152E-2</v>
      </c>
      <c r="AD38" s="119" t="s">
        <v>61</v>
      </c>
    </row>
    <row r="39" spans="1:30">
      <c r="A39" s="27" t="str">
        <f>IF(VLOOKUP(B39,'[1]1. Select Services'!$A$6:$E$77,5,FALSE)="x","x","")</f>
        <v>x</v>
      </c>
      <c r="B39" s="35">
        <v>25</v>
      </c>
      <c r="C39" s="35">
        <v>33</v>
      </c>
      <c r="D39" s="105"/>
      <c r="E39" s="36" t="s">
        <v>65</v>
      </c>
      <c r="F39" s="32">
        <f>IF(Chosen_Scenario="Mitigation Impact Only",VLOOKUP($B39,'[1]Coverage Review Updated'!$B$5:$T$78,18,FALSE),VLOOKUP($B39,'[1]Coverage Review Updated'!$B$5:$T$78,19,FALSE))</f>
        <v>100</v>
      </c>
      <c r="G39" s="32">
        <f>VLOOKUP($B39,'[1]7. Number of HW Contacts'!$B$4:$I$84,6,FALSE)</f>
        <v>10</v>
      </c>
      <c r="H39" s="34">
        <f>G39*(1-HLOOKUP($B39,'[1]3. Mitigation Impact on Coverag'!$BY$5:$EQ$7,3,FALSE))</f>
        <v>10</v>
      </c>
      <c r="I39" s="59">
        <f>HLOOKUP(B39,'[1]3. Mitigation Impact on Coverag'!ES$5:HK$7,3,FALSE)</f>
        <v>0.77</v>
      </c>
      <c r="J39" s="52" t="e">
        <f t="shared" ca="1" si="36"/>
        <v>#NAME?</v>
      </c>
      <c r="K39" s="52" t="e">
        <f t="shared" ca="1" si="34"/>
        <v>#NAME?</v>
      </c>
      <c r="L39" s="32" t="e">
        <f t="shared" ca="1" si="17"/>
        <v>#NAME?</v>
      </c>
      <c r="M39" s="34" t="e">
        <f t="shared" ca="1" si="18"/>
        <v>#NAME?</v>
      </c>
      <c r="N39" s="53" t="e">
        <f t="shared" ca="1" si="37"/>
        <v>#NAME?</v>
      </c>
      <c r="O39" s="52" t="e">
        <f t="shared" ca="1" si="19"/>
        <v>#NAME?</v>
      </c>
      <c r="P39" s="32" t="e">
        <f t="shared" ca="1" si="20"/>
        <v>#NAME?</v>
      </c>
      <c r="Q39" s="34" t="e">
        <f t="shared" ca="1" si="21"/>
        <v>#NAME?</v>
      </c>
      <c r="R39" s="53" t="e">
        <f t="shared" ca="1" si="38"/>
        <v>#NAME?</v>
      </c>
      <c r="S39" s="52" t="e">
        <f t="shared" ca="1" si="23"/>
        <v>#NAME?</v>
      </c>
      <c r="T39" s="32" t="e">
        <f t="shared" ca="1" si="24"/>
        <v>#NAME?</v>
      </c>
      <c r="U39" s="34" t="e">
        <f t="shared" ca="1" si="25"/>
        <v>#NAME?</v>
      </c>
      <c r="V39" s="53" t="e">
        <f t="shared" ca="1" si="39"/>
        <v>#NAME?</v>
      </c>
      <c r="W39" s="52" t="e">
        <f t="shared" ca="1" si="27"/>
        <v>#NAME?</v>
      </c>
      <c r="X39" s="32" t="e">
        <f t="shared" ca="1" si="28"/>
        <v>#NAME?</v>
      </c>
      <c r="Y39" s="34" t="e">
        <f t="shared" ca="1" si="29"/>
        <v>#NAME?</v>
      </c>
      <c r="Z39" s="61">
        <f t="shared" si="40"/>
        <v>1.3352979320798708E-2</v>
      </c>
      <c r="AA39" s="52">
        <f t="shared" si="31"/>
        <v>1.0237284145945682E-2</v>
      </c>
      <c r="AB39" s="32">
        <f t="shared" si="32"/>
        <v>5.8045401107512014</v>
      </c>
      <c r="AC39" s="34">
        <f t="shared" si="33"/>
        <v>1.1307621891528325E-2</v>
      </c>
      <c r="AD39" s="119" t="s">
        <v>61</v>
      </c>
    </row>
    <row r="40" spans="1:30">
      <c r="A40" s="27" t="str">
        <f>IF(VLOOKUP(B40,'[1]1. Select Services'!$A$6:$E$77,5,FALSE)="x","x","")</f>
        <v>x</v>
      </c>
      <c r="B40" s="35">
        <v>26</v>
      </c>
      <c r="C40" s="35">
        <v>34</v>
      </c>
      <c r="D40" s="105"/>
      <c r="E40" s="36" t="s">
        <v>66</v>
      </c>
      <c r="F40" s="32">
        <f>IF(Chosen_Scenario="Mitigation Impact Only",VLOOKUP($B40,'[1]Coverage Review Updated'!$B$5:$T$78,18,FALSE),VLOOKUP($B40,'[1]Coverage Review Updated'!$B$5:$T$78,19,FALSE))</f>
        <v>2700</v>
      </c>
      <c r="G40" s="32">
        <f>VLOOKUP($B40,'[1]7. Number of HW Contacts'!$B$4:$I$84,6,FALSE)</f>
        <v>6</v>
      </c>
      <c r="H40" s="34">
        <f>G40*(1-HLOOKUP($B40,'[1]3. Mitigation Impact on Coverag'!$BY$5:$EQ$7,3,FALSE))</f>
        <v>6</v>
      </c>
      <c r="I40" s="59">
        <f>HLOOKUP(B40,'[1]3. Mitigation Impact on Coverag'!ES$5:HK$7,3,FALSE)</f>
        <v>0.77</v>
      </c>
      <c r="J40" s="52" t="e">
        <f t="shared" ca="1" si="36"/>
        <v>#NAME?</v>
      </c>
      <c r="K40" s="52" t="e">
        <f t="shared" ca="1" si="34"/>
        <v>#NAME?</v>
      </c>
      <c r="L40" s="32" t="e">
        <f t="shared" ca="1" si="17"/>
        <v>#NAME?</v>
      </c>
      <c r="M40" s="34" t="e">
        <f t="shared" ca="1" si="18"/>
        <v>#NAME?</v>
      </c>
      <c r="N40" s="53" t="e">
        <f t="shared" ca="1" si="37"/>
        <v>#NAME?</v>
      </c>
      <c r="O40" s="52" t="e">
        <f t="shared" ca="1" si="19"/>
        <v>#NAME?</v>
      </c>
      <c r="P40" s="32" t="e">
        <f t="shared" ca="1" si="20"/>
        <v>#NAME?</v>
      </c>
      <c r="Q40" s="34" t="e">
        <f t="shared" ca="1" si="21"/>
        <v>#NAME?</v>
      </c>
      <c r="R40" s="53" t="e">
        <f t="shared" ca="1" si="38"/>
        <v>#NAME?</v>
      </c>
      <c r="S40" s="52" t="e">
        <f t="shared" ca="1" si="23"/>
        <v>#NAME?</v>
      </c>
      <c r="T40" s="32" t="e">
        <f t="shared" ca="1" si="24"/>
        <v>#NAME?</v>
      </c>
      <c r="U40" s="34" t="e">
        <f t="shared" ca="1" si="25"/>
        <v>#NAME?</v>
      </c>
      <c r="V40" s="53" t="e">
        <f t="shared" ca="1" si="39"/>
        <v>#NAME?</v>
      </c>
      <c r="W40" s="52" t="e">
        <f t="shared" ca="1" si="27"/>
        <v>#NAME?</v>
      </c>
      <c r="X40" s="32" t="e">
        <f t="shared" ca="1" si="28"/>
        <v>#NAME?</v>
      </c>
      <c r="Y40" s="34" t="e">
        <f t="shared" ca="1" si="29"/>
        <v>#NAME?</v>
      </c>
      <c r="Z40" s="61">
        <f t="shared" si="40"/>
        <v>8.1350570106832887E-3</v>
      </c>
      <c r="AA40" s="52">
        <f t="shared" si="31"/>
        <v>6.2368770415238582E-3</v>
      </c>
      <c r="AB40" s="32">
        <f t="shared" si="32"/>
        <v>95.48035062868874</v>
      </c>
      <c r="AC40" s="34">
        <f t="shared" si="33"/>
        <v>0.18600193682528213</v>
      </c>
      <c r="AD40" s="119" t="s">
        <v>61</v>
      </c>
    </row>
    <row r="41" spans="1:30">
      <c r="A41" s="27" t="str">
        <f>IF(VLOOKUP(B41,'[1]1. Select Services'!$A$6:$E$77,5,FALSE)="x","x","")</f>
        <v>x</v>
      </c>
      <c r="B41" s="35">
        <v>27</v>
      </c>
      <c r="C41" s="35">
        <v>35</v>
      </c>
      <c r="D41" s="105"/>
      <c r="E41" s="36" t="s">
        <v>67</v>
      </c>
      <c r="F41" s="32">
        <f>IF(Chosen_Scenario="Mitigation Impact Only",VLOOKUP($B41,'[1]Coverage Review Updated'!$B$5:$T$78,18,FALSE),VLOOKUP($B41,'[1]Coverage Review Updated'!$B$5:$T$78,19,FALSE))</f>
        <v>4200</v>
      </c>
      <c r="G41" s="32">
        <f>VLOOKUP($B41,'[1]7. Number of HW Contacts'!$B$4:$I$84,6,FALSE)</f>
        <v>10</v>
      </c>
      <c r="H41" s="34">
        <f>G41*(1-HLOOKUP($B41,'[1]3. Mitigation Impact on Coverag'!$BY$5:$EQ$7,3,FALSE))</f>
        <v>10</v>
      </c>
      <c r="I41" s="59">
        <f>HLOOKUP(B41,'[1]3. Mitigation Impact on Coverag'!ES$5:HK$7,3,FALSE)</f>
        <v>0.77</v>
      </c>
      <c r="J41" s="52" t="e">
        <f t="shared" ca="1" si="36"/>
        <v>#NAME?</v>
      </c>
      <c r="K41" s="52" t="e">
        <f t="shared" ca="1" si="34"/>
        <v>#NAME?</v>
      </c>
      <c r="L41" s="32" t="e">
        <f t="shared" ca="1" si="17"/>
        <v>#NAME?</v>
      </c>
      <c r="M41" s="34" t="e">
        <f t="shared" ca="1" si="18"/>
        <v>#NAME?</v>
      </c>
      <c r="N41" s="53" t="e">
        <f t="shared" ca="1" si="37"/>
        <v>#NAME?</v>
      </c>
      <c r="O41" s="52" t="e">
        <f t="shared" ca="1" si="19"/>
        <v>#NAME?</v>
      </c>
      <c r="P41" s="32" t="e">
        <f t="shared" ca="1" si="20"/>
        <v>#NAME?</v>
      </c>
      <c r="Q41" s="34" t="e">
        <f t="shared" ca="1" si="21"/>
        <v>#NAME?</v>
      </c>
      <c r="R41" s="53" t="e">
        <f t="shared" ca="1" si="38"/>
        <v>#NAME?</v>
      </c>
      <c r="S41" s="52" t="e">
        <f t="shared" ca="1" si="23"/>
        <v>#NAME?</v>
      </c>
      <c r="T41" s="32" t="e">
        <f t="shared" ca="1" si="24"/>
        <v>#NAME?</v>
      </c>
      <c r="U41" s="34" t="e">
        <f t="shared" ca="1" si="25"/>
        <v>#NAME?</v>
      </c>
      <c r="V41" s="53" t="e">
        <f t="shared" ca="1" si="39"/>
        <v>#NAME?</v>
      </c>
      <c r="W41" s="52" t="e">
        <f t="shared" ca="1" si="27"/>
        <v>#NAME?</v>
      </c>
      <c r="X41" s="32" t="e">
        <f t="shared" ca="1" si="28"/>
        <v>#NAME?</v>
      </c>
      <c r="Y41" s="34" t="e">
        <f t="shared" ca="1" si="29"/>
        <v>#NAME?</v>
      </c>
      <c r="Z41" s="61">
        <f t="shared" si="40"/>
        <v>1.3352979320798708E-2</v>
      </c>
      <c r="AA41" s="52">
        <f t="shared" si="31"/>
        <v>1.0237284145945682E-2</v>
      </c>
      <c r="AB41" s="32">
        <f t="shared" si="32"/>
        <v>243.79068465155046</v>
      </c>
      <c r="AC41" s="34">
        <f t="shared" si="33"/>
        <v>0.4749201194441896</v>
      </c>
      <c r="AD41" s="119" t="s">
        <v>61</v>
      </c>
    </row>
    <row r="42" spans="1:30">
      <c r="A42" s="27" t="str">
        <f>IF(VLOOKUP(B42,'[1]1. Select Services'!$A$6:$E$77,5,FALSE)="x","x","")</f>
        <v>x</v>
      </c>
      <c r="B42" s="35">
        <v>28</v>
      </c>
      <c r="C42" s="35">
        <v>36</v>
      </c>
      <c r="D42" s="105"/>
      <c r="E42" s="36" t="s">
        <v>68</v>
      </c>
      <c r="F42" s="32">
        <f>IF(Chosen_Scenario="Mitigation Impact Only",VLOOKUP($B42,'[1]Coverage Review Updated'!$B$5:$T$78,18,FALSE),VLOOKUP($B42,'[1]Coverage Review Updated'!$B$5:$T$78,19,FALSE))</f>
        <v>1500</v>
      </c>
      <c r="G42" s="32">
        <f>VLOOKUP($B42,'[1]7. Number of HW Contacts'!$B$4:$I$84,6,FALSE)</f>
        <v>4</v>
      </c>
      <c r="H42" s="34">
        <f>G42*(1-HLOOKUP($B42,'[1]3. Mitigation Impact on Coverag'!$BY$5:$EQ$7,3,FALSE))</f>
        <v>4</v>
      </c>
      <c r="I42" s="59">
        <f>HLOOKUP(B42,'[1]3. Mitigation Impact on Coverag'!ES$5:HK$7,3,FALSE)</f>
        <v>0.77</v>
      </c>
      <c r="J42" s="52" t="e">
        <f t="shared" ca="1" si="36"/>
        <v>#NAME?</v>
      </c>
      <c r="K42" s="52" t="e">
        <f t="shared" ca="1" si="34"/>
        <v>#NAME?</v>
      </c>
      <c r="L42" s="32" t="e">
        <f t="shared" ca="1" si="17"/>
        <v>#NAME?</v>
      </c>
      <c r="M42" s="34" t="e">
        <f t="shared" ca="1" si="18"/>
        <v>#NAME?</v>
      </c>
      <c r="N42" s="53" t="e">
        <f t="shared" ca="1" si="37"/>
        <v>#NAME?</v>
      </c>
      <c r="O42" s="52" t="e">
        <f t="shared" ca="1" si="19"/>
        <v>#NAME?</v>
      </c>
      <c r="P42" s="32" t="e">
        <f t="shared" ca="1" si="20"/>
        <v>#NAME?</v>
      </c>
      <c r="Q42" s="34" t="e">
        <f t="shared" ca="1" si="21"/>
        <v>#NAME?</v>
      </c>
      <c r="R42" s="53" t="e">
        <f t="shared" ca="1" si="38"/>
        <v>#NAME?</v>
      </c>
      <c r="S42" s="52" t="e">
        <f t="shared" ca="1" si="23"/>
        <v>#NAME?</v>
      </c>
      <c r="T42" s="32" t="e">
        <f t="shared" ca="1" si="24"/>
        <v>#NAME?</v>
      </c>
      <c r="U42" s="34" t="e">
        <f t="shared" ca="1" si="25"/>
        <v>#NAME?</v>
      </c>
      <c r="V42" s="53" t="e">
        <f t="shared" ca="1" si="39"/>
        <v>#NAME?</v>
      </c>
      <c r="W42" s="52" t="e">
        <f t="shared" ca="1" si="27"/>
        <v>#NAME?</v>
      </c>
      <c r="X42" s="32" t="e">
        <f t="shared" ca="1" si="28"/>
        <v>#NAME?</v>
      </c>
      <c r="Y42" s="34" t="e">
        <f t="shared" ca="1" si="29"/>
        <v>#NAME?</v>
      </c>
      <c r="Z42" s="61">
        <f t="shared" si="40"/>
        <v>5.5157567620066628E-3</v>
      </c>
      <c r="AA42" s="52">
        <f t="shared" si="31"/>
        <v>4.2287468508717769E-3</v>
      </c>
      <c r="AB42" s="32">
        <f t="shared" si="32"/>
        <v>35.965491966664459</v>
      </c>
      <c r="AC42" s="34">
        <f t="shared" si="33"/>
        <v>7.0063118962444326E-2</v>
      </c>
      <c r="AD42" s="119" t="s">
        <v>61</v>
      </c>
    </row>
    <row r="43" spans="1:30">
      <c r="A43" s="27" t="str">
        <f>IF(VLOOKUP(B43,'[1]1. Select Services'!$A$6:$E$77,5,FALSE)="x","x","")</f>
        <v>x</v>
      </c>
      <c r="B43" s="35">
        <v>29</v>
      </c>
      <c r="C43" s="35">
        <v>38</v>
      </c>
      <c r="D43" s="105"/>
      <c r="E43" s="36" t="s">
        <v>69</v>
      </c>
      <c r="F43" s="32">
        <f>IF(Chosen_Scenario="Mitigation Impact Only",VLOOKUP($B43,'[1]Coverage Review Updated'!$B$5:$T$78,18,FALSE),VLOOKUP($B43,'[1]Coverage Review Updated'!$B$5:$T$78,19,FALSE))</f>
        <v>50200</v>
      </c>
      <c r="G43" s="32">
        <f>VLOOKUP($B43,'[1]7. Number of HW Contacts'!$B$4:$I$84,6,FALSE)</f>
        <v>2</v>
      </c>
      <c r="H43" s="34">
        <f>G43*(1-HLOOKUP($B43,'[1]3. Mitigation Impact on Coverag'!$BY$5:$EQ$7,3,FALSE))</f>
        <v>2</v>
      </c>
      <c r="I43" s="59">
        <f>HLOOKUP(B43,'[1]3. Mitigation Impact on Coverag'!ES$5:HK$7,3,FALSE)</f>
        <v>0.77</v>
      </c>
      <c r="J43" s="52" t="e">
        <f t="shared" ca="1" si="36"/>
        <v>#NAME?</v>
      </c>
      <c r="K43" s="52" t="e">
        <f t="shared" ca="1" si="34"/>
        <v>#NAME?</v>
      </c>
      <c r="L43" s="32" t="e">
        <f t="shared" ca="1" si="17"/>
        <v>#NAME?</v>
      </c>
      <c r="M43" s="34" t="e">
        <f t="shared" ca="1" si="18"/>
        <v>#NAME?</v>
      </c>
      <c r="N43" s="53" t="e">
        <f t="shared" ca="1" si="37"/>
        <v>#NAME?</v>
      </c>
      <c r="O43" s="52" t="e">
        <f t="shared" ca="1" si="19"/>
        <v>#NAME?</v>
      </c>
      <c r="P43" s="32" t="e">
        <f t="shared" ca="1" si="20"/>
        <v>#NAME?</v>
      </c>
      <c r="Q43" s="34" t="e">
        <f t="shared" ca="1" si="21"/>
        <v>#NAME?</v>
      </c>
      <c r="R43" s="53" t="e">
        <f t="shared" ca="1" si="38"/>
        <v>#NAME?</v>
      </c>
      <c r="S43" s="52" t="e">
        <f t="shared" ca="1" si="23"/>
        <v>#NAME?</v>
      </c>
      <c r="T43" s="32" t="e">
        <f t="shared" ca="1" si="24"/>
        <v>#NAME?</v>
      </c>
      <c r="U43" s="34" t="e">
        <f t="shared" ca="1" si="25"/>
        <v>#NAME?</v>
      </c>
      <c r="V43" s="53" t="e">
        <f t="shared" ca="1" si="39"/>
        <v>#NAME?</v>
      </c>
      <c r="W43" s="52" t="e">
        <f t="shared" ca="1" si="27"/>
        <v>#NAME?</v>
      </c>
      <c r="X43" s="32" t="e">
        <f t="shared" ca="1" si="28"/>
        <v>#NAME?</v>
      </c>
      <c r="Y43" s="34" t="e">
        <f t="shared" ca="1" si="29"/>
        <v>#NAME?</v>
      </c>
      <c r="Z43" s="61">
        <f t="shared" si="40"/>
        <v>2.8895395093151421E-3</v>
      </c>
      <c r="AA43" s="52">
        <f t="shared" si="31"/>
        <v>2.2153136238082767E-3</v>
      </c>
      <c r="AB43" s="32">
        <f t="shared" si="32"/>
        <v>630.55357799904505</v>
      </c>
      <c r="AC43" s="34">
        <f t="shared" si="33"/>
        <v>1.2283594059686442</v>
      </c>
      <c r="AD43" s="119" t="s">
        <v>61</v>
      </c>
    </row>
    <row r="44" spans="1:30">
      <c r="A44" s="27" t="str">
        <f>IF(VLOOKUP(B44,'[1]1. Select Services'!$A$6:$E$77,5,FALSE)="x","x","")</f>
        <v>x</v>
      </c>
      <c r="B44" s="35">
        <v>30</v>
      </c>
      <c r="C44" s="35">
        <v>39</v>
      </c>
      <c r="D44" s="105"/>
      <c r="E44" s="36" t="s">
        <v>70</v>
      </c>
      <c r="F44" s="32">
        <f>IF(Chosen_Scenario="Mitigation Impact Only",VLOOKUP($B44,'[1]Coverage Review Updated'!$B$5:$T$78,18,FALSE),VLOOKUP($B44,'[1]Coverage Review Updated'!$B$5:$T$78,19,FALSE))</f>
        <v>200</v>
      </c>
      <c r="G44" s="32">
        <f>VLOOKUP($B44,'[1]7. Number of HW Contacts'!$B$4:$I$84,6,FALSE)</f>
        <v>4</v>
      </c>
      <c r="H44" s="34">
        <f>G44*(1-HLOOKUP($B44,'[1]3. Mitigation Impact on Coverag'!$BY$5:$EQ$7,3,FALSE))</f>
        <v>4</v>
      </c>
      <c r="I44" s="59">
        <f>HLOOKUP(B44,'[1]3. Mitigation Impact on Coverag'!ES$5:HK$7,3,FALSE)</f>
        <v>0.77</v>
      </c>
      <c r="J44" s="52" t="e">
        <f t="shared" ca="1" si="36"/>
        <v>#NAME?</v>
      </c>
      <c r="K44" s="52" t="e">
        <f t="shared" ca="1" si="34"/>
        <v>#NAME?</v>
      </c>
      <c r="L44" s="32" t="e">
        <f t="shared" ca="1" si="17"/>
        <v>#NAME?</v>
      </c>
      <c r="M44" s="34" t="e">
        <f t="shared" ca="1" si="18"/>
        <v>#NAME?</v>
      </c>
      <c r="N44" s="53" t="e">
        <f t="shared" ca="1" si="37"/>
        <v>#NAME?</v>
      </c>
      <c r="O44" s="52" t="e">
        <f t="shared" ca="1" si="19"/>
        <v>#NAME?</v>
      </c>
      <c r="P44" s="32" t="e">
        <f t="shared" ca="1" si="20"/>
        <v>#NAME?</v>
      </c>
      <c r="Q44" s="34" t="e">
        <f t="shared" ca="1" si="21"/>
        <v>#NAME?</v>
      </c>
      <c r="R44" s="53" t="e">
        <f t="shared" ca="1" si="38"/>
        <v>#NAME?</v>
      </c>
      <c r="S44" s="52" t="e">
        <f t="shared" ca="1" si="23"/>
        <v>#NAME?</v>
      </c>
      <c r="T44" s="32" t="e">
        <f t="shared" ca="1" si="24"/>
        <v>#NAME?</v>
      </c>
      <c r="U44" s="34" t="e">
        <f t="shared" ca="1" si="25"/>
        <v>#NAME?</v>
      </c>
      <c r="V44" s="53" t="e">
        <f t="shared" ca="1" si="39"/>
        <v>#NAME?</v>
      </c>
      <c r="W44" s="52" t="e">
        <f t="shared" ca="1" si="27"/>
        <v>#NAME?</v>
      </c>
      <c r="X44" s="32" t="e">
        <f t="shared" ca="1" si="28"/>
        <v>#NAME?</v>
      </c>
      <c r="Y44" s="34" t="e">
        <f t="shared" ca="1" si="29"/>
        <v>#NAME?</v>
      </c>
      <c r="Z44" s="61">
        <f t="shared" si="40"/>
        <v>5.5157567620066628E-3</v>
      </c>
      <c r="AA44" s="52">
        <f t="shared" si="31"/>
        <v>4.2287468508717769E-3</v>
      </c>
      <c r="AB44" s="32">
        <f t="shared" si="32"/>
        <v>4.795398928888595</v>
      </c>
      <c r="AC44" s="34">
        <f t="shared" si="33"/>
        <v>9.3417491949925758E-3</v>
      </c>
      <c r="AD44" s="119" t="s">
        <v>61</v>
      </c>
    </row>
    <row r="45" spans="1:30">
      <c r="A45" s="27" t="str">
        <f>IF(VLOOKUP(B45,'[1]1. Select Services'!$A$6:$E$77,5,FALSE)="x","x","")</f>
        <v>x</v>
      </c>
      <c r="B45" s="35">
        <v>31</v>
      </c>
      <c r="C45" s="35">
        <v>40</v>
      </c>
      <c r="D45" s="105"/>
      <c r="E45" s="36" t="s">
        <v>71</v>
      </c>
      <c r="F45" s="32">
        <f>IF(Chosen_Scenario="Mitigation Impact Only",VLOOKUP($B45,'[1]Coverage Review Updated'!$B$5:$T$78,18,FALSE),VLOOKUP($B45,'[1]Coverage Review Updated'!$B$5:$T$78,19,FALSE))</f>
        <v>100</v>
      </c>
      <c r="G45" s="32">
        <f>VLOOKUP($B45,'[1]7. Number of HW Contacts'!$B$4:$I$84,6,FALSE)</f>
        <v>1</v>
      </c>
      <c r="H45" s="34">
        <f>G45*(1-HLOOKUP($B45,'[1]3. Mitigation Impact on Coverag'!$BY$5:$EQ$7,3,FALSE))</f>
        <v>1</v>
      </c>
      <c r="I45" s="59">
        <f>HLOOKUP(B45,'[1]3. Mitigation Impact on Coverag'!ES$5:HK$7,3,FALSE)</f>
        <v>0.77</v>
      </c>
      <c r="J45" s="52" t="e">
        <f t="shared" ca="1" si="36"/>
        <v>#NAME?</v>
      </c>
      <c r="K45" s="52" t="e">
        <f t="shared" ca="1" si="34"/>
        <v>#NAME?</v>
      </c>
      <c r="L45" s="32" t="e">
        <f t="shared" ca="1" si="17"/>
        <v>#NAME?</v>
      </c>
      <c r="M45" s="34" t="e">
        <f t="shared" ca="1" si="18"/>
        <v>#NAME?</v>
      </c>
      <c r="N45" s="53" t="e">
        <f t="shared" ca="1" si="37"/>
        <v>#NAME?</v>
      </c>
      <c r="O45" s="52" t="e">
        <f t="shared" ca="1" si="19"/>
        <v>#NAME?</v>
      </c>
      <c r="P45" s="32" t="e">
        <f t="shared" ca="1" si="20"/>
        <v>#NAME?</v>
      </c>
      <c r="Q45" s="34" t="e">
        <f t="shared" ca="1" si="21"/>
        <v>#NAME?</v>
      </c>
      <c r="R45" s="53" t="e">
        <f t="shared" ca="1" si="38"/>
        <v>#NAME?</v>
      </c>
      <c r="S45" s="52" t="e">
        <f t="shared" ca="1" si="23"/>
        <v>#NAME?</v>
      </c>
      <c r="T45" s="32" t="e">
        <f t="shared" ca="1" si="24"/>
        <v>#NAME?</v>
      </c>
      <c r="U45" s="34" t="e">
        <f t="shared" ca="1" si="25"/>
        <v>#NAME?</v>
      </c>
      <c r="V45" s="53" t="e">
        <f t="shared" ca="1" si="39"/>
        <v>#NAME?</v>
      </c>
      <c r="W45" s="52" t="e">
        <f t="shared" ca="1" si="27"/>
        <v>#NAME?</v>
      </c>
      <c r="X45" s="32" t="e">
        <f t="shared" ca="1" si="28"/>
        <v>#NAME?</v>
      </c>
      <c r="Y45" s="34" t="e">
        <f t="shared" ca="1" si="29"/>
        <v>#NAME?</v>
      </c>
      <c r="Z45" s="61">
        <f t="shared" si="40"/>
        <v>1.5738313001256721E-3</v>
      </c>
      <c r="AA45" s="52">
        <f t="shared" si="31"/>
        <v>1.2066039967630158E-3</v>
      </c>
      <c r="AB45" s="32">
        <f t="shared" si="32"/>
        <v>0.68414446616462987</v>
      </c>
      <c r="AC45" s="34">
        <f t="shared" si="33"/>
        <v>1.3327579437761796E-3</v>
      </c>
      <c r="AD45" s="119" t="s">
        <v>61</v>
      </c>
    </row>
    <row r="46" spans="1:30">
      <c r="A46" s="27" t="str">
        <f>IF(VLOOKUP(B46,'[1]1. Select Services'!$A$6:$E$77,5,FALSE)="x","x","")</f>
        <v>x</v>
      </c>
      <c r="B46" s="35">
        <v>32</v>
      </c>
      <c r="C46" s="35">
        <v>41</v>
      </c>
      <c r="D46" s="105"/>
      <c r="E46" s="36" t="s">
        <v>72</v>
      </c>
      <c r="F46" s="32">
        <f>IF(Chosen_Scenario="Mitigation Impact Only",VLOOKUP($B46,'[1]Coverage Review Updated'!$B$5:$T$78,18,FALSE),VLOOKUP($B46,'[1]Coverage Review Updated'!$B$5:$T$78,19,FALSE))</f>
        <v>0</v>
      </c>
      <c r="G46" s="32">
        <f>VLOOKUP($B46,'[1]7. Number of HW Contacts'!$B$4:$I$84,6,FALSE)</f>
        <v>4</v>
      </c>
      <c r="H46" s="34">
        <f>G46*(1-HLOOKUP($B46,'[1]3. Mitigation Impact on Coverag'!$BY$5:$EQ$7,3,FALSE))</f>
        <v>4</v>
      </c>
      <c r="I46" s="59">
        <f>HLOOKUP(B46,'[1]3. Mitigation Impact on Coverag'!ES$5:HK$7,3,FALSE)</f>
        <v>0.77</v>
      </c>
      <c r="J46" s="52" t="e">
        <f t="shared" ca="1" si="36"/>
        <v>#NAME?</v>
      </c>
      <c r="K46" s="52" t="e">
        <f t="shared" ca="1" si="34"/>
        <v>#NAME?</v>
      </c>
      <c r="L46" s="32" t="e">
        <f t="shared" ca="1" si="17"/>
        <v>#NAME?</v>
      </c>
      <c r="M46" s="34" t="e">
        <f t="shared" ca="1" si="18"/>
        <v>#NAME?</v>
      </c>
      <c r="N46" s="53" t="e">
        <f t="shared" ca="1" si="37"/>
        <v>#NAME?</v>
      </c>
      <c r="O46" s="52" t="e">
        <f t="shared" ca="1" si="19"/>
        <v>#NAME?</v>
      </c>
      <c r="P46" s="32" t="e">
        <f t="shared" ca="1" si="20"/>
        <v>#NAME?</v>
      </c>
      <c r="Q46" s="34" t="e">
        <f t="shared" ca="1" si="21"/>
        <v>#NAME?</v>
      </c>
      <c r="R46" s="53" t="e">
        <f t="shared" ca="1" si="38"/>
        <v>#NAME?</v>
      </c>
      <c r="S46" s="52" t="e">
        <f t="shared" ca="1" si="23"/>
        <v>#NAME?</v>
      </c>
      <c r="T46" s="32" t="e">
        <f t="shared" ca="1" si="24"/>
        <v>#NAME?</v>
      </c>
      <c r="U46" s="34" t="e">
        <f t="shared" ca="1" si="25"/>
        <v>#NAME?</v>
      </c>
      <c r="V46" s="53" t="e">
        <f t="shared" ca="1" si="39"/>
        <v>#NAME?</v>
      </c>
      <c r="W46" s="52" t="e">
        <f t="shared" ca="1" si="27"/>
        <v>#NAME?</v>
      </c>
      <c r="X46" s="32" t="e">
        <f t="shared" ca="1" si="28"/>
        <v>#NAME?</v>
      </c>
      <c r="Y46" s="34" t="e">
        <f t="shared" ca="1" si="29"/>
        <v>#NAME?</v>
      </c>
      <c r="Z46" s="61">
        <f t="shared" si="40"/>
        <v>5.5157567620066628E-3</v>
      </c>
      <c r="AA46" s="52">
        <f t="shared" si="31"/>
        <v>4.2287468508717769E-3</v>
      </c>
      <c r="AB46" s="32">
        <f t="shared" si="32"/>
        <v>0</v>
      </c>
      <c r="AC46" s="34">
        <f t="shared" si="33"/>
        <v>0</v>
      </c>
      <c r="AD46" s="119" t="s">
        <v>61</v>
      </c>
    </row>
    <row r="47" spans="1:30">
      <c r="A47" s="27" t="str">
        <f>IF(VLOOKUP(B47,'[1]1. Select Services'!$A$6:$E$77,5,FALSE)="x","x","")</f>
        <v>x</v>
      </c>
      <c r="B47" s="35">
        <v>33</v>
      </c>
      <c r="C47" s="37">
        <v>65</v>
      </c>
      <c r="D47" s="105"/>
      <c r="E47" s="38" t="s">
        <v>73</v>
      </c>
      <c r="F47" s="32">
        <f>IF(Chosen_Scenario="Mitigation Impact Only",VLOOKUP($B47,'[1]Coverage Review Updated'!$B$5:$T$78,18,FALSE),VLOOKUP($B47,'[1]Coverage Review Updated'!$B$5:$T$78,19,FALSE))</f>
        <v>0</v>
      </c>
      <c r="G47" s="32">
        <f>VLOOKUP($B47,'[1]7. Number of HW Contacts'!$B$4:$I$84,6,FALSE)</f>
        <v>10</v>
      </c>
      <c r="H47" s="34">
        <f>G47*(1-HLOOKUP($B47,'[1]3. Mitigation Impact on Coverag'!$BY$5:$EQ$7,3,FALSE))</f>
        <v>10</v>
      </c>
      <c r="I47" s="59">
        <f>HLOOKUP(B47,'[1]3. Mitigation Impact on Coverag'!ES$5:HK$7,3,FALSE)</f>
        <v>0.77</v>
      </c>
      <c r="J47" s="52" t="e">
        <f t="shared" ca="1" si="36"/>
        <v>#NAME?</v>
      </c>
      <c r="K47" s="52" t="e">
        <f t="shared" ca="1" si="34"/>
        <v>#NAME?</v>
      </c>
      <c r="L47" s="32" t="e">
        <f t="shared" ca="1" si="17"/>
        <v>#NAME?</v>
      </c>
      <c r="M47" s="34" t="e">
        <f t="shared" ca="1" si="18"/>
        <v>#NAME?</v>
      </c>
      <c r="N47" s="53" t="e">
        <f t="shared" ca="1" si="37"/>
        <v>#NAME?</v>
      </c>
      <c r="O47" s="52" t="e">
        <f t="shared" ca="1" si="19"/>
        <v>#NAME?</v>
      </c>
      <c r="P47" s="32" t="e">
        <f t="shared" ca="1" si="20"/>
        <v>#NAME?</v>
      </c>
      <c r="Q47" s="34" t="e">
        <f t="shared" ca="1" si="21"/>
        <v>#NAME?</v>
      </c>
      <c r="R47" s="53" t="e">
        <f t="shared" ca="1" si="38"/>
        <v>#NAME?</v>
      </c>
      <c r="S47" s="52" t="e">
        <f t="shared" ca="1" si="23"/>
        <v>#NAME?</v>
      </c>
      <c r="T47" s="32" t="e">
        <f t="shared" ca="1" si="24"/>
        <v>#NAME?</v>
      </c>
      <c r="U47" s="34" t="e">
        <f t="shared" ca="1" si="25"/>
        <v>#NAME?</v>
      </c>
      <c r="V47" s="53" t="e">
        <f t="shared" ca="1" si="39"/>
        <v>#NAME?</v>
      </c>
      <c r="W47" s="52" t="e">
        <f t="shared" ca="1" si="27"/>
        <v>#NAME?</v>
      </c>
      <c r="X47" s="32" t="e">
        <f t="shared" ca="1" si="28"/>
        <v>#NAME?</v>
      </c>
      <c r="Y47" s="34" t="e">
        <f t="shared" ca="1" si="29"/>
        <v>#NAME?</v>
      </c>
      <c r="Z47" s="61">
        <f t="shared" si="40"/>
        <v>1.3352979320798708E-2</v>
      </c>
      <c r="AA47" s="52">
        <f t="shared" si="31"/>
        <v>1.0237284145945682E-2</v>
      </c>
      <c r="AB47" s="32">
        <f t="shared" si="32"/>
        <v>0</v>
      </c>
      <c r="AC47" s="34">
        <f t="shared" si="33"/>
        <v>0</v>
      </c>
      <c r="AD47" s="119" t="s">
        <v>61</v>
      </c>
    </row>
    <row r="48" spans="1:30">
      <c r="A48" s="27" t="str">
        <f>IF(VLOOKUP(B48,'[1]1. Select Services'!$A$6:$E$77,5,FALSE)="x","x","")</f>
        <v>x</v>
      </c>
      <c r="B48" s="37">
        <v>34</v>
      </c>
      <c r="C48" s="37">
        <v>10</v>
      </c>
      <c r="D48" s="105"/>
      <c r="E48" s="36" t="s">
        <v>74</v>
      </c>
      <c r="F48" s="11">
        <f>IF(Chosen_Scenario="Mitigation Impact Only",VLOOKUP($B48,'[1]Coverage Review Updated'!$B$5:$T$78,18,FALSE),VLOOKUP($B48,'[1]Coverage Review Updated'!$B$5:$T$78,19,FALSE))</f>
        <v>0</v>
      </c>
      <c r="G48" s="11">
        <f>VLOOKUP($B48,'[1]7. Number of HW Contacts'!$B$4:$I$84,6,FALSE)</f>
        <v>2</v>
      </c>
      <c r="H48" s="12">
        <f>G48*(1-HLOOKUP($B48,'[1]3. Mitigation Impact on Coverag'!$BY$5:$EQ$7,3,FALSE))</f>
        <v>2</v>
      </c>
      <c r="I48" s="48">
        <f>HLOOKUP(B48,'[1]3. Mitigation Impact on Coverag'!ES$5:HK$7,3,FALSE)</f>
        <v>0.77</v>
      </c>
      <c r="J48" s="49" t="e">
        <f ca="1">1-((1-Risk_of_Provider_Being_Infected*_xlfn.SINGLE(Transmission_Risk_Contact_Health_Care_Provider))^(G48)*(1-Risk_of_Community_Member_being_Infected*Transmission_Risk_in_Community)^(G48*Contacts_During_Travel_to_Facility))</f>
        <v>#NAME?</v>
      </c>
      <c r="K48" s="49" t="e">
        <f t="shared" ca="1" si="34"/>
        <v>#NAME?</v>
      </c>
      <c r="L48" s="11" t="e">
        <f t="shared" ca="1" si="17"/>
        <v>#NAME?</v>
      </c>
      <c r="M48" s="12" t="e">
        <f t="shared" ca="1" si="18"/>
        <v>#NAME?</v>
      </c>
      <c r="N48" s="51" t="e">
        <f ca="1">1-((1-Risk_of_Provider_Being_Infected*_xlfn.SINGLE(Transmission_Risk_Contact_Health_Care_Provider)*(1-Reduction_in_Risk_PPE))^($G48)*(1-Risk_of_Community_Member_being_Infected*Transmission_Risk_in_Community)^($G48*Contacts_During_Travel_to_Facility))</f>
        <v>#NAME?</v>
      </c>
      <c r="O48" s="49" t="e">
        <f t="shared" ca="1" si="19"/>
        <v>#NAME?</v>
      </c>
      <c r="P48" s="11" t="e">
        <f t="shared" ca="1" si="20"/>
        <v>#NAME?</v>
      </c>
      <c r="Q48" s="12" t="e">
        <f t="shared" ca="1" si="21"/>
        <v>#NAME?</v>
      </c>
      <c r="R48" s="51" t="e">
        <f ca="1">1-((1-Risk_of_Provider_Being_Infected*_xlfn.SINGLE(Transmission_Risk_Contact_Health_Care_Provider)*(1-Reduction_in_Risk_PPE))^($G48*(1-Reduction_in_Risk_TS)))*(1-Risk_of_Community_Member_being_Infected*Transmission_Risk_in_Community)^($G48*Contacts_During_Travel_to_Facility)</f>
        <v>#NAME?</v>
      </c>
      <c r="S48" s="49" t="e">
        <f t="shared" ca="1" si="23"/>
        <v>#NAME?</v>
      </c>
      <c r="T48" s="11" t="e">
        <f t="shared" ca="1" si="24"/>
        <v>#NAME?</v>
      </c>
      <c r="U48" s="12" t="e">
        <f t="shared" ca="1" si="25"/>
        <v>#NAME?</v>
      </c>
      <c r="V48" s="51" t="e">
        <f ca="1">1-((1-Risk_of_Provider_Being_Infected*_xlfn.SINGLE(Transmission_Risk_Contact_Health_Care_Provider)*(1-$I48)))*(1-Risk_of_Community_Member_being_Infected*Transmission_Risk_in_Community)^($H48*Contacts_During_Travel_to_Facility)</f>
        <v>#NAME?</v>
      </c>
      <c r="W48" s="49" t="e">
        <f t="shared" ca="1" si="27"/>
        <v>#NAME?</v>
      </c>
      <c r="X48" s="11" t="e">
        <f t="shared" ca="1" si="28"/>
        <v>#NAME?</v>
      </c>
      <c r="Y48" s="12" t="e">
        <f t="shared" ca="1" si="29"/>
        <v>#NAME?</v>
      </c>
      <c r="Z48" s="51">
        <f>1-((1-Risk_of_Provider_Being_Infected*Transmission_Risk_Contact_Health_Care_Provider*(1-$I48))^($H48)*(1-Risk_of_Community_Member_being_Infected*Transmission_Risk_in_Community)^($H48*Contacts_During_Travel_to_Facility))</f>
        <v>2.8042949890330071E-3</v>
      </c>
      <c r="AA48" s="49">
        <f t="shared" si="31"/>
        <v>2.1499594915919732E-3</v>
      </c>
      <c r="AB48" s="11">
        <f t="shared" si="32"/>
        <v>0</v>
      </c>
      <c r="AC48" s="12">
        <f t="shared" si="33"/>
        <v>0</v>
      </c>
      <c r="AD48" s="119"/>
    </row>
    <row r="49" spans="1:30">
      <c r="A49" s="27" t="str">
        <f>IF(VLOOKUP(B49,'[1]1. Select Services'!$A$6:$E$77,5,FALSE)="x","x","")</f>
        <v>x</v>
      </c>
      <c r="B49" s="37">
        <v>35</v>
      </c>
      <c r="C49" s="37">
        <v>11</v>
      </c>
      <c r="D49" s="105"/>
      <c r="E49" s="36" t="s">
        <v>75</v>
      </c>
      <c r="F49" s="32">
        <f>IF(Chosen_Scenario="Mitigation Impact Only",VLOOKUP($B49,'[1]Coverage Review Updated'!$B$5:$T$78,18,FALSE),VLOOKUP($B49,'[1]Coverage Review Updated'!$B$5:$T$78,19,FALSE))</f>
        <v>0</v>
      </c>
      <c r="G49" s="32">
        <f>VLOOKUP($B49,'[1]7. Number of HW Contacts'!$B$4:$I$84,6,FALSE)</f>
        <v>6</v>
      </c>
      <c r="H49" s="34">
        <f>G49*(1-HLOOKUP($B49,'[1]3. Mitigation Impact on Coverag'!$BY$5:$EQ$7,3,FALSE))</f>
        <v>6</v>
      </c>
      <c r="I49" s="59">
        <f>HLOOKUP(B49,'[1]3. Mitigation Impact on Coverag'!ES$5:HK$7,3,FALSE)</f>
        <v>0.77</v>
      </c>
      <c r="J49" s="52" t="e">
        <f ca="1">1-((1-Risk_of_Provider_Being_Infected*_xlfn.SINGLE(Transmission_Risk_Hospital_Stay))^(G49)*(1-Risk_of_Community_Member_being_Infected*Transmission_Risk_in_Community)^(G49*Contacts_During_Travel_to_Facility))</f>
        <v>#NAME?</v>
      </c>
      <c r="K49" s="52" t="e">
        <f t="shared" ca="1" si="34"/>
        <v>#NAME?</v>
      </c>
      <c r="L49" s="32" t="e">
        <f t="shared" ca="1" si="17"/>
        <v>#NAME?</v>
      </c>
      <c r="M49" s="34" t="e">
        <f t="shared" ca="1" si="18"/>
        <v>#NAME?</v>
      </c>
      <c r="N49" s="53" t="e">
        <f ca="1">1-((1-Risk_of_Provider_Being_Infected*_xlfn.SINGLE(Transmission_Risk_Hospital_Stay)*(1-Reduction_in_Risk_PPE))^(G49)*(1-Risk_of_Community_Member_being_Infected*Transmission_Risk_in_Community)^($G49*Contacts_During_Travel_to_Facility))</f>
        <v>#NAME?</v>
      </c>
      <c r="O49" s="52" t="e">
        <f t="shared" ca="1" si="19"/>
        <v>#NAME?</v>
      </c>
      <c r="P49" s="32" t="e">
        <f t="shared" ca="1" si="20"/>
        <v>#NAME?</v>
      </c>
      <c r="Q49" s="34" t="e">
        <f t="shared" ca="1" si="21"/>
        <v>#NAME?</v>
      </c>
      <c r="R49" s="53" t="e">
        <f ca="1">1-((1-Risk_of_Provider_Being_Infected*_xlfn.SINGLE(Transmission_Risk_Hospital_Stay)*(1-Reduction_in_Risk_PPE))^(G49*(1-Reduction_in_Risk_TS)))*(1-Risk_of_Community_Member_being_Infected*Transmission_Risk_in_Community)^($G49*Contacts_During_Travel_to_Facility)</f>
        <v>#NAME?</v>
      </c>
      <c r="S49" s="52" t="e">
        <f t="shared" ca="1" si="23"/>
        <v>#NAME?</v>
      </c>
      <c r="T49" s="32" t="e">
        <f t="shared" ca="1" si="24"/>
        <v>#NAME?</v>
      </c>
      <c r="U49" s="34" t="e">
        <f t="shared" ca="1" si="25"/>
        <v>#NAME?</v>
      </c>
      <c r="V49" s="53" t="e">
        <f ca="1">1-((1-Risk_of_Provider_Being_Infected*_xlfn.SINGLE(Transmission_Risk_Hospital_Stay)*(1-Reduction_in_Risk_PPE))^(H49*(1-Reduction_in_Risk_TS)))*(1-Risk_of_Community_Member_being_Infected*Transmission_Risk_in_Community)^($H49*Contacts_During_Travel_to_Facility)</f>
        <v>#NAME?</v>
      </c>
      <c r="W49" s="52" t="e">
        <f t="shared" ca="1" si="27"/>
        <v>#NAME?</v>
      </c>
      <c r="X49" s="32" t="e">
        <f t="shared" ca="1" si="28"/>
        <v>#NAME?</v>
      </c>
      <c r="Y49" s="34" t="e">
        <f t="shared" ca="1" si="29"/>
        <v>#NAME?</v>
      </c>
      <c r="Z49" s="61">
        <f>1-((1-Risk_of_Provider_Being_Infected*Transmission_Risk_Hospital_Stay*(1-$I49)))*(1-Risk_of_Community_Member_being_Infected*Transmission_Risk_in_Community)^($H49*Contacts_During_Travel_to_Facility)</f>
        <v>8.1350570106832887E-3</v>
      </c>
      <c r="AA49" s="52">
        <f t="shared" si="31"/>
        <v>6.2368770415238582E-3</v>
      </c>
      <c r="AB49" s="32">
        <f t="shared" si="32"/>
        <v>0</v>
      </c>
      <c r="AC49" s="34">
        <f t="shared" si="33"/>
        <v>0</v>
      </c>
      <c r="AD49" s="119" t="s">
        <v>61</v>
      </c>
    </row>
    <row r="50" spans="1:30">
      <c r="A50" s="27" t="str">
        <f>IF(VLOOKUP(B50,'[1]1. Select Services'!$A$6:$E$77,5,FALSE)="x","x","")</f>
        <v>x</v>
      </c>
      <c r="B50" s="37">
        <v>36</v>
      </c>
      <c r="C50" s="37">
        <v>42</v>
      </c>
      <c r="D50" s="105"/>
      <c r="E50" s="36" t="s">
        <v>76</v>
      </c>
      <c r="F50" s="32">
        <f>IF(Chosen_Scenario="Mitigation Impact Only",VLOOKUP($B50,'[1]Coverage Review Updated'!$B$5:$T$78,18,FALSE),VLOOKUP($B50,'[1]Coverage Review Updated'!$B$5:$T$78,19,FALSE))</f>
        <v>2100</v>
      </c>
      <c r="G50" s="32">
        <f>VLOOKUP($B50,'[1]7. Number of HW Contacts'!$B$4:$I$84,6,FALSE)</f>
        <v>21</v>
      </c>
      <c r="H50" s="34">
        <f>G50*(1-HLOOKUP($B50,'[1]3. Mitigation Impact on Coverag'!$BY$5:$EQ$7,3,FALSE))</f>
        <v>21</v>
      </c>
      <c r="I50" s="59">
        <f>HLOOKUP(B50,'[1]3. Mitigation Impact on Coverag'!ES$5:HK$7,3,FALSE)</f>
        <v>0.77</v>
      </c>
      <c r="J50" s="52" t="e">
        <f ca="1">1-((1-Risk_of_Provider_Being_Infected*_xlfn.SINGLE(Transmission_Risk_Hospital_Stay))^(G50)*(1-Risk_of_Community_Member_being_Infected*Transmission_Risk_in_Community)^(G50*Contacts_During_Travel_to_Facility))</f>
        <v>#NAME?</v>
      </c>
      <c r="K50" s="52" t="e">
        <f t="shared" ca="1" si="34"/>
        <v>#NAME?</v>
      </c>
      <c r="L50" s="32" t="e">
        <f t="shared" ca="1" si="17"/>
        <v>#NAME?</v>
      </c>
      <c r="M50" s="34" t="e">
        <f t="shared" ca="1" si="18"/>
        <v>#NAME?</v>
      </c>
      <c r="N50" s="53" t="e">
        <f ca="1">1-((1-Risk_of_Provider_Being_Infected*_xlfn.SINGLE(Transmission_Risk_Hospital_Stay)*(1-Reduction_in_Risk_PPE))^(G50)*(1-Risk_of_Community_Member_being_Infected*Transmission_Risk_in_Community)^($G50*Contacts_During_Travel_to_Facility))</f>
        <v>#NAME?</v>
      </c>
      <c r="O50" s="52" t="e">
        <f t="shared" ca="1" si="19"/>
        <v>#NAME?</v>
      </c>
      <c r="P50" s="32" t="e">
        <f t="shared" ca="1" si="20"/>
        <v>#NAME?</v>
      </c>
      <c r="Q50" s="34" t="e">
        <f t="shared" ca="1" si="21"/>
        <v>#NAME?</v>
      </c>
      <c r="R50" s="53" t="e">
        <f ca="1">1-((1-Risk_of_Provider_Being_Infected*_xlfn.SINGLE(Transmission_Risk_Hospital_Stay)*(1-Reduction_in_Risk_PPE))^(G50*(1-Reduction_in_Risk_TS)))*(1-Risk_of_Community_Member_being_Infected*Transmission_Risk_in_Community)^($G50*Contacts_During_Travel_to_Facility)</f>
        <v>#NAME?</v>
      </c>
      <c r="S50" s="52" t="e">
        <f t="shared" ca="1" si="23"/>
        <v>#NAME?</v>
      </c>
      <c r="T50" s="32" t="e">
        <f t="shared" ca="1" si="24"/>
        <v>#NAME?</v>
      </c>
      <c r="U50" s="34" t="e">
        <f t="shared" ca="1" si="25"/>
        <v>#NAME?</v>
      </c>
      <c r="V50" s="53" t="e">
        <f ca="1">1-((1-Risk_of_Provider_Being_Infected*_xlfn.SINGLE(Transmission_Risk_Hospital_Stay)*(1-Reduction_in_Risk_PPE))^(H50*(1-Reduction_in_Risk_TS)))*(1-Risk_of_Community_Member_being_Infected*Transmission_Risk_in_Community)^($H50*Contacts_During_Travel_to_Facility)</f>
        <v>#NAME?</v>
      </c>
      <c r="W50" s="52" t="e">
        <f t="shared" ca="1" si="27"/>
        <v>#NAME?</v>
      </c>
      <c r="X50" s="32" t="e">
        <f t="shared" ca="1" si="28"/>
        <v>#NAME?</v>
      </c>
      <c r="Y50" s="34" t="e">
        <f t="shared" ca="1" si="29"/>
        <v>#NAME?</v>
      </c>
      <c r="Z50" s="61">
        <f>1-((1-Risk_of_Provider_Being_Infected*Transmission_Risk_Hospital_Stay*(1-$I50)))*(1-Risk_of_Community_Member_being_Infected*Transmission_Risk_in_Community)^($H50*Contacts_During_Travel_to_Facility)</f>
        <v>2.7561160424421027E-2</v>
      </c>
      <c r="AA50" s="52">
        <f t="shared" si="31"/>
        <v>2.1130222992056132E-2</v>
      </c>
      <c r="AB50" s="32">
        <f t="shared" si="32"/>
        <v>251.59756516641238</v>
      </c>
      <c r="AC50" s="34">
        <f t="shared" si="33"/>
        <v>0.49012843075396784</v>
      </c>
      <c r="AD50" s="119" t="s">
        <v>61</v>
      </c>
    </row>
    <row r="51" spans="1:30">
      <c r="A51" s="27" t="str">
        <f>IF(VLOOKUP(B51,'[1]1. Select Services'!$A$6:$E$77,5,FALSE)="x","x","")</f>
        <v>x</v>
      </c>
      <c r="B51" s="37">
        <v>37</v>
      </c>
      <c r="C51" s="37">
        <v>43</v>
      </c>
      <c r="D51" s="105"/>
      <c r="E51" s="36" t="s">
        <v>77</v>
      </c>
      <c r="F51" s="32">
        <f>IF(Chosen_Scenario="Mitigation Impact Only",VLOOKUP($B51,'[1]Coverage Review Updated'!$B$5:$T$78,18,FALSE),VLOOKUP($B51,'[1]Coverage Review Updated'!$B$5:$T$78,19,FALSE))</f>
        <v>0</v>
      </c>
      <c r="G51" s="32">
        <f>VLOOKUP($B51,'[1]7. Number of HW Contacts'!$B$4:$I$84,6,FALSE)</f>
        <v>10</v>
      </c>
      <c r="H51" s="34">
        <f>G51*(1-HLOOKUP($B51,'[1]3. Mitigation Impact on Coverag'!$BY$5:$EQ$7,3,FALSE))</f>
        <v>10</v>
      </c>
      <c r="I51" s="59">
        <f>HLOOKUP(B51,'[1]3. Mitigation Impact on Coverag'!ES$5:HK$7,3,FALSE)</f>
        <v>0.77</v>
      </c>
      <c r="J51" s="52" t="e">
        <f ca="1">1-((1-Risk_of_Provider_Being_Infected*_xlfn.SINGLE(Transmission_Risk_Hospital_Stay))^(G51)*(1-Risk_of_Community_Member_being_Infected*Transmission_Risk_in_Community)^(G51*Contacts_During_Travel_to_Facility))</f>
        <v>#NAME?</v>
      </c>
      <c r="K51" s="52" t="e">
        <f t="shared" ca="1" si="34"/>
        <v>#NAME?</v>
      </c>
      <c r="L51" s="32" t="e">
        <f t="shared" ca="1" si="17"/>
        <v>#NAME?</v>
      </c>
      <c r="M51" s="34" t="e">
        <f t="shared" ca="1" si="18"/>
        <v>#NAME?</v>
      </c>
      <c r="N51" s="53" t="e">
        <f ca="1">1-((1-Risk_of_Provider_Being_Infected*_xlfn.SINGLE(Transmission_Risk_Hospital_Stay)*(1-Reduction_in_Risk_PPE))^(G51)*(1-Risk_of_Community_Member_being_Infected*Transmission_Risk_in_Community)^($G51*Contacts_During_Travel_to_Facility))</f>
        <v>#NAME?</v>
      </c>
      <c r="O51" s="52" t="e">
        <f t="shared" ca="1" si="19"/>
        <v>#NAME?</v>
      </c>
      <c r="P51" s="32" t="e">
        <f t="shared" ca="1" si="20"/>
        <v>#NAME?</v>
      </c>
      <c r="Q51" s="34" t="e">
        <f t="shared" ca="1" si="21"/>
        <v>#NAME?</v>
      </c>
      <c r="R51" s="53" t="e">
        <f ca="1">1-((1-Risk_of_Provider_Being_Infected*_xlfn.SINGLE(Transmission_Risk_Hospital_Stay)*(1-Reduction_in_Risk_PPE))^(G51*(1-Reduction_in_Risk_TS)))*(1-Risk_of_Community_Member_being_Infected*Transmission_Risk_in_Community)^($G51*Contacts_During_Travel_to_Facility)</f>
        <v>#NAME?</v>
      </c>
      <c r="S51" s="52" t="e">
        <f t="shared" ca="1" si="23"/>
        <v>#NAME?</v>
      </c>
      <c r="T51" s="32" t="e">
        <f t="shared" ca="1" si="24"/>
        <v>#NAME?</v>
      </c>
      <c r="U51" s="34" t="e">
        <f t="shared" ca="1" si="25"/>
        <v>#NAME?</v>
      </c>
      <c r="V51" s="53" t="e">
        <f ca="1">1-((1-Risk_of_Provider_Being_Infected*_xlfn.SINGLE(Transmission_Risk_Hospital_Stay)*(1-Reduction_in_Risk_PPE))^(H51*(1-Reduction_in_Risk_TS)))*(1-Risk_of_Community_Member_being_Infected*Transmission_Risk_in_Community)^($H51*Contacts_During_Travel_to_Facility)</f>
        <v>#NAME?</v>
      </c>
      <c r="W51" s="52" t="e">
        <f t="shared" ca="1" si="27"/>
        <v>#NAME?</v>
      </c>
      <c r="X51" s="32" t="e">
        <f t="shared" ca="1" si="28"/>
        <v>#NAME?</v>
      </c>
      <c r="Y51" s="34" t="e">
        <f t="shared" ca="1" si="29"/>
        <v>#NAME?</v>
      </c>
      <c r="Z51" s="61">
        <f>1-((1-Risk_of_Provider_Being_Infected*Transmission_Risk_Hospital_Stay*(1-$I51)))*(1-Risk_of_Community_Member_being_Infected*Transmission_Risk_in_Community)^($H51*Contacts_During_Travel_to_Facility)</f>
        <v>1.3352979320798708E-2</v>
      </c>
      <c r="AA51" s="52">
        <f t="shared" si="31"/>
        <v>1.0237284145945682E-2</v>
      </c>
      <c r="AB51" s="32">
        <f t="shared" si="32"/>
        <v>0</v>
      </c>
      <c r="AC51" s="34">
        <f t="shared" si="33"/>
        <v>0</v>
      </c>
      <c r="AD51" s="119" t="s">
        <v>61</v>
      </c>
    </row>
    <row r="52" spans="1:30">
      <c r="A52" s="27" t="str">
        <f>IF(VLOOKUP(B52,'[1]1. Select Services'!$A$6:$E$77,5,FALSE)="x","x","")</f>
        <v/>
      </c>
      <c r="B52" s="37">
        <v>38</v>
      </c>
      <c r="C52" s="37">
        <v>12</v>
      </c>
      <c r="D52" s="106"/>
      <c r="E52" s="36" t="s">
        <v>78</v>
      </c>
      <c r="F52" s="32">
        <f>IF(Chosen_Scenario="Mitigation Impact Only",VLOOKUP($B52,'[1]Coverage Review Updated'!$B$5:$T$78,18,FALSE),VLOOKUP($B52,'[1]Coverage Review Updated'!$B$5:$T$78,19,FALSE))</f>
        <v>0</v>
      </c>
      <c r="G52" s="32">
        <f>VLOOKUP($B52,'[1]7. Number of HW Contacts'!$B$4:$I$84,6,FALSE)</f>
        <v>10</v>
      </c>
      <c r="H52" s="34">
        <f>G52*(1-HLOOKUP($B52,'[1]3. Mitigation Impact on Coverag'!$BY$5:$EQ$7,3,FALSE))</f>
        <v>10</v>
      </c>
      <c r="I52" s="59">
        <f>HLOOKUP(B52,'[1]3. Mitigation Impact on Coverag'!ES$5:HK$7,3,FALSE)</f>
        <v>0.77</v>
      </c>
      <c r="J52" s="52" t="e">
        <f ca="1">1-((1-Risk_of_Provider_Being_Infected*_xlfn.SINGLE(Transmission_Risk_Hospital_Stay))^(G52)*(1-Risk_of_Community_Member_being_Infected*Transmission_Risk_in_Community)^(G52*Contacts_During_Travel_to_Facility))</f>
        <v>#NAME?</v>
      </c>
      <c r="K52" s="52" t="e">
        <f t="shared" ca="1" si="34"/>
        <v>#NAME?</v>
      </c>
      <c r="L52" s="32" t="e">
        <f t="shared" ca="1" si="17"/>
        <v>#NAME?</v>
      </c>
      <c r="M52" s="34" t="e">
        <f t="shared" ca="1" si="18"/>
        <v>#NAME?</v>
      </c>
      <c r="N52" s="53" t="e">
        <f ca="1">1-((1-Risk_of_Provider_Being_Infected*_xlfn.SINGLE(Transmission_Risk_Hospital_Stay)*(1-Reduction_in_Risk_PPE))^(G52)*(1-Risk_of_Community_Member_being_Infected*Transmission_Risk_in_Community)^($G52*Contacts_During_Travel_to_Facility))</f>
        <v>#NAME?</v>
      </c>
      <c r="O52" s="52" t="e">
        <f t="shared" ca="1" si="19"/>
        <v>#NAME?</v>
      </c>
      <c r="P52" s="32" t="e">
        <f t="shared" ca="1" si="20"/>
        <v>#NAME?</v>
      </c>
      <c r="Q52" s="34" t="e">
        <f t="shared" ca="1" si="21"/>
        <v>#NAME?</v>
      </c>
      <c r="R52" s="53" t="e">
        <f ca="1">1-((1-Risk_of_Provider_Being_Infected*_xlfn.SINGLE(Transmission_Risk_Hospital_Stay)*(1-Reduction_in_Risk_PPE))^(G52*(1-Reduction_in_Risk_TS)))*(1-Risk_of_Community_Member_being_Infected*Transmission_Risk_in_Community)^($G52*Contacts_During_Travel_to_Facility)</f>
        <v>#NAME?</v>
      </c>
      <c r="S52" s="52" t="e">
        <f t="shared" ca="1" si="23"/>
        <v>#NAME?</v>
      </c>
      <c r="T52" s="32" t="e">
        <f t="shared" ca="1" si="24"/>
        <v>#NAME?</v>
      </c>
      <c r="U52" s="34" t="e">
        <f t="shared" ca="1" si="25"/>
        <v>#NAME?</v>
      </c>
      <c r="V52" s="53" t="e">
        <f ca="1">1-((1-Risk_of_Provider_Being_Infected*_xlfn.SINGLE(Transmission_Risk_Hospital_Stay)*(1-Reduction_in_Risk_PPE))^(H52*(1-Reduction_in_Risk_TS)))*(1-Risk_of_Community_Member_being_Infected*Transmission_Risk_in_Community)^($H52*Contacts_During_Travel_to_Facility)</f>
        <v>#NAME?</v>
      </c>
      <c r="W52" s="52" t="e">
        <f t="shared" ca="1" si="27"/>
        <v>#NAME?</v>
      </c>
      <c r="X52" s="32" t="e">
        <f t="shared" ca="1" si="28"/>
        <v>#NAME?</v>
      </c>
      <c r="Y52" s="34" t="e">
        <f t="shared" ca="1" si="29"/>
        <v>#NAME?</v>
      </c>
      <c r="Z52" s="61">
        <f>1-((1-Risk_of_Provider_Being_Infected*Transmission_Risk_Hospital_Stay*(1-$I52)))*(1-Risk_of_Community_Member_being_Infected*Transmission_Risk_in_Community)^($H52*Contacts_During_Travel_to_Facility)</f>
        <v>1.3352979320798708E-2</v>
      </c>
      <c r="AA52" s="52">
        <f t="shared" si="31"/>
        <v>1.0237284145945682E-2</v>
      </c>
      <c r="AB52" s="32">
        <f t="shared" si="32"/>
        <v>0</v>
      </c>
      <c r="AC52" s="34">
        <f t="shared" si="33"/>
        <v>0</v>
      </c>
      <c r="AD52" s="119" t="s">
        <v>61</v>
      </c>
    </row>
    <row r="53" spans="1:30">
      <c r="A53" s="27" t="str">
        <f>IF(VLOOKUP(B53,'[1]1. Select Services'!$A$6:$E$77,5,FALSE)="x","x","")</f>
        <v>x</v>
      </c>
      <c r="B53" s="39">
        <v>39</v>
      </c>
      <c r="C53" s="40">
        <v>29</v>
      </c>
      <c r="D53" s="107" t="s">
        <v>31</v>
      </c>
      <c r="E53" s="41" t="s">
        <v>79</v>
      </c>
      <c r="F53" s="11">
        <f>IF(Chosen_Scenario="Mitigation Impact Only",VLOOKUP($B53,'[1]Coverage Review Updated'!$B$5:$T$78,18,FALSE),VLOOKUP($B53,'[1]Coverage Review Updated'!$B$5:$T$78,19,FALSE))</f>
        <v>186800</v>
      </c>
      <c r="G53" s="11">
        <f>VLOOKUP($B53,'[1]7. Number of HW Contacts'!$B$4:$I$84,6,FALSE)</f>
        <v>2</v>
      </c>
      <c r="H53" s="12">
        <f>G53*(1-HLOOKUP($B53,'[1]3. Mitigation Impact on Coverag'!$BY$5:$EQ$7,3,FALSE))</f>
        <v>2</v>
      </c>
      <c r="I53" s="48">
        <f>HLOOKUP(B53,'[1]3. Mitigation Impact on Coverag'!ES$5:HK$7,3,FALSE)</f>
        <v>0.79</v>
      </c>
      <c r="J53" s="49" t="e">
        <f ca="1">1-((1-Risk_of_Provider_Being_Infected*_xlfn.SINGLE(Transmission_Risk_Contact_Health_Care_Provider))^(G53)*(1-Risk_of_Community_Member_being_Infected*Transmission_Risk_in_Community)^(G53*Contacts_During_Travel_to_Facility))</f>
        <v>#NAME?</v>
      </c>
      <c r="K53" s="49" t="e">
        <f t="shared" ca="1" si="34"/>
        <v>#NAME?</v>
      </c>
      <c r="L53" s="11" t="e">
        <f t="shared" ca="1" si="17"/>
        <v>#NAME?</v>
      </c>
      <c r="M53" s="12" t="e">
        <f t="shared" ca="1" si="18"/>
        <v>#NAME?</v>
      </c>
      <c r="N53" s="51" t="e">
        <f ca="1">1-((1-Risk_of_Provider_Being_Infected*_xlfn.SINGLE(Transmission_Risk_Contact_Health_Care_Provider)*(1-Reduction_in_Risk_PPE))^($G53)*(1-Risk_of_Community_Member_being_Infected*Transmission_Risk_in_Community)^($G53*Contacts_During_Travel_to_Facility))</f>
        <v>#NAME?</v>
      </c>
      <c r="O53" s="49" t="e">
        <f t="shared" ca="1" si="19"/>
        <v>#NAME?</v>
      </c>
      <c r="P53" s="11" t="e">
        <f t="shared" ca="1" si="20"/>
        <v>#NAME?</v>
      </c>
      <c r="Q53" s="12" t="e">
        <f t="shared" ca="1" si="21"/>
        <v>#NAME?</v>
      </c>
      <c r="R53" s="51" t="e">
        <f ca="1">1-((1-Risk_of_Provider_Being_Infected*_xlfn.SINGLE(Transmission_Risk_Contact_Health_Care_Provider)*(1-Reduction_in_Risk_PPE))^($G53*(1-Reduction_in_Risk_TS)))*(1-Risk_of_Community_Member_being_Infected*Transmission_Risk_in_Community)^($G53*Contacts_During_Travel_to_Facility)</f>
        <v>#NAME?</v>
      </c>
      <c r="S53" s="49" t="e">
        <f t="shared" ca="1" si="23"/>
        <v>#NAME?</v>
      </c>
      <c r="T53" s="11" t="e">
        <f t="shared" ca="1" si="24"/>
        <v>#NAME?</v>
      </c>
      <c r="U53" s="12" t="e">
        <f t="shared" ca="1" si="25"/>
        <v>#NAME?</v>
      </c>
      <c r="V53" s="51" t="e">
        <f t="shared" ref="V53:V66" ca="1" si="41">1-((1-Risk_of_Provider_Being_Infected*_xlfn.SINGLE(Transmission_Risk_Contact_Health_Care_Provider)*(1-$I53)))*(1-Risk_of_Community_Member_being_Infected*Transmission_Risk_in_Community)^($H53*Contacts_During_Travel_to_Facility)</f>
        <v>#NAME?</v>
      </c>
      <c r="W53" s="49" t="e">
        <f t="shared" ca="1" si="27"/>
        <v>#NAME?</v>
      </c>
      <c r="X53" s="11" t="e">
        <f t="shared" ca="1" si="28"/>
        <v>#NAME?</v>
      </c>
      <c r="Y53" s="12" t="e">
        <f t="shared" ca="1" si="29"/>
        <v>#NAME?</v>
      </c>
      <c r="Z53" s="51">
        <f>1-((1-Risk_of_Provider_Being_Infected*Transmission_Risk_Contact_Health_Care_Provider*(1-$I53))^($H53)*(1-Risk_of_Community_Member_being_Infected*Transmission_Risk_in_Community)^($H53*Contacts_During_Travel_to_Facility))</f>
        <v>2.7894723337534844E-3</v>
      </c>
      <c r="AA53" s="49">
        <f t="shared" si="31"/>
        <v>2.1385954558776725E-3</v>
      </c>
      <c r="AB53" s="11">
        <f t="shared" si="32"/>
        <v>2265.1062086655725</v>
      </c>
      <c r="AC53" s="12">
        <f t="shared" si="33"/>
        <v>4.4125743061544318</v>
      </c>
      <c r="AD53" s="60"/>
    </row>
    <row r="54" spans="1:30">
      <c r="A54" s="27" t="str">
        <f>IF(VLOOKUP(B54,'[1]1. Select Services'!$A$6:$E$77,5,FALSE)="x","x","")</f>
        <v>x</v>
      </c>
      <c r="B54" s="39">
        <v>40</v>
      </c>
      <c r="C54" s="40">
        <v>30</v>
      </c>
      <c r="D54" s="108"/>
      <c r="E54" s="41" t="s">
        <v>80</v>
      </c>
      <c r="F54" s="11">
        <f>IF(Chosen_Scenario="Mitigation Impact Only",VLOOKUP($B54,'[1]Coverage Review Updated'!$B$5:$T$78,18,FALSE),VLOOKUP($B54,'[1]Coverage Review Updated'!$B$5:$T$78,19,FALSE))</f>
        <v>13200</v>
      </c>
      <c r="G54" s="11">
        <f>VLOOKUP($B54,'[1]7. Number of HW Contacts'!$B$4:$I$84,6,FALSE)</f>
        <v>2</v>
      </c>
      <c r="H54" s="12">
        <f>G54*(1-HLOOKUP($B54,'[1]3. Mitigation Impact on Coverag'!$BY$5:$EQ$7,3,FALSE))</f>
        <v>2</v>
      </c>
      <c r="I54" s="48">
        <f>HLOOKUP(B54,'[1]3. Mitigation Impact on Coverag'!ES$5:HK$7,3,FALSE)</f>
        <v>0.79</v>
      </c>
      <c r="J54" s="49" t="e">
        <f ca="1">1-((1-Risk_of_Provider_Being_Infected*_xlfn.SINGLE(Transmission_Risk_Contact_Health_Care_Provider))^(G54)*(1-Risk_of_Community_Member_being_Infected*Transmission_Risk_in_Community)^(G54*Contacts_During_Travel_to_Facility))</f>
        <v>#NAME?</v>
      </c>
      <c r="K54" s="49" t="e">
        <f t="shared" ca="1" si="34"/>
        <v>#NAME?</v>
      </c>
      <c r="L54" s="11" t="e">
        <f t="shared" ca="1" si="17"/>
        <v>#NAME?</v>
      </c>
      <c r="M54" s="12" t="e">
        <f t="shared" ca="1" si="18"/>
        <v>#NAME?</v>
      </c>
      <c r="N54" s="51" t="e">
        <f ca="1">1-((1-Risk_of_Provider_Being_Infected*_xlfn.SINGLE(Transmission_Risk_Contact_Health_Care_Provider)*(1-Reduction_in_Risk_PPE))^($G54)*(1-Risk_of_Community_Member_being_Infected*Transmission_Risk_in_Community)^($G54*Contacts_During_Travel_to_Facility))</f>
        <v>#NAME?</v>
      </c>
      <c r="O54" s="49" t="e">
        <f t="shared" ca="1" si="19"/>
        <v>#NAME?</v>
      </c>
      <c r="P54" s="11" t="e">
        <f t="shared" ca="1" si="20"/>
        <v>#NAME?</v>
      </c>
      <c r="Q54" s="12" t="e">
        <f t="shared" ca="1" si="21"/>
        <v>#NAME?</v>
      </c>
      <c r="R54" s="51" t="e">
        <f ca="1">1-((1-Risk_of_Provider_Being_Infected*_xlfn.SINGLE(Transmission_Risk_Contact_Health_Care_Provider)*(1-Reduction_in_Risk_PPE))^($G54*(1-Reduction_in_Risk_TS)))*(1-Risk_of_Community_Member_being_Infected*Transmission_Risk_in_Community)^($G54*Contacts_During_Travel_to_Facility)</f>
        <v>#NAME?</v>
      </c>
      <c r="S54" s="49" t="e">
        <f t="shared" ca="1" si="23"/>
        <v>#NAME?</v>
      </c>
      <c r="T54" s="11" t="e">
        <f t="shared" ca="1" si="24"/>
        <v>#NAME?</v>
      </c>
      <c r="U54" s="12" t="e">
        <f t="shared" ca="1" si="25"/>
        <v>#NAME?</v>
      </c>
      <c r="V54" s="51" t="e">
        <f t="shared" ca="1" si="41"/>
        <v>#NAME?</v>
      </c>
      <c r="W54" s="49" t="e">
        <f t="shared" ca="1" si="27"/>
        <v>#NAME?</v>
      </c>
      <c r="X54" s="11" t="e">
        <f t="shared" ca="1" si="28"/>
        <v>#NAME?</v>
      </c>
      <c r="Y54" s="12" t="e">
        <f t="shared" ca="1" si="29"/>
        <v>#NAME?</v>
      </c>
      <c r="Z54" s="51">
        <f>1-((1-Risk_of_Provider_Being_Infected*Transmission_Risk_Contact_Health_Care_Provider*(1-$I54))^($H54)*(1-Risk_of_Community_Member_being_Infected*Transmission_Risk_in_Community)^($H54*Contacts_During_Travel_to_Facility))</f>
        <v>2.7894723337534844E-3</v>
      </c>
      <c r="AA54" s="49">
        <f t="shared" si="31"/>
        <v>2.1385954558776725E-3</v>
      </c>
      <c r="AB54" s="11">
        <f t="shared" si="32"/>
        <v>160.06103829970854</v>
      </c>
      <c r="AC54" s="12">
        <f t="shared" si="33"/>
        <v>0.31180931927857869</v>
      </c>
      <c r="AD54" s="60"/>
    </row>
    <row r="55" spans="1:30">
      <c r="A55" s="27" t="str">
        <f>IF(VLOOKUP(B55,'[1]1. Select Services'!$A$6:$E$77,5,FALSE)="x","x","")</f>
        <v>x</v>
      </c>
      <c r="B55" s="39">
        <v>41</v>
      </c>
      <c r="C55" s="40">
        <v>31</v>
      </c>
      <c r="D55" s="108"/>
      <c r="E55" s="41" t="s">
        <v>81</v>
      </c>
      <c r="F55" s="11">
        <f>IF(Chosen_Scenario="Mitigation Impact Only",VLOOKUP($B55,'[1]Coverage Review Updated'!$B$5:$T$78,18,FALSE),VLOOKUP($B55,'[1]Coverage Review Updated'!$B$5:$T$78,19,FALSE))</f>
        <v>194600</v>
      </c>
      <c r="G55" s="11">
        <f>VLOOKUP($B55,'[1]7. Number of HW Contacts'!$B$4:$I$84,6,FALSE)</f>
        <v>1</v>
      </c>
      <c r="H55" s="12">
        <f>G55*(1-HLOOKUP($B55,'[1]3. Mitigation Impact on Coverag'!$BY$5:$EQ$7,3,FALSE))</f>
        <v>1</v>
      </c>
      <c r="I55" s="48">
        <f>HLOOKUP(B55,'[1]3. Mitigation Impact on Coverag'!ES$5:HK$7,3,FALSE)</f>
        <v>0.79</v>
      </c>
      <c r="J55" s="49" t="e">
        <f ca="1">1-((1-Risk_of_Provider_Being_Infected*_xlfn.SINGLE(Transmission_Risk_Contact_Health_Care_Provider))^(G55)*(1-Risk_of_Community_Member_being_Infected*Transmission_Risk_in_Community)^(G55*Contacts_During_Travel_to_Facility))</f>
        <v>#NAME?</v>
      </c>
      <c r="K55" s="49" t="e">
        <f t="shared" ca="1" si="34"/>
        <v>#NAME?</v>
      </c>
      <c r="L55" s="11" t="e">
        <f t="shared" ca="1" si="17"/>
        <v>#NAME?</v>
      </c>
      <c r="M55" s="12" t="e">
        <f t="shared" ca="1" si="18"/>
        <v>#NAME?</v>
      </c>
      <c r="N55" s="51" t="e">
        <f ca="1">1-((1-Risk_of_Provider_Being_Infected*_xlfn.SINGLE(Transmission_Risk_Contact_Health_Care_Provider)*(1-Reduction_in_Risk_PPE))^($G55)*(1-Risk_of_Community_Member_being_Infected*Transmission_Risk_in_Community)^($G55*Contacts_During_Travel_to_Facility))</f>
        <v>#NAME?</v>
      </c>
      <c r="O55" s="49" t="e">
        <f t="shared" ca="1" si="19"/>
        <v>#NAME?</v>
      </c>
      <c r="P55" s="11" t="e">
        <f t="shared" ca="1" si="20"/>
        <v>#NAME?</v>
      </c>
      <c r="Q55" s="12" t="e">
        <f t="shared" ca="1" si="21"/>
        <v>#NAME?</v>
      </c>
      <c r="R55" s="51" t="e">
        <f ca="1">1-((1-Risk_of_Provider_Being_Infected*_xlfn.SINGLE(Transmission_Risk_Contact_Health_Care_Provider)*(1-Reduction_in_Risk_PPE))^($G55*(1-Reduction_in_Risk_TS)))*(1-Risk_of_Community_Member_being_Infected*Transmission_Risk_in_Community)^($G55*Contacts_During_Travel_to_Facility)</f>
        <v>#NAME?</v>
      </c>
      <c r="S55" s="49" t="e">
        <f t="shared" ca="1" si="23"/>
        <v>#NAME?</v>
      </c>
      <c r="T55" s="11" t="e">
        <f t="shared" ca="1" si="24"/>
        <v>#NAME?</v>
      </c>
      <c r="U55" s="12" t="e">
        <f t="shared" ca="1" si="25"/>
        <v>#NAME?</v>
      </c>
      <c r="V55" s="51" t="e">
        <f t="shared" ca="1" si="41"/>
        <v>#NAME?</v>
      </c>
      <c r="W55" s="49" t="e">
        <f t="shared" ca="1" si="27"/>
        <v>#NAME?</v>
      </c>
      <c r="X55" s="11" t="e">
        <f t="shared" ca="1" si="28"/>
        <v>#NAME?</v>
      </c>
      <c r="Y55" s="12" t="e">
        <f t="shared" ca="1" si="29"/>
        <v>#NAME?</v>
      </c>
      <c r="Z55" s="51">
        <f>1-((1-Risk_of_Provider_Being_Infected*Transmission_Risk_Contact_Health_Care_Provider*(1-$I55))^($H55)*(1-Risk_of_Community_Member_being_Infected*Transmission_Risk_in_Community)^($H55*Contacts_During_Travel_to_Facility))</f>
        <v>1.3957101703164776E-3</v>
      </c>
      <c r="AA55" s="49">
        <f t="shared" si="31"/>
        <v>1.0700444639093001E-3</v>
      </c>
      <c r="AB55" s="11">
        <f t="shared" si="32"/>
        <v>1180.6678006771715</v>
      </c>
      <c r="AC55" s="12">
        <f t="shared" si="33"/>
        <v>2.3000177128299675</v>
      </c>
      <c r="AD55" s="60"/>
    </row>
    <row r="56" spans="1:30">
      <c r="A56" s="27" t="str">
        <f>IF(VLOOKUP(B56,'[1]1. Select Services'!$A$6:$E$77,5,FALSE)="x","x","")</f>
        <v>x</v>
      </c>
      <c r="B56" s="39">
        <v>42</v>
      </c>
      <c r="C56" s="40">
        <v>37</v>
      </c>
      <c r="D56" s="108"/>
      <c r="E56" s="41" t="s">
        <v>82</v>
      </c>
      <c r="F56" s="11">
        <f>IF(Chosen_Scenario="Mitigation Impact Only",VLOOKUP($B56,'[1]Coverage Review Updated'!$B$5:$T$78,18,FALSE),VLOOKUP($B56,'[1]Coverage Review Updated'!$B$5:$T$78,19,FALSE))</f>
        <v>5700</v>
      </c>
      <c r="G56" s="11">
        <f>VLOOKUP($B56,'[1]7. Number of HW Contacts'!$B$4:$I$84,6,FALSE)</f>
        <v>0</v>
      </c>
      <c r="H56" s="12">
        <f>G56*(1-HLOOKUP($B56,'[1]3. Mitigation Impact on Coverag'!$BY$5:$EQ$7,3,FALSE))</f>
        <v>0</v>
      </c>
      <c r="I56" s="48">
        <f>HLOOKUP(B56,'[1]3. Mitigation Impact on Coverag'!ES$5:HK$7,3,FALSE)</f>
        <v>0.79</v>
      </c>
      <c r="J56" s="49" t="e">
        <f ca="1">1-((1-Risk_of_Provider_Being_Infected*_xlfn.SINGLE(Transmission_Risk_Contact_Health_Care_Provider))^(G56)*(1-Risk_of_Community_Member_being_Infected*Transmission_Risk_in_Community)^(G56*Contacts_During_Travel_to_Facility))</f>
        <v>#NAME?</v>
      </c>
      <c r="K56" s="49" t="e">
        <f t="shared" ca="1" si="34"/>
        <v>#NAME?</v>
      </c>
      <c r="L56" s="11" t="e">
        <f t="shared" ca="1" si="17"/>
        <v>#NAME?</v>
      </c>
      <c r="M56" s="12" t="e">
        <f t="shared" ca="1" si="18"/>
        <v>#NAME?</v>
      </c>
      <c r="N56" s="51" t="e">
        <f ca="1">1-((1-Risk_of_Provider_Being_Infected*_xlfn.SINGLE(Transmission_Risk_Contact_Health_Care_Provider)*(1-Reduction_in_Risk_PPE))^($G56)*(1-Risk_of_Community_Member_being_Infected*Transmission_Risk_in_Community)^($G56*Contacts_During_Travel_to_Facility))</f>
        <v>#NAME?</v>
      </c>
      <c r="O56" s="49" t="e">
        <f t="shared" ca="1" si="19"/>
        <v>#NAME?</v>
      </c>
      <c r="P56" s="11" t="e">
        <f t="shared" ca="1" si="20"/>
        <v>#NAME?</v>
      </c>
      <c r="Q56" s="12" t="e">
        <f t="shared" ca="1" si="21"/>
        <v>#NAME?</v>
      </c>
      <c r="R56" s="51" t="e">
        <f ca="1">1-((1-Risk_of_Provider_Being_Infected*_xlfn.SINGLE(Transmission_Risk_Contact_Health_Care_Provider)*(1-Reduction_in_Risk_PPE))^($G56*(1-Reduction_in_Risk_TS)))*(1-Risk_of_Community_Member_being_Infected*Transmission_Risk_in_Community)^($G56*Contacts_During_Travel_to_Facility)</f>
        <v>#NAME?</v>
      </c>
      <c r="S56" s="49" t="e">
        <f t="shared" ca="1" si="23"/>
        <v>#NAME?</v>
      </c>
      <c r="T56" s="11" t="e">
        <f t="shared" ca="1" si="24"/>
        <v>#NAME?</v>
      </c>
      <c r="U56" s="12" t="e">
        <f t="shared" ca="1" si="25"/>
        <v>#NAME?</v>
      </c>
      <c r="V56" s="51" t="e">
        <f t="shared" ca="1" si="41"/>
        <v>#NAME?</v>
      </c>
      <c r="W56" s="49" t="e">
        <f t="shared" ca="1" si="27"/>
        <v>#NAME?</v>
      </c>
      <c r="X56" s="11" t="e">
        <f t="shared" ca="1" si="28"/>
        <v>#NAME?</v>
      </c>
      <c r="Y56" s="12" t="e">
        <f t="shared" ca="1" si="29"/>
        <v>#NAME?</v>
      </c>
      <c r="Z56" s="51">
        <f>1-((1-Risk_of_Provider_Being_Infected*Transmission_Risk_Contact_Health_Care_Provider*(1-$I56))^($H56)*(1-Risk_of_Community_Member_being_Infected*Transmission_Risk_in_Community)^($H56*Contacts_During_Travel_to_Facility))</f>
        <v>0</v>
      </c>
      <c r="AA56" s="49">
        <f t="shared" si="31"/>
        <v>0</v>
      </c>
      <c r="AB56" s="11">
        <f t="shared" si="32"/>
        <v>0</v>
      </c>
      <c r="AC56" s="12">
        <f t="shared" si="33"/>
        <v>0</v>
      </c>
      <c r="AD56" s="60"/>
    </row>
    <row r="57" spans="1:30">
      <c r="A57" s="27"/>
      <c r="B57" s="39" t="s">
        <v>83</v>
      </c>
      <c r="C57" s="42" t="s">
        <v>84</v>
      </c>
      <c r="D57" s="108"/>
      <c r="E57" s="43" t="s">
        <v>85</v>
      </c>
      <c r="F57" s="11"/>
      <c r="G57" s="11"/>
      <c r="H57" s="12"/>
      <c r="I57" s="48"/>
      <c r="J57" s="49"/>
      <c r="K57" s="49"/>
      <c r="L57" s="11"/>
      <c r="M57" s="12"/>
      <c r="N57" s="51"/>
      <c r="O57" s="49"/>
      <c r="P57" s="11"/>
      <c r="Q57" s="12"/>
      <c r="R57" s="51"/>
      <c r="S57" s="49"/>
      <c r="T57" s="11"/>
      <c r="U57" s="12"/>
      <c r="V57" s="51" t="e">
        <f t="shared" ca="1" si="41"/>
        <v>#NAME?</v>
      </c>
      <c r="W57" s="49"/>
      <c r="X57" s="11"/>
      <c r="Y57" s="12"/>
      <c r="Z57" s="51"/>
      <c r="AA57" s="49"/>
      <c r="AB57" s="11"/>
      <c r="AC57" s="12"/>
      <c r="AD57" s="60"/>
    </row>
    <row r="58" spans="1:30">
      <c r="A58" s="27" t="str">
        <f>IF(VLOOKUP(B58,'[1]1. Select Services'!$A$6:$E$77,5,FALSE)="x","x","")</f>
        <v>x</v>
      </c>
      <c r="B58" s="39">
        <v>43</v>
      </c>
      <c r="C58" s="39">
        <v>66</v>
      </c>
      <c r="D58" s="108"/>
      <c r="E58" s="44" t="s">
        <v>86</v>
      </c>
      <c r="F58" s="11">
        <f>IF(Chosen_Scenario="Mitigation Impact Only",VLOOKUP($B58,'[1]Coverage Review Updated'!$B$5:$T$78,18,FALSE),VLOOKUP($B58,'[1]Coverage Review Updated'!$B$5:$T$78,19,FALSE))</f>
        <v>0</v>
      </c>
      <c r="G58" s="11">
        <f>VLOOKUP($B58,'[1]7. Number of HW Contacts'!$B$4:$I$84,6,FALSE)</f>
        <v>1</v>
      </c>
      <c r="H58" s="12">
        <f>G58*(1-HLOOKUP($B58,'[1]3. Mitigation Impact on Coverag'!$BY$5:$EQ$7,3,FALSE))</f>
        <v>1</v>
      </c>
      <c r="I58" s="48">
        <f>HLOOKUP(B58,'[1]3. Mitigation Impact on Coverag'!ES$5:HK$7,3,FALSE)</f>
        <v>0.79</v>
      </c>
      <c r="J58" s="49" t="e">
        <f ca="1">1-((1-Risk_of_Provider_Being_Infected*_xlfn.SINGLE(Transmission_Risk_Contact_Health_Care_Provider))^(G58)*(1-Risk_of_Community_Member_being_Infected*Transmission_Risk_in_Community)^(G58*Contacts_During_Travel_to_Facility))</f>
        <v>#NAME?</v>
      </c>
      <c r="K58" s="49" t="e">
        <f ca="1">J58*(1-(Percent_Prevalence_at_End_of_Projection_Period-Percent_Prevalence_at_Beginning_of_Projection_Period))</f>
        <v>#NAME?</v>
      </c>
      <c r="L58" s="11" t="e">
        <f ca="1">$F58*$K58*HH_Size</f>
        <v>#NAME?</v>
      </c>
      <c r="M58" s="12" t="e">
        <f ca="1">$F58*$J58*(HH_Children*Fatality_Rate_Child+HH_Adults*Fatality_Rate_Adult+HH_Over_60*Fatality_Rate_Over_60)</f>
        <v>#NAME?</v>
      </c>
      <c r="N58" s="51" t="e">
        <f ca="1">1-((1-Risk_of_Provider_Being_Infected*_xlfn.SINGLE(Transmission_Risk_Contact_Health_Care_Provider)*(1-Reduction_in_Risk_PPE))^($G58)*(1-Risk_of_Community_Member_being_Infected*Transmission_Risk_in_Community)^($G58*Contacts_During_Travel_to_Facility))</f>
        <v>#NAME?</v>
      </c>
      <c r="O58" s="49" t="e">
        <f ca="1">N58*(1-(Percent_Prevalence_at_End_of_Projection_Period-Percent_Prevalence_at_Beginning_of_Projection_Period))</f>
        <v>#NAME?</v>
      </c>
      <c r="P58" s="11" t="e">
        <f ca="1">$F58*$O58*HH_Size</f>
        <v>#NAME?</v>
      </c>
      <c r="Q58" s="12" t="e">
        <f ca="1">$F58*$O58*(HH_Children*Fatality_Rate_Child+HH_Adults*Fatality_Rate_Adult+HH_Over_60*Fatality_Rate_Over_60)</f>
        <v>#NAME?</v>
      </c>
      <c r="R58" s="51" t="e">
        <f ca="1">1-((1-Risk_of_Provider_Being_Infected*_xlfn.SINGLE(Transmission_Risk_Contact_Health_Care_Provider)*(1-Reduction_in_Risk_PPE))^($G58*(1-Reduction_in_Risk_TS)))*(1-Risk_of_Community_Member_being_Infected*Transmission_Risk_in_Community)^($G58*Contacts_During_Travel_to_Facility)</f>
        <v>#NAME?</v>
      </c>
      <c r="S58" s="49" t="e">
        <f ca="1">R58*(1-(Percent_Prevalence_at_End_of_Projection_Period-Percent_Prevalence_at_Beginning_of_Projection_Period))</f>
        <v>#NAME?</v>
      </c>
      <c r="T58" s="11" t="e">
        <f ca="1">$F58*$S58*HH_Size</f>
        <v>#NAME?</v>
      </c>
      <c r="U58" s="12" t="e">
        <f ca="1">$F58*$S58*(HH_Children*Fatality_Rate_Child+HH_Adults*Fatality_Rate_Adult+HH_Over_60*Fatality_Rate_Over_60)</f>
        <v>#NAME?</v>
      </c>
      <c r="V58" s="51" t="e">
        <f t="shared" ca="1" si="41"/>
        <v>#NAME?</v>
      </c>
      <c r="W58" s="49" t="e">
        <f ca="1">V58*(1-(Percent_Prevalence_at_End_of_Projection_Period-Percent_Prevalence_at_Beginning_of_Projection_Period))</f>
        <v>#NAME?</v>
      </c>
      <c r="X58" s="11" t="e">
        <f ca="1">$F58*$W58*HH_Size</f>
        <v>#NAME?</v>
      </c>
      <c r="Y58" s="12" t="e">
        <f ca="1">$F58*$W58*(HH_Children*Fatality_Rate_Child+HH_Adults*Fatality_Rate_Adult+HH_Over_60*Fatality_Rate_Over_60)</f>
        <v>#NAME?</v>
      </c>
      <c r="Z58" s="51">
        <f>1-((1-Risk_of_Provider_Being_Infected*Transmission_Risk_Contact_Health_Care_Provider*(1-$I58))^($H58)*(1-Risk_of_Community_Member_being_Infected*Transmission_Risk_in_Community)^($H58*Contacts_During_Travel_to_Facility))</f>
        <v>1.3957101703164776E-3</v>
      </c>
      <c r="AA58" s="49">
        <f>Z58*(1-(Percent_Prevalence_at_End_of_Projection_Period-Percent_Prevalence_at_Beginning_of_Projection_Period))</f>
        <v>1.0700444639093001E-3</v>
      </c>
      <c r="AB58" s="11">
        <f>$F58*$AA58*HH_Size*Infection_Rate_within_HH</f>
        <v>0</v>
      </c>
      <c r="AC58" s="12">
        <f>$F58*$AA58*Infection_Rate_within_HH*(HH_Children*Fatality_Rate_Child+HH_Adults*Fatality_Rate_Adult+HH_Over_60*Fatality_Rate_Over_60)</f>
        <v>0</v>
      </c>
      <c r="AD58" s="60"/>
    </row>
    <row r="59" spans="1:30">
      <c r="A59" s="27" t="str">
        <f>IF(VLOOKUP(B59,'[1]1. Select Services'!$A$6:$E$77,5,FALSE)="x","x","")</f>
        <v/>
      </c>
      <c r="B59" s="39">
        <v>44</v>
      </c>
      <c r="C59" s="39">
        <v>67</v>
      </c>
      <c r="D59" s="108"/>
      <c r="E59" s="44" t="s">
        <v>87</v>
      </c>
      <c r="F59" s="11">
        <f>IF(Chosen_Scenario="Mitigation Impact Only",VLOOKUP($B59,'[1]Coverage Review Updated'!$B$5:$T$78,18,FALSE),VLOOKUP($B59,'[1]Coverage Review Updated'!$B$5:$T$78,19,FALSE))</f>
        <v>0</v>
      </c>
      <c r="G59" s="11">
        <f>VLOOKUP($B59,'[1]7. Number of HW Contacts'!$B$4:$I$84,6,FALSE)</f>
        <v>28</v>
      </c>
      <c r="H59" s="12">
        <f>G59*(1-HLOOKUP($B59,'[1]3. Mitigation Impact on Coverag'!$BY$5:$EQ$7,3,FALSE))</f>
        <v>28</v>
      </c>
      <c r="I59" s="48">
        <f>HLOOKUP(B59,'[1]3. Mitigation Impact on Coverag'!ES$5:HK$7,3,FALSE)</f>
        <v>0.79</v>
      </c>
      <c r="J59" s="49" t="e">
        <f ca="1">1-((1-Risk_of_Provider_Being_Infected*_xlfn.SINGLE(Transmission_Risk_Contact_Health_Care_Provider))^(G59)*(1-Risk_of_Community_Member_being_Infected*Transmission_Risk_in_Community)^(G59*Contacts_During_Travel_to_Facility))</f>
        <v>#NAME?</v>
      </c>
      <c r="K59" s="49" t="e">
        <f ca="1">J59*(1-(Percent_Prevalence_at_End_of_Projection_Period-Percent_Prevalence_at_Beginning_of_Projection_Period))</f>
        <v>#NAME?</v>
      </c>
      <c r="L59" s="11" t="e">
        <f ca="1">$F59*$K59*HH_Size</f>
        <v>#NAME?</v>
      </c>
      <c r="M59" s="12" t="e">
        <f ca="1">$F59*$J59*(HH_Children*Fatality_Rate_Child+HH_Adults*Fatality_Rate_Adult+HH_Over_60*Fatality_Rate_Over_60)</f>
        <v>#NAME?</v>
      </c>
      <c r="N59" s="51" t="e">
        <f ca="1">1-((1-Risk_of_Provider_Being_Infected*_xlfn.SINGLE(Transmission_Risk_Contact_Health_Care_Provider)*(1-Reduction_in_Risk_PPE))^($G59)*(1-Risk_of_Community_Member_being_Infected*Transmission_Risk_in_Community)^($G59*Contacts_During_Travel_to_Facility))</f>
        <v>#NAME?</v>
      </c>
      <c r="O59" s="49" t="e">
        <f ca="1">N59*(1-(Percent_Prevalence_at_End_of_Projection_Period-Percent_Prevalence_at_Beginning_of_Projection_Period))</f>
        <v>#NAME?</v>
      </c>
      <c r="P59" s="11" t="e">
        <f ca="1">$F59*$O59*HH_Size</f>
        <v>#NAME?</v>
      </c>
      <c r="Q59" s="12" t="e">
        <f ca="1">$F59*$O59*(HH_Children*Fatality_Rate_Child+HH_Adults*Fatality_Rate_Adult+HH_Over_60*Fatality_Rate_Over_60)</f>
        <v>#NAME?</v>
      </c>
      <c r="R59" s="51" t="e">
        <f ca="1">1-((1-Risk_of_Provider_Being_Infected*_xlfn.SINGLE(Transmission_Risk_Contact_Health_Care_Provider)*(1-Reduction_in_Risk_PPE))^($G59*(1-Reduction_in_Risk_TS)))*(1-Risk_of_Community_Member_being_Infected*Transmission_Risk_in_Community)^($G59*Contacts_During_Travel_to_Facility)</f>
        <v>#NAME?</v>
      </c>
      <c r="S59" s="49" t="e">
        <f ca="1">R59*(1-(Percent_Prevalence_at_End_of_Projection_Period-Percent_Prevalence_at_Beginning_of_Projection_Period))</f>
        <v>#NAME?</v>
      </c>
      <c r="T59" s="11" t="e">
        <f ca="1">$F59*$S59*HH_Size</f>
        <v>#NAME?</v>
      </c>
      <c r="U59" s="12" t="e">
        <f ca="1">$F59*$S59*(HH_Children*Fatality_Rate_Child+HH_Adults*Fatality_Rate_Adult+HH_Over_60*Fatality_Rate_Over_60)</f>
        <v>#NAME?</v>
      </c>
      <c r="V59" s="51" t="e">
        <f t="shared" ca="1" si="41"/>
        <v>#NAME?</v>
      </c>
      <c r="W59" s="49" t="e">
        <f ca="1">V59*(1-(Percent_Prevalence_at_End_of_Projection_Period-Percent_Prevalence_at_Beginning_of_Projection_Period))</f>
        <v>#NAME?</v>
      </c>
      <c r="X59" s="11" t="e">
        <f ca="1">$F59*$W59*HH_Size</f>
        <v>#NAME?</v>
      </c>
      <c r="Y59" s="12" t="e">
        <f ca="1">$F59*$W59*(HH_Children*Fatality_Rate_Child+HH_Adults*Fatality_Rate_Adult+HH_Over_60*Fatality_Rate_Over_60)</f>
        <v>#NAME?</v>
      </c>
      <c r="Z59" s="51">
        <f>1-((1-Risk_of_Provider_Being_Infected*Transmission_Risk_Contact_Health_Care_Provider*(1-$I59))^($H59)*(1-Risk_of_Community_Member_being_Infected*Transmission_Risk_in_Community)^($H59*Contacts_During_Travel_to_Facility))</f>
        <v>3.8352367951513644E-2</v>
      </c>
      <c r="AA59" s="49">
        <f>Z59*(1-(Percent_Prevalence_at_End_of_Projection_Period-Percent_Prevalence_at_Beginning_of_Projection_Period))</f>
        <v>2.9403482096160474E-2</v>
      </c>
      <c r="AB59" s="11">
        <f>$F59*$AA59*HH_Size*Infection_Rate_within_HH</f>
        <v>0</v>
      </c>
      <c r="AC59" s="12">
        <f>$F59*$AA59*Infection_Rate_within_HH*(HH_Children*Fatality_Rate_Child+HH_Adults*Fatality_Rate_Adult+HH_Over_60*Fatality_Rate_Over_60)</f>
        <v>0</v>
      </c>
      <c r="AD59" s="60"/>
    </row>
    <row r="60" spans="1:30">
      <c r="A60" s="27"/>
      <c r="B60" s="39" t="s">
        <v>88</v>
      </c>
      <c r="C60" s="42" t="s">
        <v>89</v>
      </c>
      <c r="D60" s="108"/>
      <c r="E60" s="43" t="s">
        <v>90</v>
      </c>
      <c r="F60" s="11"/>
      <c r="G60" s="11"/>
      <c r="H60" s="12"/>
      <c r="I60" s="48"/>
      <c r="J60" s="49"/>
      <c r="K60" s="49"/>
      <c r="L60" s="11"/>
      <c r="M60" s="12"/>
      <c r="N60" s="51"/>
      <c r="O60" s="49"/>
      <c r="P60" s="11"/>
      <c r="Q60" s="12"/>
      <c r="R60" s="51"/>
      <c r="S60" s="49"/>
      <c r="T60" s="11"/>
      <c r="U60" s="12"/>
      <c r="V60" s="51" t="e">
        <f t="shared" ca="1" si="41"/>
        <v>#NAME?</v>
      </c>
      <c r="W60" s="49"/>
      <c r="X60" s="11"/>
      <c r="Y60" s="12"/>
      <c r="Z60" s="51"/>
      <c r="AA60" s="49"/>
      <c r="AB60" s="11"/>
      <c r="AC60" s="12"/>
      <c r="AD60" s="60"/>
    </row>
    <row r="61" spans="1:30">
      <c r="A61" s="27" t="str">
        <f>IF(VLOOKUP(B61,'[1]1. Select Services'!$A$6:$E$77,5,FALSE)="x","x","")</f>
        <v>x</v>
      </c>
      <c r="B61" s="39">
        <v>45</v>
      </c>
      <c r="C61" s="39">
        <v>68</v>
      </c>
      <c r="D61" s="108"/>
      <c r="E61" s="44" t="s">
        <v>91</v>
      </c>
      <c r="F61" s="11">
        <f>IF(Chosen_Scenario="Mitigation Impact Only",VLOOKUP($B61,'[1]Coverage Review Updated'!$B$5:$T$78,18,FALSE),VLOOKUP($B61,'[1]Coverage Review Updated'!$B$5:$T$78,19,FALSE))</f>
        <v>0</v>
      </c>
      <c r="G61" s="11">
        <f>VLOOKUP($B61,'[1]7. Number of HW Contacts'!$B$4:$I$84,6,FALSE)</f>
        <v>1</v>
      </c>
      <c r="H61" s="12">
        <f>G61*(1-HLOOKUP($B61,'[1]3. Mitigation Impact on Coverag'!$BY$5:$EQ$7,3,FALSE))</f>
        <v>1</v>
      </c>
      <c r="I61" s="48">
        <f>HLOOKUP(B61,'[1]3. Mitigation Impact on Coverag'!ES$5:HK$7,3,FALSE)</f>
        <v>0.79</v>
      </c>
      <c r="J61" s="49" t="e">
        <f t="shared" ref="J61:J66" ca="1" si="42">1-((1-Risk_of_Provider_Being_Infected*_xlfn.SINGLE(Transmission_Risk_Contact_Health_Care_Provider))^(G61)*(1-Risk_of_Community_Member_being_Infected*Transmission_Risk_in_Community)^(G61*Contacts_During_Travel_to_Facility))</f>
        <v>#NAME?</v>
      </c>
      <c r="K61" s="49" t="e">
        <f t="shared" ref="K61:K68" ca="1" si="43">J61*(1-(Percent_Prevalence_at_End_of_Projection_Period-Percent_Prevalence_at_Beginning_of_Projection_Period))</f>
        <v>#NAME?</v>
      </c>
      <c r="L61" s="11" t="e">
        <f t="shared" ref="L61:L68" ca="1" si="44">$F61*$K61*HH_Size</f>
        <v>#NAME?</v>
      </c>
      <c r="M61" s="12" t="e">
        <f t="shared" ref="M61:M68" ca="1" si="45">$F61*$J61*(HH_Children*Fatality_Rate_Child+HH_Adults*Fatality_Rate_Adult+HH_Over_60*Fatality_Rate_Over_60)</f>
        <v>#NAME?</v>
      </c>
      <c r="N61" s="51" t="e">
        <f t="shared" ref="N61:N66" ca="1" si="46">1-((1-Risk_of_Provider_Being_Infected*_xlfn.SINGLE(Transmission_Risk_Contact_Health_Care_Provider)*(1-Reduction_in_Risk_PPE))^($G61)*(1-Risk_of_Community_Member_being_Infected*Transmission_Risk_in_Community)^($G61*Contacts_During_Travel_to_Facility))</f>
        <v>#NAME?</v>
      </c>
      <c r="O61" s="49" t="e">
        <f t="shared" ref="O61:O68" ca="1" si="47">N61*(1-(Percent_Prevalence_at_End_of_Projection_Period-Percent_Prevalence_at_Beginning_of_Projection_Period))</f>
        <v>#NAME?</v>
      </c>
      <c r="P61" s="11" t="e">
        <f t="shared" ref="P61:P68" ca="1" si="48">$F61*$O61*HH_Size</f>
        <v>#NAME?</v>
      </c>
      <c r="Q61" s="12" t="e">
        <f t="shared" ref="Q61:Q68" ca="1" si="49">$F61*$O61*(HH_Children*Fatality_Rate_Child+HH_Adults*Fatality_Rate_Adult+HH_Over_60*Fatality_Rate_Over_60)</f>
        <v>#NAME?</v>
      </c>
      <c r="R61" s="51" t="e">
        <f t="shared" ref="R61:R66" ca="1" si="50">1-((1-Risk_of_Provider_Being_Infected*_xlfn.SINGLE(Transmission_Risk_Contact_Health_Care_Provider)*(1-Reduction_in_Risk_PPE))^($G61*(1-Reduction_in_Risk_TS)))*(1-Risk_of_Community_Member_being_Infected*Transmission_Risk_in_Community)^($G61*Contacts_During_Travel_to_Facility)</f>
        <v>#NAME?</v>
      </c>
      <c r="S61" s="49" t="e">
        <f t="shared" ref="S61:S68" ca="1" si="51">R61*(1-(Percent_Prevalence_at_End_of_Projection_Period-Percent_Prevalence_at_Beginning_of_Projection_Period))</f>
        <v>#NAME?</v>
      </c>
      <c r="T61" s="11" t="e">
        <f t="shared" ref="T61:T68" ca="1" si="52">$F61*$S61*HH_Size</f>
        <v>#NAME?</v>
      </c>
      <c r="U61" s="12" t="e">
        <f t="shared" ref="U61:U68" ca="1" si="53">$F61*$S61*(HH_Children*Fatality_Rate_Child+HH_Adults*Fatality_Rate_Adult+HH_Over_60*Fatality_Rate_Over_60)</f>
        <v>#NAME?</v>
      </c>
      <c r="V61" s="51" t="e">
        <f t="shared" ca="1" si="41"/>
        <v>#NAME?</v>
      </c>
      <c r="W61" s="49" t="e">
        <f t="shared" ref="W61:W68" ca="1" si="54">V61*(1-(Percent_Prevalence_at_End_of_Projection_Period-Percent_Prevalence_at_Beginning_of_Projection_Period))</f>
        <v>#NAME?</v>
      </c>
      <c r="X61" s="11" t="e">
        <f t="shared" ref="X61:X68" ca="1" si="55">$F61*$W61*HH_Size</f>
        <v>#NAME?</v>
      </c>
      <c r="Y61" s="12" t="e">
        <f t="shared" ref="Y61:Y68" ca="1" si="56">$F61*$W61*(HH_Children*Fatality_Rate_Child+HH_Adults*Fatality_Rate_Adult+HH_Over_60*Fatality_Rate_Over_60)</f>
        <v>#NAME?</v>
      </c>
      <c r="Z61" s="51">
        <f t="shared" ref="Z61:Z66" si="57">1-((1-Risk_of_Provider_Being_Infected*Transmission_Risk_Contact_Health_Care_Provider*(1-$I61))^($H61)*(1-Risk_of_Community_Member_being_Infected*Transmission_Risk_in_Community)^($H61*Contacts_During_Travel_to_Facility))</f>
        <v>1.3957101703164776E-3</v>
      </c>
      <c r="AA61" s="49">
        <f t="shared" ref="AA61:AA68" si="58">Z61*(1-(Percent_Prevalence_at_End_of_Projection_Period-Percent_Prevalence_at_Beginning_of_Projection_Period))</f>
        <v>1.0700444639093001E-3</v>
      </c>
      <c r="AB61" s="11">
        <f t="shared" ref="AB61:AB68" si="59">$F61*$AA61*HH_Size*Infection_Rate_within_HH</f>
        <v>0</v>
      </c>
      <c r="AC61" s="12">
        <f t="shared" ref="AC61:AC68" si="60">$F61*$AA61*Infection_Rate_within_HH*(HH_Children*Fatality_Rate_Child+HH_Adults*Fatality_Rate_Adult+HH_Over_60*Fatality_Rate_Over_60)</f>
        <v>0</v>
      </c>
      <c r="AD61" s="60"/>
    </row>
    <row r="62" spans="1:30">
      <c r="A62" s="27" t="str">
        <f>IF(VLOOKUP(B62,'[1]1. Select Services'!$A$6:$E$77,5,FALSE)="x","x","")</f>
        <v>x</v>
      </c>
      <c r="B62" s="39">
        <v>46</v>
      </c>
      <c r="C62" s="39">
        <v>69</v>
      </c>
      <c r="D62" s="108"/>
      <c r="E62" s="44" t="s">
        <v>92</v>
      </c>
      <c r="F62" s="11">
        <f>IF(Chosen_Scenario="Mitigation Impact Only",VLOOKUP($B62,'[1]Coverage Review Updated'!$B$5:$T$78,18,FALSE),VLOOKUP($B62,'[1]Coverage Review Updated'!$B$5:$T$78,19,FALSE))</f>
        <v>32200</v>
      </c>
      <c r="G62" s="11">
        <f>VLOOKUP($B62,'[1]7. Number of HW Contacts'!$B$4:$I$84,6,FALSE)</f>
        <v>1</v>
      </c>
      <c r="H62" s="12">
        <f>G62*(1-HLOOKUP($B62,'[1]3. Mitigation Impact on Coverag'!$BY$5:$EQ$7,3,FALSE))</f>
        <v>1</v>
      </c>
      <c r="I62" s="48">
        <f>HLOOKUP(B62,'[1]3. Mitigation Impact on Coverag'!ES$5:HK$7,3,FALSE)</f>
        <v>0.79</v>
      </c>
      <c r="J62" s="49" t="e">
        <f t="shared" ca="1" si="42"/>
        <v>#NAME?</v>
      </c>
      <c r="K62" s="49" t="e">
        <f t="shared" ca="1" si="43"/>
        <v>#NAME?</v>
      </c>
      <c r="L62" s="11" t="e">
        <f t="shared" ca="1" si="44"/>
        <v>#NAME?</v>
      </c>
      <c r="M62" s="12" t="e">
        <f t="shared" ca="1" si="45"/>
        <v>#NAME?</v>
      </c>
      <c r="N62" s="51" t="e">
        <f t="shared" ca="1" si="46"/>
        <v>#NAME?</v>
      </c>
      <c r="O62" s="49" t="e">
        <f t="shared" ca="1" si="47"/>
        <v>#NAME?</v>
      </c>
      <c r="P62" s="11" t="e">
        <f t="shared" ca="1" si="48"/>
        <v>#NAME?</v>
      </c>
      <c r="Q62" s="12" t="e">
        <f t="shared" ca="1" si="49"/>
        <v>#NAME?</v>
      </c>
      <c r="R62" s="51" t="e">
        <f t="shared" ca="1" si="50"/>
        <v>#NAME?</v>
      </c>
      <c r="S62" s="49" t="e">
        <f t="shared" ca="1" si="51"/>
        <v>#NAME?</v>
      </c>
      <c r="T62" s="11" t="e">
        <f t="shared" ca="1" si="52"/>
        <v>#NAME?</v>
      </c>
      <c r="U62" s="12" t="e">
        <f t="shared" ca="1" si="53"/>
        <v>#NAME?</v>
      </c>
      <c r="V62" s="51" t="e">
        <f t="shared" ca="1" si="41"/>
        <v>#NAME?</v>
      </c>
      <c r="W62" s="49" t="e">
        <f t="shared" ca="1" si="54"/>
        <v>#NAME?</v>
      </c>
      <c r="X62" s="11" t="e">
        <f t="shared" ca="1" si="55"/>
        <v>#NAME?</v>
      </c>
      <c r="Y62" s="12" t="e">
        <f t="shared" ca="1" si="56"/>
        <v>#NAME?</v>
      </c>
      <c r="Z62" s="51">
        <f t="shared" si="57"/>
        <v>1.3957101703164776E-3</v>
      </c>
      <c r="AA62" s="49">
        <f t="shared" si="58"/>
        <v>1.0700444639093001E-3</v>
      </c>
      <c r="AB62" s="11">
        <f t="shared" si="59"/>
        <v>195.36229795377659</v>
      </c>
      <c r="AC62" s="12">
        <f t="shared" si="60"/>
        <v>0.38057847046826798</v>
      </c>
      <c r="AD62" s="60"/>
    </row>
    <row r="63" spans="1:30">
      <c r="A63" s="27" t="str">
        <f>IF(VLOOKUP(B63,'[1]1. Select Services'!$A$6:$E$77,5,FALSE)="x","x","")</f>
        <v/>
      </c>
      <c r="B63" s="39">
        <v>47</v>
      </c>
      <c r="C63" s="39">
        <v>70</v>
      </c>
      <c r="D63" s="108"/>
      <c r="E63" s="44" t="s">
        <v>93</v>
      </c>
      <c r="F63" s="11">
        <f>IF(Chosen_Scenario="Mitigation Impact Only",VLOOKUP($B63,'[1]Coverage Review Updated'!$B$5:$T$78,18,FALSE),VLOOKUP($B63,'[1]Coverage Review Updated'!$B$5:$T$78,19,FALSE))</f>
        <v>0</v>
      </c>
      <c r="G63" s="11">
        <f>VLOOKUP($B63,'[1]7. Number of HW Contacts'!$B$4:$I$84,6,FALSE)</f>
        <v>56</v>
      </c>
      <c r="H63" s="12">
        <f>G63*(1-HLOOKUP($B63,'[1]3. Mitigation Impact on Coverag'!$BY$5:$EQ$7,3,FALSE))</f>
        <v>56</v>
      </c>
      <c r="I63" s="48">
        <f>HLOOKUP(B63,'[1]3. Mitigation Impact on Coverag'!ES$5:HK$7,3,FALSE)</f>
        <v>0.79</v>
      </c>
      <c r="J63" s="49" t="e">
        <f t="shared" ca="1" si="42"/>
        <v>#NAME?</v>
      </c>
      <c r="K63" s="49" t="e">
        <f t="shared" ca="1" si="43"/>
        <v>#NAME?</v>
      </c>
      <c r="L63" s="11" t="e">
        <f t="shared" ca="1" si="44"/>
        <v>#NAME?</v>
      </c>
      <c r="M63" s="12" t="e">
        <f t="shared" ca="1" si="45"/>
        <v>#NAME?</v>
      </c>
      <c r="N63" s="51" t="e">
        <f t="shared" ca="1" si="46"/>
        <v>#NAME?</v>
      </c>
      <c r="O63" s="49" t="e">
        <f t="shared" ca="1" si="47"/>
        <v>#NAME?</v>
      </c>
      <c r="P63" s="11" t="e">
        <f t="shared" ca="1" si="48"/>
        <v>#NAME?</v>
      </c>
      <c r="Q63" s="12" t="e">
        <f t="shared" ca="1" si="49"/>
        <v>#NAME?</v>
      </c>
      <c r="R63" s="51" t="e">
        <f t="shared" ca="1" si="50"/>
        <v>#NAME?</v>
      </c>
      <c r="S63" s="49" t="e">
        <f t="shared" ca="1" si="51"/>
        <v>#NAME?</v>
      </c>
      <c r="T63" s="11" t="e">
        <f t="shared" ca="1" si="52"/>
        <v>#NAME?</v>
      </c>
      <c r="U63" s="12" t="e">
        <f t="shared" ca="1" si="53"/>
        <v>#NAME?</v>
      </c>
      <c r="V63" s="51" t="e">
        <f t="shared" ca="1" si="41"/>
        <v>#NAME?</v>
      </c>
      <c r="W63" s="49" t="e">
        <f t="shared" ca="1" si="54"/>
        <v>#NAME?</v>
      </c>
      <c r="X63" s="11" t="e">
        <f t="shared" ca="1" si="55"/>
        <v>#NAME?</v>
      </c>
      <c r="Y63" s="12" t="e">
        <f t="shared" ca="1" si="56"/>
        <v>#NAME?</v>
      </c>
      <c r="Z63" s="51">
        <f t="shared" si="57"/>
        <v>7.5233831775538995E-2</v>
      </c>
      <c r="AA63" s="49">
        <f t="shared" si="58"/>
        <v>5.7679271027913259E-2</v>
      </c>
      <c r="AB63" s="11">
        <f t="shared" si="59"/>
        <v>0</v>
      </c>
      <c r="AC63" s="12">
        <f t="shared" si="60"/>
        <v>0</v>
      </c>
      <c r="AD63" s="60"/>
    </row>
    <row r="64" spans="1:30">
      <c r="A64" s="27" t="str">
        <f>IF(VLOOKUP(B64,'[1]1. Select Services'!$A$6:$E$77,5,FALSE)="x","x","")</f>
        <v>x</v>
      </c>
      <c r="B64" s="45">
        <v>48</v>
      </c>
      <c r="C64" s="45">
        <v>44</v>
      </c>
      <c r="D64" s="109" t="s">
        <v>32</v>
      </c>
      <c r="E64" s="46" t="s">
        <v>94</v>
      </c>
      <c r="F64" s="11">
        <f>IF(Chosen_Scenario="Mitigation Impact Only",VLOOKUP($B64,'[1]Coverage Review Updated'!$B$5:$T$78,18,FALSE),VLOOKUP($B64,'[1]Coverage Review Updated'!$B$5:$T$78,19,FALSE))</f>
        <v>17300</v>
      </c>
      <c r="G64" s="11">
        <f>VLOOKUP($B64,'[1]7. Number of HW Contacts'!$B$4:$I$84,6,FALSE)</f>
        <v>2</v>
      </c>
      <c r="H64" s="12">
        <f>G64*(1-HLOOKUP($B64,'[1]3. Mitigation Impact on Coverag'!$BY$5:$EQ$7,3,FALSE))</f>
        <v>2</v>
      </c>
      <c r="I64" s="48">
        <f>HLOOKUP(B64,'[1]3. Mitigation Impact on Coverag'!ES$5:HK$7,3,FALSE)</f>
        <v>0.87</v>
      </c>
      <c r="J64" s="49" t="e">
        <f t="shared" ca="1" si="42"/>
        <v>#NAME?</v>
      </c>
      <c r="K64" s="49" t="e">
        <f t="shared" ca="1" si="43"/>
        <v>#NAME?</v>
      </c>
      <c r="L64" s="11" t="e">
        <f t="shared" ca="1" si="44"/>
        <v>#NAME?</v>
      </c>
      <c r="M64" s="12" t="e">
        <f t="shared" ca="1" si="45"/>
        <v>#NAME?</v>
      </c>
      <c r="N64" s="51" t="e">
        <f t="shared" ca="1" si="46"/>
        <v>#NAME?</v>
      </c>
      <c r="O64" s="49" t="e">
        <f t="shared" ca="1" si="47"/>
        <v>#NAME?</v>
      </c>
      <c r="P64" s="11" t="e">
        <f t="shared" ca="1" si="48"/>
        <v>#NAME?</v>
      </c>
      <c r="Q64" s="12" t="e">
        <f t="shared" ca="1" si="49"/>
        <v>#NAME?</v>
      </c>
      <c r="R64" s="51" t="e">
        <f t="shared" ca="1" si="50"/>
        <v>#NAME?</v>
      </c>
      <c r="S64" s="49" t="e">
        <f t="shared" ca="1" si="51"/>
        <v>#NAME?</v>
      </c>
      <c r="T64" s="11" t="e">
        <f t="shared" ca="1" si="52"/>
        <v>#NAME?</v>
      </c>
      <c r="U64" s="12" t="e">
        <f t="shared" ca="1" si="53"/>
        <v>#NAME?</v>
      </c>
      <c r="V64" s="51" t="e">
        <f t="shared" ca="1" si="41"/>
        <v>#NAME?</v>
      </c>
      <c r="W64" s="49" t="e">
        <f t="shared" ca="1" si="54"/>
        <v>#NAME?</v>
      </c>
      <c r="X64" s="11" t="e">
        <f t="shared" ca="1" si="55"/>
        <v>#NAME?</v>
      </c>
      <c r="Y64" s="12" t="e">
        <f t="shared" ca="1" si="56"/>
        <v>#NAME?</v>
      </c>
      <c r="Z64" s="51">
        <f t="shared" si="57"/>
        <v>2.7301806109985005E-3</v>
      </c>
      <c r="AA64" s="49">
        <f t="shared" si="58"/>
        <v>2.0931384684321846E-3</v>
      </c>
      <c r="AB64" s="11">
        <f t="shared" si="59"/>
        <v>205.31804550698141</v>
      </c>
      <c r="AC64" s="12">
        <f t="shared" si="60"/>
        <v>0.39997291461564066</v>
      </c>
      <c r="AD64" s="62"/>
    </row>
    <row r="65" spans="1:30">
      <c r="A65" s="27" t="str">
        <f>IF(VLOOKUP(B65,'[1]1. Select Services'!$A$6:$E$77,5,FALSE)="x","x","")</f>
        <v>x</v>
      </c>
      <c r="B65" s="63">
        <v>49</v>
      </c>
      <c r="C65" s="63">
        <v>45</v>
      </c>
      <c r="D65" s="109"/>
      <c r="E65" s="64" t="s">
        <v>95</v>
      </c>
      <c r="F65" s="11">
        <f>IF(Chosen_Scenario="Mitigation Impact Only",VLOOKUP($B65,'[1]Coverage Review Updated'!$B$5:$T$78,18,FALSE),VLOOKUP($B65,'[1]Coverage Review Updated'!$B$5:$T$78,19,FALSE))</f>
        <v>32100</v>
      </c>
      <c r="G65" s="11">
        <f>VLOOKUP($B65,'[1]7. Number of HW Contacts'!$B$4:$I$84,6,FALSE)</f>
        <v>4</v>
      </c>
      <c r="H65" s="12">
        <f>G65*(1-HLOOKUP($B65,'[1]3. Mitigation Impact on Coverag'!$BY$5:$EQ$7,3,FALSE))</f>
        <v>4</v>
      </c>
      <c r="I65" s="48">
        <f>HLOOKUP(B65,'[1]3. Mitigation Impact on Coverag'!ES$5:HK$7,3,FALSE)</f>
        <v>0.87</v>
      </c>
      <c r="J65" s="49" t="e">
        <f t="shared" ca="1" si="42"/>
        <v>#NAME?</v>
      </c>
      <c r="K65" s="49" t="e">
        <f t="shared" ca="1" si="43"/>
        <v>#NAME?</v>
      </c>
      <c r="L65" s="11" t="e">
        <f t="shared" ca="1" si="44"/>
        <v>#NAME?</v>
      </c>
      <c r="M65" s="12" t="e">
        <f t="shared" ca="1" si="45"/>
        <v>#NAME?</v>
      </c>
      <c r="N65" s="51" t="e">
        <f t="shared" ca="1" si="46"/>
        <v>#NAME?</v>
      </c>
      <c r="O65" s="49" t="e">
        <f t="shared" ca="1" si="47"/>
        <v>#NAME?</v>
      </c>
      <c r="P65" s="11" t="e">
        <f t="shared" ca="1" si="48"/>
        <v>#NAME?</v>
      </c>
      <c r="Q65" s="12" t="e">
        <f t="shared" ca="1" si="49"/>
        <v>#NAME?</v>
      </c>
      <c r="R65" s="51" t="e">
        <f t="shared" ca="1" si="50"/>
        <v>#NAME?</v>
      </c>
      <c r="S65" s="49" t="e">
        <f t="shared" ca="1" si="51"/>
        <v>#NAME?</v>
      </c>
      <c r="T65" s="11" t="e">
        <f t="shared" ca="1" si="52"/>
        <v>#NAME?</v>
      </c>
      <c r="U65" s="12" t="e">
        <f t="shared" ca="1" si="53"/>
        <v>#NAME?</v>
      </c>
      <c r="V65" s="51" t="e">
        <f t="shared" ca="1" si="41"/>
        <v>#NAME?</v>
      </c>
      <c r="W65" s="49" t="e">
        <f t="shared" ca="1" si="54"/>
        <v>#NAME?</v>
      </c>
      <c r="X65" s="11" t="e">
        <f t="shared" ca="1" si="55"/>
        <v>#NAME?</v>
      </c>
      <c r="Y65" s="12" t="e">
        <f t="shared" ca="1" si="56"/>
        <v>#NAME?</v>
      </c>
      <c r="Z65" s="51">
        <f t="shared" si="57"/>
        <v>5.452907335828483E-3</v>
      </c>
      <c r="AA65" s="49">
        <f t="shared" si="58"/>
        <v>4.1805622908018389E-3</v>
      </c>
      <c r="AB65" s="11">
        <f t="shared" si="59"/>
        <v>760.89160086197023</v>
      </c>
      <c r="AC65" s="12">
        <f t="shared" si="60"/>
        <v>1.4822663568213963</v>
      </c>
      <c r="AD65" s="60"/>
    </row>
    <row r="66" spans="1:30">
      <c r="A66" s="27" t="str">
        <f>IF(VLOOKUP(B66,'[1]1. Select Services'!$A$6:$E$77,5,FALSE)="x","x","")</f>
        <v>x</v>
      </c>
      <c r="B66" s="63">
        <v>50</v>
      </c>
      <c r="C66" s="63">
        <v>46</v>
      </c>
      <c r="D66" s="109"/>
      <c r="E66" s="64" t="s">
        <v>96</v>
      </c>
      <c r="F66" s="11">
        <f>IF(Chosen_Scenario="Mitigation Impact Only",VLOOKUP($B66,'[1]Coverage Review Updated'!$B$5:$T$78,18,FALSE),VLOOKUP($B66,'[1]Coverage Review Updated'!$B$5:$T$78,19,FALSE))</f>
        <v>70800</v>
      </c>
      <c r="G66" s="11">
        <f>VLOOKUP($B66,'[1]7. Number of HW Contacts'!$B$4:$I$84,6,FALSE)</f>
        <v>4</v>
      </c>
      <c r="H66" s="12">
        <f>G66*(1-HLOOKUP($B66,'[1]3. Mitigation Impact on Coverag'!$BY$5:$EQ$7,3,FALSE))</f>
        <v>4</v>
      </c>
      <c r="I66" s="48">
        <f>HLOOKUP(B66,'[1]3. Mitigation Impact on Coverag'!ES$5:HK$7,3,FALSE)</f>
        <v>0.87</v>
      </c>
      <c r="J66" s="49" t="e">
        <f t="shared" ca="1" si="42"/>
        <v>#NAME?</v>
      </c>
      <c r="K66" s="49" t="e">
        <f t="shared" ca="1" si="43"/>
        <v>#NAME?</v>
      </c>
      <c r="L66" s="11" t="e">
        <f t="shared" ca="1" si="44"/>
        <v>#NAME?</v>
      </c>
      <c r="M66" s="12" t="e">
        <f t="shared" ca="1" si="45"/>
        <v>#NAME?</v>
      </c>
      <c r="N66" s="51" t="e">
        <f t="shared" ca="1" si="46"/>
        <v>#NAME?</v>
      </c>
      <c r="O66" s="49" t="e">
        <f t="shared" ca="1" si="47"/>
        <v>#NAME?</v>
      </c>
      <c r="P66" s="11" t="e">
        <f t="shared" ca="1" si="48"/>
        <v>#NAME?</v>
      </c>
      <c r="Q66" s="12" t="e">
        <f t="shared" ca="1" si="49"/>
        <v>#NAME?</v>
      </c>
      <c r="R66" s="51" t="e">
        <f t="shared" ca="1" si="50"/>
        <v>#NAME?</v>
      </c>
      <c r="S66" s="49" t="e">
        <f t="shared" ca="1" si="51"/>
        <v>#NAME?</v>
      </c>
      <c r="T66" s="11" t="e">
        <f t="shared" ca="1" si="52"/>
        <v>#NAME?</v>
      </c>
      <c r="U66" s="12" t="e">
        <f t="shared" ca="1" si="53"/>
        <v>#NAME?</v>
      </c>
      <c r="V66" s="51" t="e">
        <f t="shared" ca="1" si="41"/>
        <v>#NAME?</v>
      </c>
      <c r="W66" s="49" t="e">
        <f t="shared" ca="1" si="54"/>
        <v>#NAME?</v>
      </c>
      <c r="X66" s="11" t="e">
        <f t="shared" ca="1" si="55"/>
        <v>#NAME?</v>
      </c>
      <c r="Y66" s="12" t="e">
        <f t="shared" ca="1" si="56"/>
        <v>#NAME?</v>
      </c>
      <c r="Z66" s="51">
        <f t="shared" si="57"/>
        <v>5.452907335828483E-3</v>
      </c>
      <c r="AA66" s="49">
        <f t="shared" si="58"/>
        <v>4.1805622908018389E-3</v>
      </c>
      <c r="AB66" s="11">
        <f t="shared" si="59"/>
        <v>1678.2282037703269</v>
      </c>
      <c r="AC66" s="12">
        <f t="shared" si="60"/>
        <v>3.2692977589705561</v>
      </c>
      <c r="AD66" s="60"/>
    </row>
    <row r="67" spans="1:30">
      <c r="A67" s="27" t="str">
        <f>IF(VLOOKUP(B67,'[1]1. Select Services'!$A$6:$E$77,5,FALSE)="x","x","")</f>
        <v>x</v>
      </c>
      <c r="B67" s="65">
        <v>51</v>
      </c>
      <c r="C67" s="65">
        <v>55</v>
      </c>
      <c r="D67" s="110" t="s">
        <v>33</v>
      </c>
      <c r="E67" s="66" t="s">
        <v>97</v>
      </c>
      <c r="F67" s="55">
        <f>IF(Chosen_Scenario="Mitigation Impact Only",VLOOKUP($B67,'[1]Coverage Review Updated'!$B$5:$T$78,18,FALSE),VLOOKUP($B67,'[1]Coverage Review Updated'!$B$5:$T$78,19,FALSE))</f>
        <v>275500</v>
      </c>
      <c r="G67" s="55">
        <f>VLOOKUP($B67,'[1]7. Number of HW Contacts'!$B$4:$I$84,6,FALSE)</f>
        <v>1</v>
      </c>
      <c r="H67" s="56">
        <f>G67*(1-HLOOKUP($B67,'[1]3. Mitigation Impact on Coverag'!$BY$5:$EQ$7,3,FALSE))</f>
        <v>0.9</v>
      </c>
      <c r="I67" s="83">
        <f>HLOOKUP(B67,'[1]3. Mitigation Impact on Coverag'!ES$5:HK$7,3,FALSE)</f>
        <v>0.87</v>
      </c>
      <c r="J67" s="54" t="e">
        <f ca="1">1-((1-Risk_of_Provider_Being_Infected*_xlfn.SINGLE(Transmission_Risk_Contact_Health_Care_Provider))^(2*$G67)*(1-Risk_of_Community_Member_being_Infected*Transmission_Risk_in_Community)^(2*$G67*Contacts_During_Travel_to_Facility))</f>
        <v>#NAME?</v>
      </c>
      <c r="K67" s="54" t="e">
        <f t="shared" ca="1" si="43"/>
        <v>#NAME?</v>
      </c>
      <c r="L67" s="55" t="e">
        <f t="shared" ca="1" si="44"/>
        <v>#NAME?</v>
      </c>
      <c r="M67" s="56" t="e">
        <f t="shared" ca="1" si="45"/>
        <v>#NAME?</v>
      </c>
      <c r="N67" s="57" t="e">
        <f ca="1">1-((1-Risk_of_Provider_Being_Infected*_xlfn.SINGLE(Transmission_Risk_Contact_Health_Care_Provider)*(1-Reduction_in_Risk_PPE))^(2*$G67)*(1-Risk_of_Community_Member_being_Infected*Transmission_Risk_in_Community)^(2*$G67*Contacts_During_Travel_to_Facility))</f>
        <v>#NAME?</v>
      </c>
      <c r="O67" s="54" t="e">
        <f t="shared" ca="1" si="47"/>
        <v>#NAME?</v>
      </c>
      <c r="P67" s="55" t="e">
        <f t="shared" ca="1" si="48"/>
        <v>#NAME?</v>
      </c>
      <c r="Q67" s="56" t="e">
        <f t="shared" ca="1" si="49"/>
        <v>#NAME?</v>
      </c>
      <c r="R67" s="57" t="e">
        <f ca="1">1-((1-Risk_of_Provider_Being_Infected*_xlfn.SINGLE(Transmission_Risk_Contact_Health_Care_Provider)*(1-Reduction_in_Risk_PPE))^(2*$G67*(1-Reduction_in_Risk_TS)))*(1-Risk_of_Community_Member_being_Infected*Transmission_Risk_in_Community)^(2*$G67*Contacts_During_Travel_to_Facility)</f>
        <v>#NAME?</v>
      </c>
      <c r="S67" s="54" t="e">
        <f t="shared" ca="1" si="51"/>
        <v>#NAME?</v>
      </c>
      <c r="T67" s="55" t="e">
        <f t="shared" ca="1" si="52"/>
        <v>#NAME?</v>
      </c>
      <c r="U67" s="56" t="e">
        <f t="shared" ca="1" si="53"/>
        <v>#NAME?</v>
      </c>
      <c r="V67" s="57" t="e">
        <f ca="1">1-((1-Risk_of_Provider_Being_Infected*_xlfn.SINGLE(Transmission_Risk_Contact_Health_Care_Provider)*(1-Reduction_in_Risk_PPE))^(2*$H67*(1-Reduction_in_Risk_TS)))*(1-Risk_of_Community_Member_being_Infected*Transmission_Risk_in_Community)^(2*$H67*Contacts_During_Travel_to_Facility)</f>
        <v>#NAME?</v>
      </c>
      <c r="W67" s="54" t="e">
        <f t="shared" ca="1" si="54"/>
        <v>#NAME?</v>
      </c>
      <c r="X67" s="55" t="e">
        <f t="shared" ca="1" si="55"/>
        <v>#NAME?</v>
      </c>
      <c r="Y67" s="56" t="e">
        <f t="shared" ca="1" si="56"/>
        <v>#NAME?</v>
      </c>
      <c r="Z67" s="57">
        <f>1-((1-Risk_of_Provider_Being_Infected*Transmission_Risk_Contact_Health_Care_Provider*(1-$I67))^(2*$G67)*(1-Risk_of_Community_Member_being_Infected*Transmission_Risk_in_Community)^(2*$G67*Contacts_During_Travel_to_Facility))</f>
        <v>2.7301806109985005E-3</v>
      </c>
      <c r="AA67" s="54">
        <f t="shared" si="58"/>
        <v>2.0931384684321846E-3</v>
      </c>
      <c r="AB67" s="55">
        <f t="shared" si="59"/>
        <v>3269.6602044608885</v>
      </c>
      <c r="AC67" s="56">
        <f t="shared" si="60"/>
        <v>6.3695108656999428</v>
      </c>
      <c r="AD67" s="119" t="s">
        <v>98</v>
      </c>
    </row>
    <row r="68" spans="1:30">
      <c r="A68" s="27" t="str">
        <f>IF(VLOOKUP(B68,'[1]1. Select Services'!$A$6:$E$77,5,FALSE)="x","x","")</f>
        <v>x</v>
      </c>
      <c r="B68" s="65">
        <v>52</v>
      </c>
      <c r="C68" s="65">
        <v>56</v>
      </c>
      <c r="D68" s="110"/>
      <c r="E68" s="66" t="s">
        <v>99</v>
      </c>
      <c r="F68" s="55">
        <f>IF(Chosen_Scenario="Mitigation Impact Only",VLOOKUP($B68,'[1]Coverage Review Updated'!$B$5:$T$78,18,FALSE),VLOOKUP($B68,'[1]Coverage Review Updated'!$B$5:$T$78,19,FALSE))</f>
        <v>239000</v>
      </c>
      <c r="G68" s="55">
        <f>VLOOKUP($B68,'[1]7. Number of HW Contacts'!$B$4:$I$84,6,FALSE)</f>
        <v>3</v>
      </c>
      <c r="H68" s="56">
        <f>G68*(1-HLOOKUP($B68,'[1]3. Mitigation Impact on Coverag'!$BY$5:$EQ$7,3,FALSE))</f>
        <v>2.7</v>
      </c>
      <c r="I68" s="83">
        <f>HLOOKUP(B68,'[1]3. Mitigation Impact on Coverag'!ES$5:HK$7,3,FALSE)</f>
        <v>0.87</v>
      </c>
      <c r="J68" s="54" t="e">
        <f ca="1">1-((1-Risk_of_Provider_Being_Infected*_xlfn.SINGLE(Transmission_Risk_Contact_Health_Care_Provider))^(2*$G68)*(1-Risk_of_Community_Member_being_Infected*Transmission_Risk_in_Community)^(2*$G68*Contacts_During_Travel_to_Facility))</f>
        <v>#NAME?</v>
      </c>
      <c r="K68" s="54" t="e">
        <f t="shared" ca="1" si="43"/>
        <v>#NAME?</v>
      </c>
      <c r="L68" s="55" t="e">
        <f t="shared" ca="1" si="44"/>
        <v>#NAME?</v>
      </c>
      <c r="M68" s="56" t="e">
        <f t="shared" ca="1" si="45"/>
        <v>#NAME?</v>
      </c>
      <c r="N68" s="57" t="e">
        <f ca="1">1-((1-Risk_of_Provider_Being_Infected*_xlfn.SINGLE(Transmission_Risk_Contact_Health_Care_Provider)*(1-Reduction_in_Risk_PPE))^(2*$G68)*(1-Risk_of_Community_Member_being_Infected*Transmission_Risk_in_Community)^(2*$G68*Contacts_During_Travel_to_Facility))</f>
        <v>#NAME?</v>
      </c>
      <c r="O68" s="54" t="e">
        <f t="shared" ca="1" si="47"/>
        <v>#NAME?</v>
      </c>
      <c r="P68" s="55" t="e">
        <f t="shared" ca="1" si="48"/>
        <v>#NAME?</v>
      </c>
      <c r="Q68" s="56" t="e">
        <f t="shared" ca="1" si="49"/>
        <v>#NAME?</v>
      </c>
      <c r="R68" s="57" t="e">
        <f ca="1">1-((1-Risk_of_Provider_Being_Infected*_xlfn.SINGLE(Transmission_Risk_Contact_Health_Care_Provider)*(1-Reduction_in_Risk_PPE))^(2*$G68*(1-Reduction_in_Risk_TS)))*(1-Risk_of_Community_Member_being_Infected*Transmission_Risk_in_Community)^(2*$G68*Contacts_During_Travel_to_Facility)</f>
        <v>#NAME?</v>
      </c>
      <c r="S68" s="54" t="e">
        <f t="shared" ca="1" si="51"/>
        <v>#NAME?</v>
      </c>
      <c r="T68" s="55" t="e">
        <f t="shared" ca="1" si="52"/>
        <v>#NAME?</v>
      </c>
      <c r="U68" s="56" t="e">
        <f t="shared" ca="1" si="53"/>
        <v>#NAME?</v>
      </c>
      <c r="V68" s="57" t="e">
        <f ca="1">1-((1-Risk_of_Provider_Being_Infected*_xlfn.SINGLE(Transmission_Risk_Contact_Health_Care_Provider)*(1-Reduction_in_Risk_PPE))^(2*$H68*(1-Reduction_in_Risk_TS)))*(1-Risk_of_Community_Member_being_Infected*Transmission_Risk_in_Community)^(2*$H68*Contacts_During_Travel_to_Facility)</f>
        <v>#NAME?</v>
      </c>
      <c r="W68" s="54" t="e">
        <f t="shared" ca="1" si="54"/>
        <v>#NAME?</v>
      </c>
      <c r="X68" s="55" t="e">
        <f t="shared" ca="1" si="55"/>
        <v>#NAME?</v>
      </c>
      <c r="Y68" s="56" t="e">
        <f t="shared" ca="1" si="56"/>
        <v>#NAME?</v>
      </c>
      <c r="Z68" s="57">
        <f>1-((1-Risk_of_Provider_Being_Infected*Transmission_Risk_Contact_Health_Care_Provider*(1-$I68))^(2*$G68)*(1-Risk_of_Community_Member_being_Infected*Transmission_Risk_in_Community)^(2*$G68*Contacts_During_Travel_to_Facility))</f>
        <v>8.1682005249451572E-3</v>
      </c>
      <c r="AA68" s="54">
        <f t="shared" si="58"/>
        <v>6.2622870691246236E-3</v>
      </c>
      <c r="AB68" s="55">
        <f t="shared" si="59"/>
        <v>8486.2130759828506</v>
      </c>
      <c r="AC68" s="56">
        <f t="shared" si="60"/>
        <v>16.531695349373503</v>
      </c>
      <c r="AD68" s="119" t="s">
        <v>98</v>
      </c>
    </row>
    <row r="69" spans="1:30">
      <c r="A69" s="27"/>
      <c r="B69" s="65"/>
      <c r="C69" s="65"/>
      <c r="D69" s="110"/>
      <c r="E69" s="67" t="s">
        <v>100</v>
      </c>
      <c r="F69" s="55"/>
      <c r="G69" s="55"/>
      <c r="H69" s="56"/>
      <c r="I69" s="83"/>
      <c r="J69" s="54"/>
      <c r="K69" s="54"/>
      <c r="L69" s="55"/>
      <c r="M69" s="56"/>
      <c r="N69" s="57"/>
      <c r="O69" s="54"/>
      <c r="P69" s="55"/>
      <c r="Q69" s="56"/>
      <c r="R69" s="57"/>
      <c r="S69" s="54"/>
      <c r="T69" s="55"/>
      <c r="U69" s="56"/>
      <c r="V69" s="57"/>
      <c r="W69" s="54"/>
      <c r="X69" s="55"/>
      <c r="Y69" s="56"/>
      <c r="Z69" s="57"/>
      <c r="AA69" s="54"/>
      <c r="AB69" s="55"/>
      <c r="AC69" s="56"/>
      <c r="AD69" s="119"/>
    </row>
    <row r="70" spans="1:30">
      <c r="A70" s="27" t="str">
        <f>IF(VLOOKUP(B70,'[1]1. Select Services'!$A$6:$E$77,5,FALSE)="x","x","")</f>
        <v>x</v>
      </c>
      <c r="B70" s="65">
        <v>53</v>
      </c>
      <c r="C70" s="65">
        <v>57</v>
      </c>
      <c r="D70" s="110"/>
      <c r="E70" s="66" t="s">
        <v>101</v>
      </c>
      <c r="F70" s="55">
        <f>IF(Chosen_Scenario="Mitigation Impact Only",VLOOKUP($B70,'[1]Coverage Review Updated'!$B$5:$T$78,18,FALSE),VLOOKUP($B70,'[1]Coverage Review Updated'!$B$5:$T$78,19,FALSE))</f>
        <v>236200</v>
      </c>
      <c r="G70" s="55">
        <f>VLOOKUP($B70,'[1]7. Number of HW Contacts'!$B$4:$I$84,6,FALSE)</f>
        <v>3</v>
      </c>
      <c r="H70" s="56">
        <f>G70*(1-HLOOKUP($B70,'[1]3. Mitigation Impact on Coverag'!$BY$5:$EQ$7,3,FALSE))</f>
        <v>2.7</v>
      </c>
      <c r="I70" s="83">
        <f>HLOOKUP(B70,'[1]3. Mitigation Impact on Coverag'!ES$5:HK$7,3,FALSE)</f>
        <v>0.87</v>
      </c>
      <c r="J70" s="54" t="e">
        <f t="shared" ref="J70:J87" ca="1" si="61">1-((1-Risk_of_Provider_Being_Infected*_xlfn.SINGLE(Transmission_Risk_Contact_Health_Care_Provider))^(2*$G70)*(1-Risk_of_Community_Member_being_Infected*Transmission_Risk_in_Community)^(2*$G70*Contacts_During_Travel_to_Facility))</f>
        <v>#NAME?</v>
      </c>
      <c r="K70" s="54" t="e">
        <f t="shared" ref="K70:K88" ca="1" si="62">J70*(1-(Percent_Prevalence_at_End_of_Projection_Period-Percent_Prevalence_at_Beginning_of_Projection_Period))</f>
        <v>#NAME?</v>
      </c>
      <c r="L70" s="55" t="e">
        <f t="shared" ref="L70:L88" ca="1" si="63">$F70*$K70*HH_Size</f>
        <v>#NAME?</v>
      </c>
      <c r="M70" s="56" t="e">
        <f t="shared" ref="M70:M88" ca="1" si="64">$F70*$J70*(HH_Children*Fatality_Rate_Child+HH_Adults*Fatality_Rate_Adult+HH_Over_60*Fatality_Rate_Over_60)</f>
        <v>#NAME?</v>
      </c>
      <c r="N70" s="57" t="e">
        <f t="shared" ref="N70:N87" ca="1" si="65">1-((1-Risk_of_Provider_Being_Infected*_xlfn.SINGLE(Transmission_Risk_Contact_Health_Care_Provider)*(1-Reduction_in_Risk_PPE))^(2*$G70)*(1-Risk_of_Community_Member_being_Infected*Transmission_Risk_in_Community)^(2*$G70*Contacts_During_Travel_to_Facility))</f>
        <v>#NAME?</v>
      </c>
      <c r="O70" s="54" t="e">
        <f t="shared" ref="O70:O88" ca="1" si="66">N70*(1-(Percent_Prevalence_at_End_of_Projection_Period-Percent_Prevalence_at_Beginning_of_Projection_Period))</f>
        <v>#NAME?</v>
      </c>
      <c r="P70" s="55" t="e">
        <f t="shared" ref="P70:P88" ca="1" si="67">$F70*$O70*HH_Size</f>
        <v>#NAME?</v>
      </c>
      <c r="Q70" s="56" t="e">
        <f t="shared" ref="Q70:Q88" ca="1" si="68">$F70*$O70*(HH_Children*Fatality_Rate_Child+HH_Adults*Fatality_Rate_Adult+HH_Over_60*Fatality_Rate_Over_60)</f>
        <v>#NAME?</v>
      </c>
      <c r="R70" s="57" t="e">
        <f t="shared" ref="R70:R87" ca="1" si="69">1-((1-Risk_of_Provider_Being_Infected*_xlfn.SINGLE(Transmission_Risk_Contact_Health_Care_Provider)*(1-Reduction_in_Risk_PPE))^(2*$G70*(1-Reduction_in_Risk_TS)))*(1-Risk_of_Community_Member_being_Infected*Transmission_Risk_in_Community)^(2*$G70*Contacts_During_Travel_to_Facility)</f>
        <v>#NAME?</v>
      </c>
      <c r="S70" s="54" t="e">
        <f t="shared" ref="S70:S88" ca="1" si="70">R70*(1-(Percent_Prevalence_at_End_of_Projection_Period-Percent_Prevalence_at_Beginning_of_Projection_Period))</f>
        <v>#NAME?</v>
      </c>
      <c r="T70" s="55" t="e">
        <f t="shared" ref="T70:T88" ca="1" si="71">$F70*$S70*HH_Size</f>
        <v>#NAME?</v>
      </c>
      <c r="U70" s="56" t="e">
        <f t="shared" ref="U70:U88" ca="1" si="72">$F70*$S70*(HH_Children*Fatality_Rate_Child+HH_Adults*Fatality_Rate_Adult+HH_Over_60*Fatality_Rate_Over_60)</f>
        <v>#NAME?</v>
      </c>
      <c r="V70" s="57" t="e">
        <f t="shared" ref="V70:V87" ca="1" si="73">1-((1-Risk_of_Provider_Being_Infected*_xlfn.SINGLE(Transmission_Risk_Contact_Health_Care_Provider)*(1-Reduction_in_Risk_PPE))^(2*$H70*(1-Reduction_in_Risk_TS)))*(1-Risk_of_Community_Member_being_Infected*Transmission_Risk_in_Community)^(2*$H70*Contacts_During_Travel_to_Facility)</f>
        <v>#NAME?</v>
      </c>
      <c r="W70" s="54" t="e">
        <f t="shared" ref="W70:W88" ca="1" si="74">V70*(1-(Percent_Prevalence_at_End_of_Projection_Period-Percent_Prevalence_at_Beginning_of_Projection_Period))</f>
        <v>#NAME?</v>
      </c>
      <c r="X70" s="55" t="e">
        <f t="shared" ref="X70:X88" ca="1" si="75">$F70*$W70*HH_Size</f>
        <v>#NAME?</v>
      </c>
      <c r="Y70" s="56" t="e">
        <f t="shared" ref="Y70:Y88" ca="1" si="76">$F70*$W70*(HH_Children*Fatality_Rate_Child+HH_Adults*Fatality_Rate_Adult+HH_Over_60*Fatality_Rate_Over_60)</f>
        <v>#NAME?</v>
      </c>
      <c r="Z70" s="57">
        <f t="shared" ref="Z70:Z87" si="77">1-((1-Risk_of_Provider_Being_Infected*Transmission_Risk_Contact_Health_Care_Provider*(1-$I70))^(2*$G70)*(1-Risk_of_Community_Member_being_Infected*Transmission_Risk_in_Community)^(2*$G70*Contacts_During_Travel_to_Facility))</f>
        <v>8.1682005249451572E-3</v>
      </c>
      <c r="AA70" s="54">
        <f t="shared" ref="AA70:AA88" si="78">Z70*(1-(Percent_Prevalence_at_End_of_Projection_Period-Percent_Prevalence_at_Beginning_of_Projection_Period))</f>
        <v>6.2622870691246236E-3</v>
      </c>
      <c r="AB70" s="55">
        <f t="shared" ref="AB70:AB88" si="79">$F70*$AA70*HH_Size*Infection_Rate_within_HH</f>
        <v>8386.7930064734301</v>
      </c>
      <c r="AC70" s="56">
        <f t="shared" ref="AC70:AC88" si="80">$F70*$AA70*Infection_Rate_within_HH*(HH_Children*Fatality_Rate_Child+HH_Adults*Fatality_Rate_Adult+HH_Over_60*Fatality_Rate_Over_60)</f>
        <v>16.338018583774151</v>
      </c>
      <c r="AD70" s="119" t="s">
        <v>98</v>
      </c>
    </row>
    <row r="71" spans="1:30">
      <c r="A71" s="27" t="str">
        <f>IF(VLOOKUP(B71,'[1]1. Select Services'!$A$6:$E$77,5,FALSE)="x","x","")</f>
        <v>x</v>
      </c>
      <c r="B71" s="65">
        <v>54</v>
      </c>
      <c r="C71" s="65">
        <v>58</v>
      </c>
      <c r="D71" s="110"/>
      <c r="E71" s="66" t="s">
        <v>102</v>
      </c>
      <c r="F71" s="55">
        <f>IF(Chosen_Scenario="Mitigation Impact Only",VLOOKUP($B71,'[1]Coverage Review Updated'!$B$5:$T$78,18,FALSE),VLOOKUP($B71,'[1]Coverage Review Updated'!$B$5:$T$78,19,FALSE))</f>
        <v>236200</v>
      </c>
      <c r="G71" s="55">
        <f>VLOOKUP($B71,'[1]7. Number of HW Contacts'!$B$4:$I$84,6,FALSE)</f>
        <v>3</v>
      </c>
      <c r="H71" s="56">
        <f>G71*(1-HLOOKUP($B71,'[1]3. Mitigation Impact on Coverag'!$BY$5:$EQ$7,3,FALSE))</f>
        <v>2.7</v>
      </c>
      <c r="I71" s="83">
        <f>HLOOKUP(B71,'[1]3. Mitigation Impact on Coverag'!ES$5:HK$7,3,FALSE)</f>
        <v>0.87</v>
      </c>
      <c r="J71" s="54" t="e">
        <f t="shared" ca="1" si="61"/>
        <v>#NAME?</v>
      </c>
      <c r="K71" s="54" t="e">
        <f t="shared" ca="1" si="62"/>
        <v>#NAME?</v>
      </c>
      <c r="L71" s="55" t="e">
        <f t="shared" ca="1" si="63"/>
        <v>#NAME?</v>
      </c>
      <c r="M71" s="56" t="e">
        <f t="shared" ca="1" si="64"/>
        <v>#NAME?</v>
      </c>
      <c r="N71" s="57" t="e">
        <f t="shared" ca="1" si="65"/>
        <v>#NAME?</v>
      </c>
      <c r="O71" s="54" t="e">
        <f t="shared" ca="1" si="66"/>
        <v>#NAME?</v>
      </c>
      <c r="P71" s="55" t="e">
        <f t="shared" ca="1" si="67"/>
        <v>#NAME?</v>
      </c>
      <c r="Q71" s="56" t="e">
        <f t="shared" ca="1" si="68"/>
        <v>#NAME?</v>
      </c>
      <c r="R71" s="57" t="e">
        <f t="shared" ca="1" si="69"/>
        <v>#NAME?</v>
      </c>
      <c r="S71" s="54" t="e">
        <f t="shared" ca="1" si="70"/>
        <v>#NAME?</v>
      </c>
      <c r="T71" s="55" t="e">
        <f t="shared" ca="1" si="71"/>
        <v>#NAME?</v>
      </c>
      <c r="U71" s="56" t="e">
        <f t="shared" ca="1" si="72"/>
        <v>#NAME?</v>
      </c>
      <c r="V71" s="57" t="e">
        <f t="shared" ca="1" si="73"/>
        <v>#NAME?</v>
      </c>
      <c r="W71" s="54" t="e">
        <f t="shared" ca="1" si="74"/>
        <v>#NAME?</v>
      </c>
      <c r="X71" s="55" t="e">
        <f t="shared" ca="1" si="75"/>
        <v>#NAME?</v>
      </c>
      <c r="Y71" s="56" t="e">
        <f t="shared" ca="1" si="76"/>
        <v>#NAME?</v>
      </c>
      <c r="Z71" s="57">
        <f t="shared" si="77"/>
        <v>8.1682005249451572E-3</v>
      </c>
      <c r="AA71" s="54">
        <f t="shared" si="78"/>
        <v>6.2622870691246236E-3</v>
      </c>
      <c r="AB71" s="55">
        <f t="shared" si="79"/>
        <v>8386.7930064734301</v>
      </c>
      <c r="AC71" s="56">
        <f t="shared" si="80"/>
        <v>16.338018583774151</v>
      </c>
      <c r="AD71" s="119" t="s">
        <v>98</v>
      </c>
    </row>
    <row r="72" spans="1:30">
      <c r="A72" s="27" t="str">
        <f>IF(VLOOKUP(B72,'[1]1. Select Services'!$A$6:$E$77,5,FALSE)="x","x","")</f>
        <v>x</v>
      </c>
      <c r="B72" s="65">
        <v>55</v>
      </c>
      <c r="C72" s="65">
        <v>59</v>
      </c>
      <c r="D72" s="110"/>
      <c r="E72" s="66" t="s">
        <v>103</v>
      </c>
      <c r="F72" s="55">
        <f>IF(Chosen_Scenario="Mitigation Impact Only",VLOOKUP($B72,'[1]Coverage Review Updated'!$B$5:$T$78,18,FALSE),VLOOKUP($B72,'[1]Coverage Review Updated'!$B$5:$T$78,19,FALSE))</f>
        <v>236200</v>
      </c>
      <c r="G72" s="55">
        <f>VLOOKUP($B72,'[1]7. Number of HW Contacts'!$B$4:$I$84,6,FALSE)</f>
        <v>3</v>
      </c>
      <c r="H72" s="56">
        <f>G72*(1-HLOOKUP($B72,'[1]3. Mitigation Impact on Coverag'!$BY$5:$EQ$7,3,FALSE))</f>
        <v>2.7</v>
      </c>
      <c r="I72" s="83">
        <f>HLOOKUP(B72,'[1]3. Mitigation Impact on Coverag'!ES$5:HK$7,3,FALSE)</f>
        <v>0.87</v>
      </c>
      <c r="J72" s="54" t="e">
        <f t="shared" ca="1" si="61"/>
        <v>#NAME?</v>
      </c>
      <c r="K72" s="54" t="e">
        <f t="shared" ca="1" si="62"/>
        <v>#NAME?</v>
      </c>
      <c r="L72" s="55" t="e">
        <f t="shared" ca="1" si="63"/>
        <v>#NAME?</v>
      </c>
      <c r="M72" s="56" t="e">
        <f t="shared" ca="1" si="64"/>
        <v>#NAME?</v>
      </c>
      <c r="N72" s="57" t="e">
        <f t="shared" ca="1" si="65"/>
        <v>#NAME?</v>
      </c>
      <c r="O72" s="54" t="e">
        <f t="shared" ca="1" si="66"/>
        <v>#NAME?</v>
      </c>
      <c r="P72" s="55" t="e">
        <f t="shared" ca="1" si="67"/>
        <v>#NAME?</v>
      </c>
      <c r="Q72" s="56" t="e">
        <f t="shared" ca="1" si="68"/>
        <v>#NAME?</v>
      </c>
      <c r="R72" s="57" t="e">
        <f t="shared" ca="1" si="69"/>
        <v>#NAME?</v>
      </c>
      <c r="S72" s="54" t="e">
        <f t="shared" ca="1" si="70"/>
        <v>#NAME?</v>
      </c>
      <c r="T72" s="55" t="e">
        <f t="shared" ca="1" si="71"/>
        <v>#NAME?</v>
      </c>
      <c r="U72" s="56" t="e">
        <f t="shared" ca="1" si="72"/>
        <v>#NAME?</v>
      </c>
      <c r="V72" s="57" t="e">
        <f t="shared" ca="1" si="73"/>
        <v>#NAME?</v>
      </c>
      <c r="W72" s="54" t="e">
        <f t="shared" ca="1" si="74"/>
        <v>#NAME?</v>
      </c>
      <c r="X72" s="55" t="e">
        <f t="shared" ca="1" si="75"/>
        <v>#NAME?</v>
      </c>
      <c r="Y72" s="56" t="e">
        <f t="shared" ca="1" si="76"/>
        <v>#NAME?</v>
      </c>
      <c r="Z72" s="57">
        <f t="shared" si="77"/>
        <v>8.1682005249451572E-3</v>
      </c>
      <c r="AA72" s="54">
        <f t="shared" si="78"/>
        <v>6.2622870691246236E-3</v>
      </c>
      <c r="AB72" s="55">
        <f t="shared" si="79"/>
        <v>8386.7930064734301</v>
      </c>
      <c r="AC72" s="56">
        <f t="shared" si="80"/>
        <v>16.338018583774151</v>
      </c>
      <c r="AD72" s="119" t="s">
        <v>98</v>
      </c>
    </row>
    <row r="73" spans="1:30">
      <c r="A73" s="27" t="str">
        <f>IF(VLOOKUP(B73,'[1]1. Select Services'!$A$6:$E$77,5,FALSE)="x","x","")</f>
        <v>x</v>
      </c>
      <c r="B73" s="65">
        <v>56</v>
      </c>
      <c r="C73" s="65">
        <v>60</v>
      </c>
      <c r="D73" s="110"/>
      <c r="E73" s="66" t="s">
        <v>104</v>
      </c>
      <c r="F73" s="55">
        <f>IF(Chosen_Scenario="Mitigation Impact Only",VLOOKUP($B73,'[1]Coverage Review Updated'!$B$5:$T$78,18,FALSE),VLOOKUP($B73,'[1]Coverage Review Updated'!$B$5:$T$78,19,FALSE))</f>
        <v>104100</v>
      </c>
      <c r="G73" s="55">
        <f>VLOOKUP($B73,'[1]7. Number of HW Contacts'!$B$4:$I$84,6,FALSE)</f>
        <v>3</v>
      </c>
      <c r="H73" s="56">
        <f>G73*(1-HLOOKUP($B73,'[1]3. Mitigation Impact on Coverag'!$BY$5:$EQ$7,3,FALSE))</f>
        <v>2.7</v>
      </c>
      <c r="I73" s="83">
        <f>HLOOKUP(B73,'[1]3. Mitigation Impact on Coverag'!ES$5:HK$7,3,FALSE)</f>
        <v>0.87</v>
      </c>
      <c r="J73" s="54" t="e">
        <f t="shared" ca="1" si="61"/>
        <v>#NAME?</v>
      </c>
      <c r="K73" s="54" t="e">
        <f t="shared" ca="1" si="62"/>
        <v>#NAME?</v>
      </c>
      <c r="L73" s="55" t="e">
        <f t="shared" ca="1" si="63"/>
        <v>#NAME?</v>
      </c>
      <c r="M73" s="56" t="e">
        <f t="shared" ca="1" si="64"/>
        <v>#NAME?</v>
      </c>
      <c r="N73" s="57" t="e">
        <f t="shared" ca="1" si="65"/>
        <v>#NAME?</v>
      </c>
      <c r="O73" s="54" t="e">
        <f t="shared" ca="1" si="66"/>
        <v>#NAME?</v>
      </c>
      <c r="P73" s="55" t="e">
        <f t="shared" ca="1" si="67"/>
        <v>#NAME?</v>
      </c>
      <c r="Q73" s="56" t="e">
        <f t="shared" ca="1" si="68"/>
        <v>#NAME?</v>
      </c>
      <c r="R73" s="57" t="e">
        <f t="shared" ca="1" si="69"/>
        <v>#NAME?</v>
      </c>
      <c r="S73" s="54" t="e">
        <f t="shared" ca="1" si="70"/>
        <v>#NAME?</v>
      </c>
      <c r="T73" s="55" t="e">
        <f t="shared" ca="1" si="71"/>
        <v>#NAME?</v>
      </c>
      <c r="U73" s="56" t="e">
        <f t="shared" ca="1" si="72"/>
        <v>#NAME?</v>
      </c>
      <c r="V73" s="57" t="e">
        <f t="shared" ca="1" si="73"/>
        <v>#NAME?</v>
      </c>
      <c r="W73" s="54" t="e">
        <f t="shared" ca="1" si="74"/>
        <v>#NAME?</v>
      </c>
      <c r="X73" s="55" t="e">
        <f t="shared" ca="1" si="75"/>
        <v>#NAME?</v>
      </c>
      <c r="Y73" s="56" t="e">
        <f t="shared" ca="1" si="76"/>
        <v>#NAME?</v>
      </c>
      <c r="Z73" s="57">
        <f t="shared" si="77"/>
        <v>8.1682005249451572E-3</v>
      </c>
      <c r="AA73" s="54">
        <f t="shared" si="78"/>
        <v>6.2622870691246236E-3</v>
      </c>
      <c r="AB73" s="55">
        <f t="shared" si="79"/>
        <v>3696.2961556896012</v>
      </c>
      <c r="AC73" s="56">
        <f t="shared" si="80"/>
        <v>7.2006254638903009</v>
      </c>
      <c r="AD73" s="119" t="s">
        <v>98</v>
      </c>
    </row>
    <row r="74" spans="1:30">
      <c r="A74" s="27" t="str">
        <f>IF(VLOOKUP(B74,'[1]1. Select Services'!$A$6:$E$77,5,FALSE)="x","x","")</f>
        <v>x</v>
      </c>
      <c r="B74" s="65">
        <v>57</v>
      </c>
      <c r="C74" s="65">
        <v>61</v>
      </c>
      <c r="D74" s="110"/>
      <c r="E74" s="66" t="s">
        <v>105</v>
      </c>
      <c r="F74" s="55">
        <f>IF(Chosen_Scenario="Mitigation Impact Only",VLOOKUP($B74,'[1]Coverage Review Updated'!$B$5:$T$78,18,FALSE),VLOOKUP($B74,'[1]Coverage Review Updated'!$B$5:$T$78,19,FALSE))</f>
        <v>14100</v>
      </c>
      <c r="G74" s="55">
        <f>VLOOKUP($B74,'[1]7. Number of HW Contacts'!$B$4:$I$84,6,FALSE)</f>
        <v>2</v>
      </c>
      <c r="H74" s="56">
        <f>G74*(1-HLOOKUP($B74,'[1]3. Mitigation Impact on Coverag'!$BY$5:$EQ$7,3,FALSE))</f>
        <v>1.8</v>
      </c>
      <c r="I74" s="83">
        <f>HLOOKUP(B74,'[1]3. Mitigation Impact on Coverag'!ES$5:HK$7,3,FALSE)</f>
        <v>0.87</v>
      </c>
      <c r="J74" s="54" t="e">
        <f t="shared" ca="1" si="61"/>
        <v>#NAME?</v>
      </c>
      <c r="K74" s="54" t="e">
        <f t="shared" ca="1" si="62"/>
        <v>#NAME?</v>
      </c>
      <c r="L74" s="55" t="e">
        <f t="shared" ca="1" si="63"/>
        <v>#NAME?</v>
      </c>
      <c r="M74" s="56" t="e">
        <f t="shared" ca="1" si="64"/>
        <v>#NAME?</v>
      </c>
      <c r="N74" s="57" t="e">
        <f t="shared" ca="1" si="65"/>
        <v>#NAME?</v>
      </c>
      <c r="O74" s="54" t="e">
        <f t="shared" ca="1" si="66"/>
        <v>#NAME?</v>
      </c>
      <c r="P74" s="55" t="e">
        <f t="shared" ca="1" si="67"/>
        <v>#NAME?</v>
      </c>
      <c r="Q74" s="56" t="e">
        <f t="shared" ca="1" si="68"/>
        <v>#NAME?</v>
      </c>
      <c r="R74" s="57" t="e">
        <f t="shared" ca="1" si="69"/>
        <v>#NAME?</v>
      </c>
      <c r="S74" s="54" t="e">
        <f t="shared" ca="1" si="70"/>
        <v>#NAME?</v>
      </c>
      <c r="T74" s="55" t="e">
        <f t="shared" ca="1" si="71"/>
        <v>#NAME?</v>
      </c>
      <c r="U74" s="56" t="e">
        <f t="shared" ca="1" si="72"/>
        <v>#NAME?</v>
      </c>
      <c r="V74" s="57" t="e">
        <f t="shared" ca="1" si="73"/>
        <v>#NAME?</v>
      </c>
      <c r="W74" s="54" t="e">
        <f t="shared" ca="1" si="74"/>
        <v>#NAME?</v>
      </c>
      <c r="X74" s="55" t="e">
        <f t="shared" ca="1" si="75"/>
        <v>#NAME?</v>
      </c>
      <c r="Y74" s="56" t="e">
        <f t="shared" ca="1" si="76"/>
        <v>#NAME?</v>
      </c>
      <c r="Z74" s="57">
        <f t="shared" si="77"/>
        <v>5.452907335828483E-3</v>
      </c>
      <c r="AA74" s="54">
        <f t="shared" si="78"/>
        <v>4.1805622908018389E-3</v>
      </c>
      <c r="AB74" s="55">
        <f t="shared" si="79"/>
        <v>334.22341346273464</v>
      </c>
      <c r="AC74" s="56">
        <f t="shared" si="80"/>
        <v>0.65108896047294984</v>
      </c>
      <c r="AD74" s="119" t="s">
        <v>98</v>
      </c>
    </row>
    <row r="75" spans="1:30">
      <c r="A75" s="27" t="str">
        <f>IF(VLOOKUP(B75,'[1]1. Select Services'!$A$6:$E$77,5,FALSE)="x","x","")</f>
        <v>x</v>
      </c>
      <c r="B75" s="65">
        <v>58</v>
      </c>
      <c r="C75" s="65">
        <v>62</v>
      </c>
      <c r="D75" s="110"/>
      <c r="E75" s="66" t="s">
        <v>106</v>
      </c>
      <c r="F75" s="55">
        <f>IF(Chosen_Scenario="Mitigation Impact Only",VLOOKUP($B75,'[1]Coverage Review Updated'!$B$5:$T$78,18,FALSE),VLOOKUP($B75,'[1]Coverage Review Updated'!$B$5:$T$78,19,FALSE))</f>
        <v>0</v>
      </c>
      <c r="G75" s="55">
        <f>VLOOKUP($B75,'[1]7. Number of HW Contacts'!$B$4:$I$84,6,FALSE)</f>
        <v>1</v>
      </c>
      <c r="H75" s="56">
        <f>G75*(1-HLOOKUP($B75,'[1]3. Mitigation Impact on Coverag'!$BY$5:$EQ$7,3,FALSE))</f>
        <v>0.9</v>
      </c>
      <c r="I75" s="83">
        <f>HLOOKUP(B75,'[1]3. Mitigation Impact on Coverag'!ES$5:HK$7,3,FALSE)</f>
        <v>0.87</v>
      </c>
      <c r="J75" s="54" t="e">
        <f t="shared" ca="1" si="61"/>
        <v>#NAME?</v>
      </c>
      <c r="K75" s="54" t="e">
        <f t="shared" ca="1" si="62"/>
        <v>#NAME?</v>
      </c>
      <c r="L75" s="55" t="e">
        <f t="shared" ca="1" si="63"/>
        <v>#NAME?</v>
      </c>
      <c r="M75" s="56" t="e">
        <f t="shared" ca="1" si="64"/>
        <v>#NAME?</v>
      </c>
      <c r="N75" s="57" t="e">
        <f t="shared" ca="1" si="65"/>
        <v>#NAME?</v>
      </c>
      <c r="O75" s="54" t="e">
        <f t="shared" ca="1" si="66"/>
        <v>#NAME?</v>
      </c>
      <c r="P75" s="55" t="e">
        <f t="shared" ca="1" si="67"/>
        <v>#NAME?</v>
      </c>
      <c r="Q75" s="56" t="e">
        <f t="shared" ca="1" si="68"/>
        <v>#NAME?</v>
      </c>
      <c r="R75" s="57" t="e">
        <f t="shared" ca="1" si="69"/>
        <v>#NAME?</v>
      </c>
      <c r="S75" s="54" t="e">
        <f t="shared" ca="1" si="70"/>
        <v>#NAME?</v>
      </c>
      <c r="T75" s="55" t="e">
        <f t="shared" ca="1" si="71"/>
        <v>#NAME?</v>
      </c>
      <c r="U75" s="56" t="e">
        <f t="shared" ca="1" si="72"/>
        <v>#NAME?</v>
      </c>
      <c r="V75" s="57" t="e">
        <f t="shared" ca="1" si="73"/>
        <v>#NAME?</v>
      </c>
      <c r="W75" s="54" t="e">
        <f t="shared" ca="1" si="74"/>
        <v>#NAME?</v>
      </c>
      <c r="X75" s="55" t="e">
        <f t="shared" ca="1" si="75"/>
        <v>#NAME?</v>
      </c>
      <c r="Y75" s="56" t="e">
        <f t="shared" ca="1" si="76"/>
        <v>#NAME?</v>
      </c>
      <c r="Z75" s="57">
        <f t="shared" si="77"/>
        <v>2.7301806109985005E-3</v>
      </c>
      <c r="AA75" s="54">
        <f t="shared" si="78"/>
        <v>2.0931384684321846E-3</v>
      </c>
      <c r="AB75" s="55">
        <f t="shared" si="79"/>
        <v>0</v>
      </c>
      <c r="AC75" s="56">
        <f t="shared" si="80"/>
        <v>0</v>
      </c>
      <c r="AD75" s="119" t="s">
        <v>98</v>
      </c>
    </row>
    <row r="76" spans="1:30">
      <c r="A76" s="27" t="str">
        <f>IF(VLOOKUP(B76,'[1]1. Select Services'!$A$6:$E$77,5,FALSE)="x","x","")</f>
        <v>x</v>
      </c>
      <c r="B76" s="65">
        <v>59</v>
      </c>
      <c r="C76" s="65">
        <v>63</v>
      </c>
      <c r="D76" s="110"/>
      <c r="E76" s="66" t="s">
        <v>107</v>
      </c>
      <c r="F76" s="55">
        <f>IF(Chosen_Scenario="Mitigation Impact Only",VLOOKUP($B76,'[1]Coverage Review Updated'!$B$5:$T$78,18,FALSE),VLOOKUP($B76,'[1]Coverage Review Updated'!$B$5:$T$78,19,FALSE))</f>
        <v>0</v>
      </c>
      <c r="G76" s="55">
        <f>VLOOKUP($B76,'[1]7. Number of HW Contacts'!$B$4:$I$84,6,FALSE)</f>
        <v>3</v>
      </c>
      <c r="H76" s="56">
        <f>G76*(1-HLOOKUP($B76,'[1]3. Mitigation Impact on Coverag'!$BY$5:$EQ$7,3,FALSE))</f>
        <v>2.7</v>
      </c>
      <c r="I76" s="83">
        <f>HLOOKUP(B76,'[1]3. Mitigation Impact on Coverag'!ES$5:HK$7,3,FALSE)</f>
        <v>0.87</v>
      </c>
      <c r="J76" s="54" t="e">
        <f t="shared" ca="1" si="61"/>
        <v>#NAME?</v>
      </c>
      <c r="K76" s="54" t="e">
        <f t="shared" ca="1" si="62"/>
        <v>#NAME?</v>
      </c>
      <c r="L76" s="55" t="e">
        <f t="shared" ca="1" si="63"/>
        <v>#NAME?</v>
      </c>
      <c r="M76" s="56" t="e">
        <f t="shared" ca="1" si="64"/>
        <v>#NAME?</v>
      </c>
      <c r="N76" s="57" t="e">
        <f t="shared" ca="1" si="65"/>
        <v>#NAME?</v>
      </c>
      <c r="O76" s="54" t="e">
        <f t="shared" ca="1" si="66"/>
        <v>#NAME?</v>
      </c>
      <c r="P76" s="55" t="e">
        <f t="shared" ca="1" si="67"/>
        <v>#NAME?</v>
      </c>
      <c r="Q76" s="56" t="e">
        <f t="shared" ca="1" si="68"/>
        <v>#NAME?</v>
      </c>
      <c r="R76" s="57" t="e">
        <f t="shared" ca="1" si="69"/>
        <v>#NAME?</v>
      </c>
      <c r="S76" s="54" t="e">
        <f t="shared" ca="1" si="70"/>
        <v>#NAME?</v>
      </c>
      <c r="T76" s="55" t="e">
        <f t="shared" ca="1" si="71"/>
        <v>#NAME?</v>
      </c>
      <c r="U76" s="56" t="e">
        <f t="shared" ca="1" si="72"/>
        <v>#NAME?</v>
      </c>
      <c r="V76" s="57" t="e">
        <f t="shared" ca="1" si="73"/>
        <v>#NAME?</v>
      </c>
      <c r="W76" s="54" t="e">
        <f t="shared" ca="1" si="74"/>
        <v>#NAME?</v>
      </c>
      <c r="X76" s="55" t="e">
        <f t="shared" ca="1" si="75"/>
        <v>#NAME?</v>
      </c>
      <c r="Y76" s="56" t="e">
        <f t="shared" ca="1" si="76"/>
        <v>#NAME?</v>
      </c>
      <c r="Z76" s="57">
        <f t="shared" si="77"/>
        <v>8.1682005249451572E-3</v>
      </c>
      <c r="AA76" s="54">
        <f t="shared" si="78"/>
        <v>6.2622870691246236E-3</v>
      </c>
      <c r="AB76" s="55">
        <f t="shared" si="79"/>
        <v>0</v>
      </c>
      <c r="AC76" s="56">
        <f t="shared" si="80"/>
        <v>0</v>
      </c>
      <c r="AD76" s="119" t="s">
        <v>98</v>
      </c>
    </row>
    <row r="77" spans="1:30">
      <c r="A77" s="27" t="str">
        <f>IF(VLOOKUP(B77,'[1]1. Select Services'!$A$6:$E$77,5,FALSE)="x","x","")</f>
        <v>x</v>
      </c>
      <c r="B77" s="65">
        <v>60</v>
      </c>
      <c r="C77" s="65">
        <v>64</v>
      </c>
      <c r="D77" s="110"/>
      <c r="E77" s="66" t="s">
        <v>108</v>
      </c>
      <c r="F77" s="55">
        <f>IF(Chosen_Scenario="Mitigation Impact Only",VLOOKUP($B77,'[1]Coverage Review Updated'!$B$5:$T$78,18,FALSE),VLOOKUP($B77,'[1]Coverage Review Updated'!$B$5:$T$78,19,FALSE))</f>
        <v>230500</v>
      </c>
      <c r="G77" s="55">
        <f>VLOOKUP($B77,'[1]7. Number of HW Contacts'!$B$4:$I$84,6,FALSE)</f>
        <v>1</v>
      </c>
      <c r="H77" s="56">
        <f>G77*(1-HLOOKUP($B77,'[1]3. Mitigation Impact on Coverag'!$BY$5:$EQ$7,3,FALSE))</f>
        <v>0.9</v>
      </c>
      <c r="I77" s="83">
        <f>HLOOKUP(B77,'[1]3. Mitigation Impact on Coverag'!ES$5:HK$7,3,FALSE)</f>
        <v>0.87</v>
      </c>
      <c r="J77" s="54" t="e">
        <f t="shared" ca="1" si="61"/>
        <v>#NAME?</v>
      </c>
      <c r="K77" s="54" t="e">
        <f t="shared" ca="1" si="62"/>
        <v>#NAME?</v>
      </c>
      <c r="L77" s="55" t="e">
        <f t="shared" ca="1" si="63"/>
        <v>#NAME?</v>
      </c>
      <c r="M77" s="56" t="e">
        <f t="shared" ca="1" si="64"/>
        <v>#NAME?</v>
      </c>
      <c r="N77" s="57" t="e">
        <f t="shared" ca="1" si="65"/>
        <v>#NAME?</v>
      </c>
      <c r="O77" s="54" t="e">
        <f t="shared" ca="1" si="66"/>
        <v>#NAME?</v>
      </c>
      <c r="P77" s="55" t="e">
        <f t="shared" ca="1" si="67"/>
        <v>#NAME?</v>
      </c>
      <c r="Q77" s="56" t="e">
        <f t="shared" ca="1" si="68"/>
        <v>#NAME?</v>
      </c>
      <c r="R77" s="57" t="e">
        <f t="shared" ca="1" si="69"/>
        <v>#NAME?</v>
      </c>
      <c r="S77" s="54" t="e">
        <f t="shared" ca="1" si="70"/>
        <v>#NAME?</v>
      </c>
      <c r="T77" s="55" t="e">
        <f t="shared" ca="1" si="71"/>
        <v>#NAME?</v>
      </c>
      <c r="U77" s="56" t="e">
        <f t="shared" ca="1" si="72"/>
        <v>#NAME?</v>
      </c>
      <c r="V77" s="57" t="e">
        <f t="shared" ca="1" si="73"/>
        <v>#NAME?</v>
      </c>
      <c r="W77" s="54" t="e">
        <f t="shared" ca="1" si="74"/>
        <v>#NAME?</v>
      </c>
      <c r="X77" s="55" t="e">
        <f t="shared" ca="1" si="75"/>
        <v>#NAME?</v>
      </c>
      <c r="Y77" s="56" t="e">
        <f t="shared" ca="1" si="76"/>
        <v>#NAME?</v>
      </c>
      <c r="Z77" s="57">
        <f t="shared" si="77"/>
        <v>2.7301806109985005E-3</v>
      </c>
      <c r="AA77" s="54">
        <f t="shared" si="78"/>
        <v>2.0931384684321846E-3</v>
      </c>
      <c r="AB77" s="55">
        <f t="shared" si="79"/>
        <v>2735.5959242404174</v>
      </c>
      <c r="AC77" s="56">
        <f t="shared" si="80"/>
        <v>5.3291188912661953</v>
      </c>
      <c r="AD77" s="119" t="s">
        <v>98</v>
      </c>
    </row>
    <row r="78" spans="1:30">
      <c r="A78" s="27" t="str">
        <f>IF(VLOOKUP(B78,'[1]1. Select Services'!$A$6:$E$77,5,FALSE)="x","x","")</f>
        <v>x</v>
      </c>
      <c r="B78" s="68">
        <v>61</v>
      </c>
      <c r="C78" s="68">
        <v>47</v>
      </c>
      <c r="D78" s="111" t="s">
        <v>35</v>
      </c>
      <c r="E78" s="69" t="s">
        <v>109</v>
      </c>
      <c r="F78" s="70">
        <f>IF(Chosen_Scenario="Mitigation Impact Only",VLOOKUP($B78,'[1]Coverage Review Updated'!$B$5:$T$78,18,FALSE),VLOOKUP($B78,'[1]Coverage Review Updated'!$B$5:$T$78,19,FALSE))</f>
        <v>0</v>
      </c>
      <c r="G78" s="70">
        <f>VLOOKUP($B78,'[1]7. Number of HW Contacts'!$B$4:$I$84,6,FALSE)</f>
        <v>2</v>
      </c>
      <c r="H78" s="71">
        <f>G78*(1-HLOOKUP($B78,'[1]3. Mitigation Impact on Coverag'!$BY$5:$EQ$7,3,FALSE))</f>
        <v>1.8</v>
      </c>
      <c r="I78" s="84">
        <f>HLOOKUP(B78,'[1]3. Mitigation Impact on Coverag'!ES$5:HK$7,3,FALSE)</f>
        <v>0.89</v>
      </c>
      <c r="J78" s="85" t="e">
        <f t="shared" ca="1" si="61"/>
        <v>#NAME?</v>
      </c>
      <c r="K78" s="85" t="e">
        <f t="shared" ca="1" si="62"/>
        <v>#NAME?</v>
      </c>
      <c r="L78" s="70" t="e">
        <f t="shared" ca="1" si="63"/>
        <v>#NAME?</v>
      </c>
      <c r="M78" s="71" t="e">
        <f t="shared" ca="1" si="64"/>
        <v>#NAME?</v>
      </c>
      <c r="N78" s="86" t="e">
        <f t="shared" ca="1" si="65"/>
        <v>#NAME?</v>
      </c>
      <c r="O78" s="85" t="e">
        <f t="shared" ca="1" si="66"/>
        <v>#NAME?</v>
      </c>
      <c r="P78" s="70" t="e">
        <f t="shared" ca="1" si="67"/>
        <v>#NAME?</v>
      </c>
      <c r="Q78" s="71" t="e">
        <f t="shared" ca="1" si="68"/>
        <v>#NAME?</v>
      </c>
      <c r="R78" s="86" t="e">
        <f t="shared" ca="1" si="69"/>
        <v>#NAME?</v>
      </c>
      <c r="S78" s="85" t="e">
        <f t="shared" ca="1" si="70"/>
        <v>#NAME?</v>
      </c>
      <c r="T78" s="70" t="e">
        <f t="shared" ca="1" si="71"/>
        <v>#NAME?</v>
      </c>
      <c r="U78" s="71" t="e">
        <f t="shared" ca="1" si="72"/>
        <v>#NAME?</v>
      </c>
      <c r="V78" s="86" t="e">
        <f t="shared" ca="1" si="73"/>
        <v>#NAME?</v>
      </c>
      <c r="W78" s="85" t="e">
        <f t="shared" ca="1" si="74"/>
        <v>#NAME?</v>
      </c>
      <c r="X78" s="70" t="e">
        <f t="shared" ca="1" si="75"/>
        <v>#NAME?</v>
      </c>
      <c r="Y78" s="71" t="e">
        <f t="shared" ca="1" si="76"/>
        <v>#NAME?</v>
      </c>
      <c r="Z78" s="86">
        <f t="shared" si="77"/>
        <v>5.4233416439648519E-3</v>
      </c>
      <c r="AA78" s="85">
        <f t="shared" si="78"/>
        <v>4.1578952603730556E-3</v>
      </c>
      <c r="AB78" s="70">
        <f t="shared" si="79"/>
        <v>0</v>
      </c>
      <c r="AC78" s="71">
        <f t="shared" si="80"/>
        <v>0</v>
      </c>
      <c r="AD78" s="131" t="s">
        <v>98</v>
      </c>
    </row>
    <row r="79" spans="1:30">
      <c r="A79" s="27" t="str">
        <f>IF(VLOOKUP(B79,'[1]1. Select Services'!$A$6:$E$77,5,FALSE)="x","x","")</f>
        <v>x</v>
      </c>
      <c r="B79" s="68">
        <v>62</v>
      </c>
      <c r="C79" s="68">
        <v>48</v>
      </c>
      <c r="D79" s="111"/>
      <c r="E79" s="69" t="s">
        <v>110</v>
      </c>
      <c r="F79" s="70">
        <f>IF(Chosen_Scenario="Mitigation Impact Only",VLOOKUP($B79,'[1]Coverage Review Updated'!$B$5:$T$78,18,FALSE),VLOOKUP($B79,'[1]Coverage Review Updated'!$B$5:$T$78,19,FALSE))</f>
        <v>0</v>
      </c>
      <c r="G79" s="70">
        <f>VLOOKUP($B79,'[1]7. Number of HW Contacts'!$B$4:$I$84,6,FALSE)</f>
        <v>2</v>
      </c>
      <c r="H79" s="71">
        <f>G79*(1-HLOOKUP($B79,'[1]3. Mitigation Impact on Coverag'!$BY$5:$EQ$7,3,FALSE))</f>
        <v>1.8</v>
      </c>
      <c r="I79" s="84">
        <f>HLOOKUP(B79,'[1]3. Mitigation Impact on Coverag'!ES$5:HK$7,3,FALSE)</f>
        <v>0.89</v>
      </c>
      <c r="J79" s="85" t="e">
        <f t="shared" ca="1" si="61"/>
        <v>#NAME?</v>
      </c>
      <c r="K79" s="85" t="e">
        <f t="shared" ca="1" si="62"/>
        <v>#NAME?</v>
      </c>
      <c r="L79" s="70" t="e">
        <f t="shared" ca="1" si="63"/>
        <v>#NAME?</v>
      </c>
      <c r="M79" s="71" t="e">
        <f t="shared" ca="1" si="64"/>
        <v>#NAME?</v>
      </c>
      <c r="N79" s="86" t="e">
        <f t="shared" ca="1" si="65"/>
        <v>#NAME?</v>
      </c>
      <c r="O79" s="85" t="e">
        <f t="shared" ca="1" si="66"/>
        <v>#NAME?</v>
      </c>
      <c r="P79" s="70" t="e">
        <f t="shared" ca="1" si="67"/>
        <v>#NAME?</v>
      </c>
      <c r="Q79" s="71" t="e">
        <f t="shared" ca="1" si="68"/>
        <v>#NAME?</v>
      </c>
      <c r="R79" s="86" t="e">
        <f t="shared" ca="1" si="69"/>
        <v>#NAME?</v>
      </c>
      <c r="S79" s="85" t="e">
        <f t="shared" ca="1" si="70"/>
        <v>#NAME?</v>
      </c>
      <c r="T79" s="70" t="e">
        <f t="shared" ca="1" si="71"/>
        <v>#NAME?</v>
      </c>
      <c r="U79" s="71" t="e">
        <f t="shared" ca="1" si="72"/>
        <v>#NAME?</v>
      </c>
      <c r="V79" s="86" t="e">
        <f t="shared" ca="1" si="73"/>
        <v>#NAME?</v>
      </c>
      <c r="W79" s="85" t="e">
        <f t="shared" ca="1" si="74"/>
        <v>#NAME?</v>
      </c>
      <c r="X79" s="70" t="e">
        <f t="shared" ca="1" si="75"/>
        <v>#NAME?</v>
      </c>
      <c r="Y79" s="71" t="e">
        <f t="shared" ca="1" si="76"/>
        <v>#NAME?</v>
      </c>
      <c r="Z79" s="86">
        <f t="shared" si="77"/>
        <v>5.4233416439648519E-3</v>
      </c>
      <c r="AA79" s="85">
        <f t="shared" si="78"/>
        <v>4.1578952603730556E-3</v>
      </c>
      <c r="AB79" s="70">
        <f t="shared" si="79"/>
        <v>0</v>
      </c>
      <c r="AC79" s="71">
        <f t="shared" si="80"/>
        <v>0</v>
      </c>
      <c r="AD79" s="119" t="s">
        <v>98</v>
      </c>
    </row>
    <row r="80" spans="1:30">
      <c r="A80" s="27" t="str">
        <f>IF(VLOOKUP(B80,'[1]1. Select Services'!$A$6:$E$77,5,FALSE)="x","x","")</f>
        <v>x</v>
      </c>
      <c r="B80" s="68">
        <v>63</v>
      </c>
      <c r="C80" s="68">
        <v>71</v>
      </c>
      <c r="D80" s="111"/>
      <c r="E80" s="72" t="s">
        <v>111</v>
      </c>
      <c r="F80" s="70">
        <f>IF(Chosen_Scenario="Mitigation Impact Only",VLOOKUP($B80,'[1]Coverage Review Updated'!$B$5:$T$78,18,FALSE),VLOOKUP($B80,'[1]Coverage Review Updated'!$B$5:$T$78,19,FALSE))</f>
        <v>2876500</v>
      </c>
      <c r="G80" s="70">
        <f>VLOOKUP($B80,'[1]7. Number of HW Contacts'!$B$4:$I$84,6,FALSE)</f>
        <v>1</v>
      </c>
      <c r="H80" s="71">
        <f>G80*(1-HLOOKUP($B80,'[1]3. Mitigation Impact on Coverag'!$BY$5:$EQ$7,3,FALSE))</f>
        <v>0.9</v>
      </c>
      <c r="I80" s="84">
        <f>HLOOKUP(B80,'[1]3. Mitigation Impact on Coverag'!ES$5:HK$7,3,FALSE)</f>
        <v>0.89</v>
      </c>
      <c r="J80" s="85" t="e">
        <f t="shared" ca="1" si="61"/>
        <v>#NAME?</v>
      </c>
      <c r="K80" s="85" t="e">
        <f t="shared" ca="1" si="62"/>
        <v>#NAME?</v>
      </c>
      <c r="L80" s="70" t="e">
        <f t="shared" ca="1" si="63"/>
        <v>#NAME?</v>
      </c>
      <c r="M80" s="71" t="e">
        <f t="shared" ca="1" si="64"/>
        <v>#NAME?</v>
      </c>
      <c r="N80" s="86" t="e">
        <f t="shared" ca="1" si="65"/>
        <v>#NAME?</v>
      </c>
      <c r="O80" s="85" t="e">
        <f t="shared" ca="1" si="66"/>
        <v>#NAME?</v>
      </c>
      <c r="P80" s="70" t="e">
        <f t="shared" ca="1" si="67"/>
        <v>#NAME?</v>
      </c>
      <c r="Q80" s="71" t="e">
        <f t="shared" ca="1" si="68"/>
        <v>#NAME?</v>
      </c>
      <c r="R80" s="86" t="e">
        <f t="shared" ca="1" si="69"/>
        <v>#NAME?</v>
      </c>
      <c r="S80" s="85" t="e">
        <f t="shared" ca="1" si="70"/>
        <v>#NAME?</v>
      </c>
      <c r="T80" s="70" t="e">
        <f t="shared" ca="1" si="71"/>
        <v>#NAME?</v>
      </c>
      <c r="U80" s="71" t="e">
        <f t="shared" ca="1" si="72"/>
        <v>#NAME?</v>
      </c>
      <c r="V80" s="86" t="e">
        <f t="shared" ca="1" si="73"/>
        <v>#NAME?</v>
      </c>
      <c r="W80" s="85" t="e">
        <f t="shared" ca="1" si="74"/>
        <v>#NAME?</v>
      </c>
      <c r="X80" s="70" t="e">
        <f t="shared" ca="1" si="75"/>
        <v>#NAME?</v>
      </c>
      <c r="Y80" s="71" t="e">
        <f t="shared" ca="1" si="76"/>
        <v>#NAME?</v>
      </c>
      <c r="Z80" s="86">
        <f t="shared" si="77"/>
        <v>2.7153574049004758E-3</v>
      </c>
      <c r="AA80" s="85">
        <f t="shared" si="78"/>
        <v>2.081774010423699E-3</v>
      </c>
      <c r="AB80" s="70">
        <f t="shared" si="79"/>
        <v>33953.224075377977</v>
      </c>
      <c r="AC80" s="71">
        <f t="shared" si="80"/>
        <v>66.143090153101511</v>
      </c>
      <c r="AD80" s="119" t="s">
        <v>98</v>
      </c>
    </row>
    <row r="81" spans="1:30">
      <c r="A81" s="27" t="str">
        <f>IF(VLOOKUP(B81,'[1]1. Select Services'!$A$6:$E$77,5,FALSE)="x","x","")</f>
        <v>x</v>
      </c>
      <c r="B81" s="68">
        <v>64</v>
      </c>
      <c r="C81" s="68">
        <v>72</v>
      </c>
      <c r="D81" s="111"/>
      <c r="E81" s="72" t="s">
        <v>112</v>
      </c>
      <c r="F81" s="70">
        <f>IF(Chosen_Scenario="Mitigation Impact Only",VLOOKUP($B81,'[1]Coverage Review Updated'!$B$5:$T$78,18,FALSE),VLOOKUP($B81,'[1]Coverage Review Updated'!$B$5:$T$78,19,FALSE))</f>
        <v>0</v>
      </c>
      <c r="G81" s="70">
        <f>VLOOKUP($B81,'[1]7. Number of HW Contacts'!$B$4:$I$84,6,FALSE)</f>
        <v>1</v>
      </c>
      <c r="H81" s="71">
        <f>G81*(1-HLOOKUP($B81,'[1]3. Mitigation Impact on Coverag'!$BY$5:$EQ$7,3,FALSE))</f>
        <v>0.9</v>
      </c>
      <c r="I81" s="84">
        <f>HLOOKUP(B81,'[1]3. Mitigation Impact on Coverag'!ES$5:HK$7,3,FALSE)</f>
        <v>0.89</v>
      </c>
      <c r="J81" s="85" t="e">
        <f t="shared" ca="1" si="61"/>
        <v>#NAME?</v>
      </c>
      <c r="K81" s="85" t="e">
        <f t="shared" ca="1" si="62"/>
        <v>#NAME?</v>
      </c>
      <c r="L81" s="70" t="e">
        <f t="shared" ca="1" si="63"/>
        <v>#NAME?</v>
      </c>
      <c r="M81" s="71" t="e">
        <f t="shared" ca="1" si="64"/>
        <v>#NAME?</v>
      </c>
      <c r="N81" s="86" t="e">
        <f t="shared" ca="1" si="65"/>
        <v>#NAME?</v>
      </c>
      <c r="O81" s="85" t="e">
        <f t="shared" ca="1" si="66"/>
        <v>#NAME?</v>
      </c>
      <c r="P81" s="70" t="e">
        <f t="shared" ca="1" si="67"/>
        <v>#NAME?</v>
      </c>
      <c r="Q81" s="71" t="e">
        <f t="shared" ca="1" si="68"/>
        <v>#NAME?</v>
      </c>
      <c r="R81" s="86" t="e">
        <f t="shared" ca="1" si="69"/>
        <v>#NAME?</v>
      </c>
      <c r="S81" s="85" t="e">
        <f t="shared" ca="1" si="70"/>
        <v>#NAME?</v>
      </c>
      <c r="T81" s="70" t="e">
        <f t="shared" ca="1" si="71"/>
        <v>#NAME?</v>
      </c>
      <c r="U81" s="71" t="e">
        <f t="shared" ca="1" si="72"/>
        <v>#NAME?</v>
      </c>
      <c r="V81" s="86" t="e">
        <f t="shared" ca="1" si="73"/>
        <v>#NAME?</v>
      </c>
      <c r="W81" s="85" t="e">
        <f t="shared" ca="1" si="74"/>
        <v>#NAME?</v>
      </c>
      <c r="X81" s="70" t="e">
        <f t="shared" ca="1" si="75"/>
        <v>#NAME?</v>
      </c>
      <c r="Y81" s="71" t="e">
        <f t="shared" ca="1" si="76"/>
        <v>#NAME?</v>
      </c>
      <c r="Z81" s="86">
        <f t="shared" si="77"/>
        <v>2.7153574049004758E-3</v>
      </c>
      <c r="AA81" s="85">
        <f t="shared" si="78"/>
        <v>2.081774010423699E-3</v>
      </c>
      <c r="AB81" s="70">
        <f t="shared" si="79"/>
        <v>0</v>
      </c>
      <c r="AC81" s="71">
        <f t="shared" si="80"/>
        <v>0</v>
      </c>
      <c r="AD81" s="119" t="s">
        <v>98</v>
      </c>
    </row>
    <row r="82" spans="1:30">
      <c r="A82" s="27" t="str">
        <f>IF(VLOOKUP(B82,'[1]1. Select Services'!$A$6:$E$77,5,FALSE)="x","x","")</f>
        <v>x</v>
      </c>
      <c r="B82" s="68">
        <v>65</v>
      </c>
      <c r="C82" s="68">
        <v>73</v>
      </c>
      <c r="D82" s="111"/>
      <c r="E82" s="72" t="s">
        <v>113</v>
      </c>
      <c r="F82" s="70">
        <f>IF(Chosen_Scenario="Mitigation Impact Only",VLOOKUP($B82,'[1]Coverage Review Updated'!$B$5:$T$78,18,FALSE),VLOOKUP($B82,'[1]Coverage Review Updated'!$B$5:$T$78,19,FALSE))</f>
        <v>838100</v>
      </c>
      <c r="G82" s="70">
        <f>VLOOKUP($B82,'[1]7. Number of HW Contacts'!$B$4:$I$84,6,FALSE)</f>
        <v>1</v>
      </c>
      <c r="H82" s="71">
        <f>G82*(1-HLOOKUP($B82,'[1]3. Mitigation Impact on Coverag'!$BY$5:$EQ$7,3,FALSE))</f>
        <v>0.9</v>
      </c>
      <c r="I82" s="84">
        <f>HLOOKUP(B82,'[1]3. Mitigation Impact on Coverag'!ES$5:HK$7,3,FALSE)</f>
        <v>0.89</v>
      </c>
      <c r="J82" s="85" t="e">
        <f t="shared" ca="1" si="61"/>
        <v>#NAME?</v>
      </c>
      <c r="K82" s="85" t="e">
        <f t="shared" ca="1" si="62"/>
        <v>#NAME?</v>
      </c>
      <c r="L82" s="70" t="e">
        <f t="shared" ca="1" si="63"/>
        <v>#NAME?</v>
      </c>
      <c r="M82" s="71" t="e">
        <f t="shared" ca="1" si="64"/>
        <v>#NAME?</v>
      </c>
      <c r="N82" s="86" t="e">
        <f t="shared" ca="1" si="65"/>
        <v>#NAME?</v>
      </c>
      <c r="O82" s="85" t="e">
        <f t="shared" ca="1" si="66"/>
        <v>#NAME?</v>
      </c>
      <c r="P82" s="70" t="e">
        <f t="shared" ca="1" si="67"/>
        <v>#NAME?</v>
      </c>
      <c r="Q82" s="71" t="e">
        <f t="shared" ca="1" si="68"/>
        <v>#NAME?</v>
      </c>
      <c r="R82" s="86" t="e">
        <f t="shared" ca="1" si="69"/>
        <v>#NAME?</v>
      </c>
      <c r="S82" s="85" t="e">
        <f t="shared" ca="1" si="70"/>
        <v>#NAME?</v>
      </c>
      <c r="T82" s="70" t="e">
        <f t="shared" ca="1" si="71"/>
        <v>#NAME?</v>
      </c>
      <c r="U82" s="71" t="e">
        <f t="shared" ca="1" si="72"/>
        <v>#NAME?</v>
      </c>
      <c r="V82" s="86" t="e">
        <f t="shared" ca="1" si="73"/>
        <v>#NAME?</v>
      </c>
      <c r="W82" s="85" t="e">
        <f t="shared" ca="1" si="74"/>
        <v>#NAME?</v>
      </c>
      <c r="X82" s="70" t="e">
        <f t="shared" ca="1" si="75"/>
        <v>#NAME?</v>
      </c>
      <c r="Y82" s="71" t="e">
        <f t="shared" ca="1" si="76"/>
        <v>#NAME?</v>
      </c>
      <c r="Z82" s="86">
        <f t="shared" si="77"/>
        <v>2.7153574049004758E-3</v>
      </c>
      <c r="AA82" s="85">
        <f t="shared" si="78"/>
        <v>2.081774010423699E-3</v>
      </c>
      <c r="AB82" s="70">
        <f t="shared" si="79"/>
        <v>9892.6463054316991</v>
      </c>
      <c r="AC82" s="71">
        <f t="shared" si="80"/>
        <v>19.271518810121464</v>
      </c>
      <c r="AD82" s="119" t="s">
        <v>98</v>
      </c>
    </row>
    <row r="83" spans="1:30">
      <c r="A83" s="27" t="str">
        <f>IF(VLOOKUP(B83,'[1]1. Select Services'!$A$6:$E$77,5,FALSE)="x","x","")</f>
        <v>x</v>
      </c>
      <c r="B83" s="68">
        <v>66</v>
      </c>
      <c r="C83" s="68">
        <v>74</v>
      </c>
      <c r="D83" s="111"/>
      <c r="E83" s="72" t="s">
        <v>114</v>
      </c>
      <c r="F83" s="70">
        <f>IF(Chosen_Scenario="Mitigation Impact Only",VLOOKUP($B83,'[1]Coverage Review Updated'!$B$5:$T$78,18,FALSE),VLOOKUP($B83,'[1]Coverage Review Updated'!$B$5:$T$78,19,FALSE))</f>
        <v>1441800</v>
      </c>
      <c r="G83" s="70">
        <f>VLOOKUP($B83,'[1]7. Number of HW Contacts'!$B$4:$I$84,6,FALSE)</f>
        <v>1</v>
      </c>
      <c r="H83" s="71">
        <f>G83*(1-HLOOKUP($B83,'[1]3. Mitigation Impact on Coverag'!$BY$5:$EQ$7,3,FALSE))</f>
        <v>0.9</v>
      </c>
      <c r="I83" s="84">
        <f>HLOOKUP(B83,'[1]3. Mitigation Impact on Coverag'!ES$5:HK$7,3,FALSE)</f>
        <v>0.89</v>
      </c>
      <c r="J83" s="85" t="e">
        <f t="shared" ca="1" si="61"/>
        <v>#NAME?</v>
      </c>
      <c r="K83" s="85" t="e">
        <f t="shared" ca="1" si="62"/>
        <v>#NAME?</v>
      </c>
      <c r="L83" s="70" t="e">
        <f t="shared" ca="1" si="63"/>
        <v>#NAME?</v>
      </c>
      <c r="M83" s="71" t="e">
        <f t="shared" ca="1" si="64"/>
        <v>#NAME?</v>
      </c>
      <c r="N83" s="86" t="e">
        <f t="shared" ca="1" si="65"/>
        <v>#NAME?</v>
      </c>
      <c r="O83" s="85" t="e">
        <f t="shared" ca="1" si="66"/>
        <v>#NAME?</v>
      </c>
      <c r="P83" s="70" t="e">
        <f t="shared" ca="1" si="67"/>
        <v>#NAME?</v>
      </c>
      <c r="Q83" s="71" t="e">
        <f t="shared" ca="1" si="68"/>
        <v>#NAME?</v>
      </c>
      <c r="R83" s="86" t="e">
        <f t="shared" ca="1" si="69"/>
        <v>#NAME?</v>
      </c>
      <c r="S83" s="85" t="e">
        <f t="shared" ca="1" si="70"/>
        <v>#NAME?</v>
      </c>
      <c r="T83" s="70" t="e">
        <f t="shared" ca="1" si="71"/>
        <v>#NAME?</v>
      </c>
      <c r="U83" s="71" t="e">
        <f t="shared" ca="1" si="72"/>
        <v>#NAME?</v>
      </c>
      <c r="V83" s="86" t="e">
        <f t="shared" ca="1" si="73"/>
        <v>#NAME?</v>
      </c>
      <c r="W83" s="85" t="e">
        <f t="shared" ca="1" si="74"/>
        <v>#NAME?</v>
      </c>
      <c r="X83" s="70" t="e">
        <f t="shared" ca="1" si="75"/>
        <v>#NAME?</v>
      </c>
      <c r="Y83" s="71" t="e">
        <f t="shared" ca="1" si="76"/>
        <v>#NAME?</v>
      </c>
      <c r="Z83" s="86">
        <f t="shared" si="77"/>
        <v>2.7153574049004758E-3</v>
      </c>
      <c r="AA83" s="85">
        <f t="shared" si="78"/>
        <v>2.081774010423699E-3</v>
      </c>
      <c r="AB83" s="70">
        <f t="shared" si="79"/>
        <v>17018.515025857803</v>
      </c>
      <c r="AC83" s="71">
        <f t="shared" si="80"/>
        <v>33.153174824523468</v>
      </c>
      <c r="AD83" s="119" t="s">
        <v>98</v>
      </c>
    </row>
    <row r="84" spans="1:30">
      <c r="A84" s="27" t="str">
        <f>IF(VLOOKUP(B84,'[1]1. Select Services'!$A$6:$E$77,5,FALSE)="x","x","")</f>
        <v>x</v>
      </c>
      <c r="B84" s="68">
        <v>67</v>
      </c>
      <c r="C84" s="68">
        <v>75</v>
      </c>
      <c r="D84" s="111"/>
      <c r="E84" s="72" t="s">
        <v>115</v>
      </c>
      <c r="F84" s="70">
        <f>IF(Chosen_Scenario="Mitigation Impact Only",VLOOKUP($B84,'[1]Coverage Review Updated'!$B$5:$T$78,18,FALSE),VLOOKUP($B84,'[1]Coverage Review Updated'!$B$5:$T$78,19,FALSE))</f>
        <v>0</v>
      </c>
      <c r="G84" s="70">
        <f>VLOOKUP($B84,'[1]7. Number of HW Contacts'!$B$4:$I$84,6,FALSE)</f>
        <v>1</v>
      </c>
      <c r="H84" s="71">
        <f>G84*(1-HLOOKUP($B84,'[1]3. Mitigation Impact on Coverag'!$BY$5:$EQ$7,3,FALSE))</f>
        <v>0.9</v>
      </c>
      <c r="I84" s="84">
        <f>HLOOKUP(B84,'[1]3. Mitigation Impact on Coverag'!ES$5:HK$7,3,FALSE)</f>
        <v>0.89</v>
      </c>
      <c r="J84" s="85" t="e">
        <f t="shared" ca="1" si="61"/>
        <v>#NAME?</v>
      </c>
      <c r="K84" s="85" t="e">
        <f t="shared" ca="1" si="62"/>
        <v>#NAME?</v>
      </c>
      <c r="L84" s="70" t="e">
        <f t="shared" ca="1" si="63"/>
        <v>#NAME?</v>
      </c>
      <c r="M84" s="71" t="e">
        <f t="shared" ca="1" si="64"/>
        <v>#NAME?</v>
      </c>
      <c r="N84" s="86" t="e">
        <f t="shared" ca="1" si="65"/>
        <v>#NAME?</v>
      </c>
      <c r="O84" s="85" t="e">
        <f t="shared" ca="1" si="66"/>
        <v>#NAME?</v>
      </c>
      <c r="P84" s="70" t="e">
        <f t="shared" ca="1" si="67"/>
        <v>#NAME?</v>
      </c>
      <c r="Q84" s="71" t="e">
        <f t="shared" ca="1" si="68"/>
        <v>#NAME?</v>
      </c>
      <c r="R84" s="86" t="e">
        <f t="shared" ca="1" si="69"/>
        <v>#NAME?</v>
      </c>
      <c r="S84" s="85" t="e">
        <f t="shared" ca="1" si="70"/>
        <v>#NAME?</v>
      </c>
      <c r="T84" s="70" t="e">
        <f t="shared" ca="1" si="71"/>
        <v>#NAME?</v>
      </c>
      <c r="U84" s="71" t="e">
        <f t="shared" ca="1" si="72"/>
        <v>#NAME?</v>
      </c>
      <c r="V84" s="86" t="e">
        <f t="shared" ca="1" si="73"/>
        <v>#NAME?</v>
      </c>
      <c r="W84" s="85" t="e">
        <f t="shared" ca="1" si="74"/>
        <v>#NAME?</v>
      </c>
      <c r="X84" s="70" t="e">
        <f t="shared" ca="1" si="75"/>
        <v>#NAME?</v>
      </c>
      <c r="Y84" s="71" t="e">
        <f t="shared" ca="1" si="76"/>
        <v>#NAME?</v>
      </c>
      <c r="Z84" s="86">
        <f t="shared" si="77"/>
        <v>2.7153574049004758E-3</v>
      </c>
      <c r="AA84" s="85">
        <f t="shared" si="78"/>
        <v>2.081774010423699E-3</v>
      </c>
      <c r="AB84" s="70">
        <f t="shared" si="79"/>
        <v>0</v>
      </c>
      <c r="AC84" s="71">
        <f t="shared" si="80"/>
        <v>0</v>
      </c>
      <c r="AD84" s="119" t="s">
        <v>98</v>
      </c>
    </row>
    <row r="85" spans="1:30">
      <c r="A85" s="27" t="str">
        <f>IF(VLOOKUP(B85,'[1]1. Select Services'!$A$6:$E$77,5,FALSE)="x","x","")</f>
        <v>x</v>
      </c>
      <c r="B85" s="68">
        <v>68</v>
      </c>
      <c r="C85" s="68">
        <v>76</v>
      </c>
      <c r="D85" s="111"/>
      <c r="E85" s="72" t="s">
        <v>116</v>
      </c>
      <c r="F85" s="70">
        <f>IF(Chosen_Scenario="Mitigation Impact Only",VLOOKUP($B85,'[1]Coverage Review Updated'!$B$5:$T$78,18,FALSE),VLOOKUP($B85,'[1]Coverage Review Updated'!$B$5:$T$78,19,FALSE))</f>
        <v>1084200</v>
      </c>
      <c r="G85" s="70">
        <f>VLOOKUP($B85,'[1]7. Number of HW Contacts'!$B$4:$I$84,6,FALSE)</f>
        <v>2</v>
      </c>
      <c r="H85" s="71">
        <f>G85*(1-HLOOKUP($B85,'[1]3. Mitigation Impact on Coverag'!$BY$5:$EQ$7,3,FALSE))</f>
        <v>1.8</v>
      </c>
      <c r="I85" s="84">
        <f>HLOOKUP(B85,'[1]3. Mitigation Impact on Coverag'!ES$5:HK$7,3,FALSE)</f>
        <v>0.89</v>
      </c>
      <c r="J85" s="85" t="e">
        <f t="shared" ca="1" si="61"/>
        <v>#NAME?</v>
      </c>
      <c r="K85" s="85" t="e">
        <f t="shared" ca="1" si="62"/>
        <v>#NAME?</v>
      </c>
      <c r="L85" s="70" t="e">
        <f t="shared" ca="1" si="63"/>
        <v>#NAME?</v>
      </c>
      <c r="M85" s="71" t="e">
        <f t="shared" ca="1" si="64"/>
        <v>#NAME?</v>
      </c>
      <c r="N85" s="86" t="e">
        <f t="shared" ca="1" si="65"/>
        <v>#NAME?</v>
      </c>
      <c r="O85" s="85" t="e">
        <f t="shared" ca="1" si="66"/>
        <v>#NAME?</v>
      </c>
      <c r="P85" s="70" t="e">
        <f t="shared" ca="1" si="67"/>
        <v>#NAME?</v>
      </c>
      <c r="Q85" s="71" t="e">
        <f t="shared" ca="1" si="68"/>
        <v>#NAME?</v>
      </c>
      <c r="R85" s="86" t="e">
        <f t="shared" ca="1" si="69"/>
        <v>#NAME?</v>
      </c>
      <c r="S85" s="85" t="e">
        <f t="shared" ca="1" si="70"/>
        <v>#NAME?</v>
      </c>
      <c r="T85" s="70" t="e">
        <f t="shared" ca="1" si="71"/>
        <v>#NAME?</v>
      </c>
      <c r="U85" s="71" t="e">
        <f t="shared" ca="1" si="72"/>
        <v>#NAME?</v>
      </c>
      <c r="V85" s="86" t="e">
        <f t="shared" ca="1" si="73"/>
        <v>#NAME?</v>
      </c>
      <c r="W85" s="85" t="e">
        <f t="shared" ca="1" si="74"/>
        <v>#NAME?</v>
      </c>
      <c r="X85" s="70" t="e">
        <f t="shared" ca="1" si="75"/>
        <v>#NAME?</v>
      </c>
      <c r="Y85" s="71" t="e">
        <f t="shared" ca="1" si="76"/>
        <v>#NAME?</v>
      </c>
      <c r="Z85" s="86">
        <f t="shared" si="77"/>
        <v>5.4233416439648519E-3</v>
      </c>
      <c r="AA85" s="85">
        <f t="shared" si="78"/>
        <v>4.1578952603730556E-3</v>
      </c>
      <c r="AB85" s="70">
        <f t="shared" si="79"/>
        <v>25560.303534150968</v>
      </c>
      <c r="AC85" s="71">
        <f t="shared" si="80"/>
        <v>49.793134732851321</v>
      </c>
      <c r="AD85" s="119" t="s">
        <v>98</v>
      </c>
    </row>
    <row r="86" spans="1:30">
      <c r="A86" s="27" t="str">
        <f>IF(VLOOKUP(B86,'[1]1. Select Services'!$A$6:$E$77,5,FALSE)="x","x","")</f>
        <v/>
      </c>
      <c r="B86" s="73">
        <v>69</v>
      </c>
      <c r="C86" s="73">
        <v>77</v>
      </c>
      <c r="D86" s="112" t="s">
        <v>36</v>
      </c>
      <c r="E86" s="74" t="s">
        <v>117</v>
      </c>
      <c r="F86" s="75">
        <f>IF(Chosen_Scenario="Mitigation Impact Only",VLOOKUP($B86,'[1]Coverage Review Updated'!$B$5:$T$78,18,FALSE),VLOOKUP($B86,'[1]Coverage Review Updated'!$B$5:$T$78,19,FALSE))</f>
        <v>0</v>
      </c>
      <c r="G86" s="75">
        <f>VLOOKUP($B85,'[1]7. Number of HW Contacts'!$B$4:$I$84,6,FALSE)</f>
        <v>2</v>
      </c>
      <c r="H86" s="76">
        <f>G86*(1-HLOOKUP($B85,'[1]3. Mitigation Impact on Coverag'!$BY$5:$EQ$7,3,FALSE))</f>
        <v>1.8</v>
      </c>
      <c r="I86" s="87">
        <f>HLOOKUP(B86,'[1]3. Mitigation Impact on Coverag'!ES$5:HK$7,3,FALSE)</f>
        <v>0</v>
      </c>
      <c r="J86" s="88" t="e">
        <f t="shared" ca="1" si="61"/>
        <v>#NAME?</v>
      </c>
      <c r="K86" s="88" t="e">
        <f t="shared" ca="1" si="62"/>
        <v>#NAME?</v>
      </c>
      <c r="L86" s="75" t="e">
        <f t="shared" ca="1" si="63"/>
        <v>#NAME?</v>
      </c>
      <c r="M86" s="76" t="e">
        <f t="shared" ca="1" si="64"/>
        <v>#NAME?</v>
      </c>
      <c r="N86" s="89" t="e">
        <f t="shared" ca="1" si="65"/>
        <v>#NAME?</v>
      </c>
      <c r="O86" s="88" t="e">
        <f t="shared" ca="1" si="66"/>
        <v>#NAME?</v>
      </c>
      <c r="P86" s="75" t="e">
        <f t="shared" ca="1" si="67"/>
        <v>#NAME?</v>
      </c>
      <c r="Q86" s="76" t="e">
        <f t="shared" ca="1" si="68"/>
        <v>#NAME?</v>
      </c>
      <c r="R86" s="89" t="e">
        <f t="shared" ca="1" si="69"/>
        <v>#NAME?</v>
      </c>
      <c r="S86" s="88" t="e">
        <f t="shared" ca="1" si="70"/>
        <v>#NAME?</v>
      </c>
      <c r="T86" s="75" t="e">
        <f t="shared" ca="1" si="71"/>
        <v>#NAME?</v>
      </c>
      <c r="U86" s="76" t="e">
        <f t="shared" ca="1" si="72"/>
        <v>#NAME?</v>
      </c>
      <c r="V86" s="89" t="e">
        <f t="shared" ca="1" si="73"/>
        <v>#NAME?</v>
      </c>
      <c r="W86" s="88" t="e">
        <f t="shared" ca="1" si="74"/>
        <v>#NAME?</v>
      </c>
      <c r="X86" s="75" t="e">
        <f t="shared" ca="1" si="75"/>
        <v>#NAME?</v>
      </c>
      <c r="Y86" s="76" t="e">
        <f t="shared" ca="1" si="76"/>
        <v>#NAME?</v>
      </c>
      <c r="Z86" s="89">
        <f t="shared" si="77"/>
        <v>6.7383770648795638E-3</v>
      </c>
      <c r="AA86" s="88">
        <f t="shared" si="78"/>
        <v>5.1660890830743352E-3</v>
      </c>
      <c r="AB86" s="75">
        <f t="shared" si="79"/>
        <v>0</v>
      </c>
      <c r="AC86" s="76">
        <f t="shared" si="80"/>
        <v>0</v>
      </c>
      <c r="AD86" s="119" t="s">
        <v>98</v>
      </c>
    </row>
    <row r="87" spans="1:30">
      <c r="A87" s="27" t="str">
        <f>IF(VLOOKUP(B87,'[1]1. Select Services'!$A$6:$E$77,5,FALSE)="x","x","")</f>
        <v/>
      </c>
      <c r="B87" s="73">
        <v>70</v>
      </c>
      <c r="C87" s="73">
        <v>78</v>
      </c>
      <c r="D87" s="112"/>
      <c r="E87" s="74" t="s">
        <v>118</v>
      </c>
      <c r="F87" s="75">
        <f>IF(Chosen_Scenario="Mitigation Impact Only",VLOOKUP($B87,'[1]Coverage Review Updated'!$B$5:$T$78,18,FALSE),VLOOKUP($B87,'[1]Coverage Review Updated'!$B$5:$T$78,19,FALSE))</f>
        <v>0</v>
      </c>
      <c r="G87" s="75">
        <f>VLOOKUP($B86,'[1]7. Number of HW Contacts'!$B$4:$I$84,6,FALSE)</f>
        <v>4</v>
      </c>
      <c r="H87" s="76">
        <f>G87*(1-HLOOKUP($B86,'[1]3. Mitigation Impact on Coverag'!$BY$5:$EQ$7,3,FALSE))</f>
        <v>4</v>
      </c>
      <c r="I87" s="87">
        <f>HLOOKUP(B87,'[1]3. Mitigation Impact on Coverag'!ES$5:HK$7,3,FALSE)</f>
        <v>0</v>
      </c>
      <c r="J87" s="88" t="e">
        <f t="shared" ca="1" si="61"/>
        <v>#NAME?</v>
      </c>
      <c r="K87" s="88" t="e">
        <f t="shared" ca="1" si="62"/>
        <v>#NAME?</v>
      </c>
      <c r="L87" s="75" t="e">
        <f t="shared" ca="1" si="63"/>
        <v>#NAME?</v>
      </c>
      <c r="M87" s="76" t="e">
        <f t="shared" ca="1" si="64"/>
        <v>#NAME?</v>
      </c>
      <c r="N87" s="89" t="e">
        <f t="shared" ca="1" si="65"/>
        <v>#NAME?</v>
      </c>
      <c r="O87" s="88" t="e">
        <f t="shared" ca="1" si="66"/>
        <v>#NAME?</v>
      </c>
      <c r="P87" s="75" t="e">
        <f t="shared" ca="1" si="67"/>
        <v>#NAME?</v>
      </c>
      <c r="Q87" s="76" t="e">
        <f t="shared" ca="1" si="68"/>
        <v>#NAME?</v>
      </c>
      <c r="R87" s="89" t="e">
        <f t="shared" ca="1" si="69"/>
        <v>#NAME?</v>
      </c>
      <c r="S87" s="88" t="e">
        <f t="shared" ca="1" si="70"/>
        <v>#NAME?</v>
      </c>
      <c r="T87" s="75" t="e">
        <f t="shared" ca="1" si="71"/>
        <v>#NAME?</v>
      </c>
      <c r="U87" s="76" t="e">
        <f t="shared" ca="1" si="72"/>
        <v>#NAME?</v>
      </c>
      <c r="V87" s="89" t="e">
        <f t="shared" ca="1" si="73"/>
        <v>#NAME?</v>
      </c>
      <c r="W87" s="88" t="e">
        <f t="shared" ca="1" si="74"/>
        <v>#NAME?</v>
      </c>
      <c r="X87" s="75" t="e">
        <f t="shared" ca="1" si="75"/>
        <v>#NAME?</v>
      </c>
      <c r="Y87" s="76" t="e">
        <f t="shared" ca="1" si="76"/>
        <v>#NAME?</v>
      </c>
      <c r="Z87" s="89">
        <f t="shared" si="77"/>
        <v>1.3431348404290833E-2</v>
      </c>
      <c r="AA87" s="88">
        <f t="shared" si="78"/>
        <v>1.029736710995631E-2</v>
      </c>
      <c r="AB87" s="75">
        <f t="shared" si="79"/>
        <v>0</v>
      </c>
      <c r="AC87" s="76">
        <f t="shared" si="80"/>
        <v>0</v>
      </c>
      <c r="AD87" s="119" t="s">
        <v>98</v>
      </c>
    </row>
    <row r="88" spans="1:30">
      <c r="A88" s="27" t="str">
        <f>IF(VLOOKUP(B88,'[1]1. Select Services'!$A$6:$E$77,5,FALSE)="x","x","")</f>
        <v/>
      </c>
      <c r="B88" s="77">
        <v>71</v>
      </c>
      <c r="C88" s="78">
        <v>54</v>
      </c>
      <c r="D88" s="79"/>
      <c r="E88" s="80" t="s">
        <v>119</v>
      </c>
      <c r="F88" s="81">
        <f>IF(Chosen_Scenario="Mitigation Impact Only",VLOOKUP($B88,'[1]Coverage Review Updated'!$B$5:$T$78,18,FALSE),VLOOKUP($B88,'[1]Coverage Review Updated'!$B$5:$T$78,19,FALSE))</f>
        <v>0</v>
      </c>
      <c r="G88" s="81">
        <f>VLOOKUP($B87,'[1]7. Number of HW Contacts'!$B$4:$I$84,6,FALSE)</f>
        <v>4</v>
      </c>
      <c r="H88" s="82">
        <f>G88*(1-HLOOKUP($B87,'[1]3. Mitigation Impact on Coverag'!$BY$5:$EQ$7,3,FALSE))</f>
        <v>4</v>
      </c>
      <c r="I88" s="90">
        <f>HLOOKUP(B88,'[1]3. Mitigation Impact on Coverag'!ES$5:HK$7,3,FALSE)</f>
        <v>0</v>
      </c>
      <c r="J88" s="91" t="e">
        <f ca="1">1-((1-Risk_of_Provider_Being_Infected*_xlfn.SINGLE(Transmission_Risk_Contact_Health_Care_Provider))^(G88)*(1-Risk_of_Community_Member_being_Infected*Transmission_Risk_in_Community)^(G88*Contacts_During_Travel_to_Facility))</f>
        <v>#NAME?</v>
      </c>
      <c r="K88" s="91" t="e">
        <f t="shared" ca="1" si="62"/>
        <v>#NAME?</v>
      </c>
      <c r="L88" s="81" t="e">
        <f t="shared" ca="1" si="63"/>
        <v>#NAME?</v>
      </c>
      <c r="M88" s="82" t="e">
        <f t="shared" ca="1" si="64"/>
        <v>#NAME?</v>
      </c>
      <c r="N88" s="92" t="e">
        <f ca="1">1-((1-Risk_of_Provider_Being_Infected*_xlfn.SINGLE(Transmission_Risk_Contact_Health_Care_Provider)*(1-Reduction_in_Risk_PPE))^($G88)*(1-Risk_of_Community_Member_being_Infected*Transmission_Risk_in_Community)^($G88*Contacts_During_Travel_to_Facility))</f>
        <v>#NAME?</v>
      </c>
      <c r="O88" s="91" t="e">
        <f t="shared" ca="1" si="66"/>
        <v>#NAME?</v>
      </c>
      <c r="P88" s="81" t="e">
        <f t="shared" ca="1" si="67"/>
        <v>#NAME?</v>
      </c>
      <c r="Q88" s="82" t="e">
        <f t="shared" ca="1" si="68"/>
        <v>#NAME?</v>
      </c>
      <c r="R88" s="92" t="e">
        <f ca="1">1-((1-Risk_of_Provider_Being_Infected*_xlfn.SINGLE(Transmission_Risk_Contact_Health_Care_Provider)*(1-Reduction_in_Risk_PPE))^($G88*(1-Reduction_in_Risk_TS)))*(1-Risk_of_Community_Member_being_Infected*Transmission_Risk_in_Community)^($G88*Contacts_During_Travel_to_Facility)</f>
        <v>#NAME?</v>
      </c>
      <c r="S88" s="91" t="e">
        <f t="shared" ca="1" si="70"/>
        <v>#NAME?</v>
      </c>
      <c r="T88" s="81" t="e">
        <f t="shared" ca="1" si="71"/>
        <v>#NAME?</v>
      </c>
      <c r="U88" s="82" t="e">
        <f t="shared" ca="1" si="72"/>
        <v>#NAME?</v>
      </c>
      <c r="V88" s="92" t="e">
        <f ca="1">1-((1-Risk_of_Provider_Being_Infected*_xlfn.SINGLE(Transmission_Risk_Contact_Health_Care_Provider)*(1-Reduction_in_Risk_PPE))^($H88*(1-Reduction_in_Risk_TS)))*(1-Risk_of_Community_Member_being_Infected*Transmission_Risk_in_Community)^($H88*Contacts_During_Travel_to_Facility)</f>
        <v>#NAME?</v>
      </c>
      <c r="W88" s="91" t="e">
        <f t="shared" ca="1" si="74"/>
        <v>#NAME?</v>
      </c>
      <c r="X88" s="81" t="e">
        <f t="shared" ca="1" si="75"/>
        <v>#NAME?</v>
      </c>
      <c r="Y88" s="82" t="e">
        <f t="shared" ca="1" si="76"/>
        <v>#NAME?</v>
      </c>
      <c r="Z88" s="92" t="e">
        <f ca="1">1-((1-Risk_of_Provider_Being_Infected*_xlfn.SINGLE(Transmission_Risk_Contact_Health_Care_Provider)*(1-Reduction_in_Risk_PPE))^($H88*(1-Reduction_in_Risk_TS)))*(1-Risk_of_Community_Member_being_Infected*Transmission_Risk_in_Community)^($H88*Contacts_During_Travel_to_Facility)</f>
        <v>#NAME?</v>
      </c>
      <c r="AA88" s="91" t="e">
        <f t="shared" ca="1" si="78"/>
        <v>#NAME?</v>
      </c>
      <c r="AB88" s="81" t="e">
        <f t="shared" ca="1" si="79"/>
        <v>#NAME?</v>
      </c>
      <c r="AC88" s="82" t="e">
        <f t="shared" ca="1" si="80"/>
        <v>#NAME?</v>
      </c>
      <c r="AD88" s="60"/>
    </row>
  </sheetData>
  <mergeCells count="14">
    <mergeCell ref="D64:D66"/>
    <mergeCell ref="D67:D77"/>
    <mergeCell ref="D78:D85"/>
    <mergeCell ref="D86:D87"/>
    <mergeCell ref="Z2:AC2"/>
    <mergeCell ref="D15:D22"/>
    <mergeCell ref="D23:D35"/>
    <mergeCell ref="D36:D52"/>
    <mergeCell ref="D53:D63"/>
    <mergeCell ref="H2:I2"/>
    <mergeCell ref="J2:M2"/>
    <mergeCell ref="N2:Q2"/>
    <mergeCell ref="R2:U2"/>
    <mergeCell ref="V2:Y2"/>
  </mergeCells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2024-11-19T04:29:00Z</dcterms:created>
  <dcterms:modified xsi:type="dcterms:W3CDTF">2026-03-20T10:35:45Z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F339D5B2B2E64BA5994F78E028DA47B8_11</vt:lpwstr>
  </property>
  <property fmtid="{D5CDD505-2E9C-101B-9397-08002B2CF9AE}" pid="3" name="KSOProductBuildVer">
    <vt:lpwstr>2052-12.1.0.19302</vt:lpwstr>
  </property>
</Properties>
</file>