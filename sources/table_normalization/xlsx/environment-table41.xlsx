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1" i="1" l="1"/>
  <c r="F91" i="1"/>
  <c r="E91" i="1"/>
  <c r="G90" i="1"/>
  <c r="F90" i="1"/>
  <c r="E90" i="1"/>
  <c r="G89" i="1"/>
  <c r="F89" i="1"/>
  <c r="E89" i="1"/>
  <c r="G78" i="1"/>
  <c r="F78" i="1"/>
  <c r="E78" i="1"/>
  <c r="G77" i="1"/>
  <c r="F77" i="1"/>
  <c r="E77" i="1"/>
  <c r="G76" i="1"/>
  <c r="F76" i="1"/>
  <c r="E76" i="1"/>
  <c r="G66" i="1"/>
  <c r="F66" i="1"/>
  <c r="E66" i="1"/>
  <c r="G65" i="1"/>
  <c r="F65" i="1"/>
  <c r="E65" i="1"/>
  <c r="G64" i="1"/>
  <c r="F64" i="1"/>
  <c r="E64" i="1"/>
  <c r="G48" i="1"/>
  <c r="F48" i="1"/>
  <c r="E48" i="1"/>
  <c r="G47" i="1"/>
  <c r="F47" i="1"/>
  <c r="E47" i="1"/>
  <c r="G46" i="1"/>
  <c r="F46" i="1"/>
  <c r="E46" i="1"/>
  <c r="G28" i="1"/>
  <c r="F28" i="1"/>
  <c r="E28" i="1"/>
  <c r="G27" i="1"/>
  <c r="F27" i="1"/>
  <c r="E27" i="1"/>
  <c r="G26" i="1"/>
  <c r="F26" i="1"/>
  <c r="E26" i="1"/>
  <c r="G14" i="1"/>
  <c r="F14" i="1"/>
  <c r="E14" i="1"/>
  <c r="G13" i="1"/>
  <c r="F13" i="1"/>
  <c r="E13" i="1"/>
  <c r="G12" i="1"/>
  <c r="F12" i="1"/>
  <c r="E12" i="1"/>
</calcChain>
</file>

<file path=xl/sharedStrings.xml><?xml version="1.0" encoding="utf-8"?>
<sst xmlns="http://schemas.openxmlformats.org/spreadsheetml/2006/main" count="256" uniqueCount="46">
  <si>
    <t>Animal</t>
  </si>
  <si>
    <t>Genotype</t>
  </si>
  <si>
    <t>Group</t>
  </si>
  <si>
    <t>Treatment</t>
  </si>
  <si>
    <t>Time Open Arms (s)</t>
  </si>
  <si>
    <t>(Open Distance/Total Distance)*100</t>
  </si>
  <si>
    <t>Total Distance (m)</t>
  </si>
  <si>
    <t>C1</t>
  </si>
  <si>
    <t>WT</t>
  </si>
  <si>
    <t>Control</t>
  </si>
  <si>
    <t>Vehicle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</si>
  <si>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</si>
  <si>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</si>
  <si>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</si>
  <si>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</si>
  <si>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</si>
  <si>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</si>
  <si>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</si>
  <si>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</si>
  <si>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</si>
  <si>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average</t>
  </si>
  <si>
    <t>stdv</t>
  </si>
  <si>
    <t>sterror</t>
  </si>
  <si>
    <t>C11</t>
  </si>
  <si>
    <t>Fluoxetine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</si>
  <si>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</si>
  <si>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</si>
  <si>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</si>
  <si>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</si>
  <si>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</si>
  <si>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</si>
  <si>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</si>
  <si>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</si>
  <si>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</si>
  <si>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Stress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</si>
  <si>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</si>
  <si>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</si>
  <si>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</si>
  <si>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</si>
  <si>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</si>
  <si>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</si>
  <si>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</si>
  <si>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</si>
  <si>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</si>
  <si>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</si>
  <si>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FGF2KO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</si>
</sst>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2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1" fillId="3" borderId="0" xfId="0" applyFont="1" applyFill="1" applyAlignment="1"/>
    <xf numFmtId="0" fontId="2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/>
  </cellXfs>
  <cellStyles count="1"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1"/>
  <sheetViews>
    <sheetView tabSelected="1" workbookViewId="0">
      <selection activeCell="F2" sqref="F2"/>
    </sheetView>
  </sheetViews>
  <sheetFormatPr defaultColWidth="13" defaultRowHeight="15.5"/>
  <cols>
    <col min="1" max="4" width="13" style="1"/>
    <col min="5" max="5" width="24.08984375" style="1" customWidth="1"/>
    <col min="6" max="6" width="44.6328125" style="1" customWidth="1"/>
    <col min="7" max="7" width="31.81640625" style="1" customWidth="1"/>
    <col min="8" max="8" width="25.6328125" style="1" customWidth="1"/>
    <col min="9" max="16384" width="13" style="1"/>
  </cols>
  <sheetData>
    <row r="1" spans="1: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8">
      <c r="A2" s="2" t="s">
        <v>7</v>
      </c>
      <c r="B2" s="2" t="s">
        <v>8</v>
      </c>
      <c r="C2" s="2" t="s">
        <v>9</v>
      </c>
      <c r="D2" s="2" t="s">
        <v>10</v>
      </c>
      <c r="E2" s="1">
        <v>118.2</v>
      </c>
      <c r="F2" s="1">
        <v>33.765509999999999</v>
      </c>
      <c r="G2" s="1">
        <v>5.399</v>
      </c>
    </row>
    <row r="3" spans="1:8">
      <c r="A3" s="2" t="s">
        <v>11</v>
      </c>
      <c r="B3" s="2" t="s">
        <v>8</v>
      </c>
      <c r="C3" s="2" t="s">
        <v>9</v>
      </c>
      <c r="D3" s="2" t="s">
        <v>10</v>
      </c>
      <c r="E3" s="1">
        <v>3.4</v>
      </c>
      <c r="F3" s="1">
        <v>0.47638000000000003</v>
      </c>
      <c r="G3" s="1">
        <v>2.5190000000000001</v>
      </c>
    </row>
    <row r="4" spans="1:8">
      <c r="A4" s="2" t="s">
        <v>12</v>
      </c>
      <c r="B4" s="2" t="s">
        <v>8</v>
      </c>
      <c r="C4" s="2" t="s">
        <v>9</v>
      </c>
      <c r="D4" s="2" t="s">
        <v>10</v>
      </c>
      <c r="E4" s="1">
        <v>99.7</v>
      </c>
      <c r="F4" s="1">
        <v>26.403839999999999</v>
      </c>
      <c r="G4" s="1">
        <v>8.548</v>
      </c>
    </row>
    <row r="5" spans="1:8">
      <c r="A5" s="2" t="s">
        <v>13</v>
      </c>
      <c r="B5" s="2" t="s">
        <v>8</v>
      </c>
      <c r="C5" s="2" t="s">
        <v>9</v>
      </c>
      <c r="D5" s="2" t="s">
        <v>10</v>
      </c>
      <c r="E5" s="1">
        <v>161.6</v>
      </c>
      <c r="F5" s="1">
        <v>37.164969999999997</v>
      </c>
      <c r="G5" s="1">
        <v>12.275</v>
      </c>
    </row>
    <row r="6" spans="1:8">
      <c r="A6" s="2" t="s">
        <v>14</v>
      </c>
      <c r="B6" s="2" t="s">
        <v>8</v>
      </c>
      <c r="C6" s="2" t="s">
        <v>9</v>
      </c>
      <c r="D6" s="2" t="s">
        <v>10</v>
      </c>
      <c r="E6" s="1">
        <v>122.6</v>
      </c>
      <c r="F6" s="1">
        <v>21.824369999999998</v>
      </c>
      <c r="G6" s="1">
        <v>7.3449999999999998</v>
      </c>
    </row>
    <row r="7" spans="1:8">
      <c r="A7" s="2" t="s">
        <v>15</v>
      </c>
      <c r="B7" s="2" t="s">
        <v>8</v>
      </c>
      <c r="C7" s="2" t="s">
        <v>9</v>
      </c>
      <c r="D7" s="2" t="s">
        <v>10</v>
      </c>
      <c r="E7" s="1">
        <v>106.8</v>
      </c>
      <c r="F7" s="1">
        <v>31.842140000000001</v>
      </c>
      <c r="G7" s="1">
        <v>7.399</v>
      </c>
    </row>
    <row r="8" spans="1:8">
      <c r="A8" s="2" t="s">
        <v>16</v>
      </c>
      <c r="B8" s="2" t="s">
        <v>8</v>
      </c>
      <c r="C8" s="2" t="s">
        <v>9</v>
      </c>
      <c r="D8" s="2" t="s">
        <v>10</v>
      </c>
      <c r="E8" s="1">
        <v>68</v>
      </c>
      <c r="F8" s="1">
        <v>24.611149999999999</v>
      </c>
      <c r="G8" s="1">
        <v>6.1719999999999997</v>
      </c>
    </row>
    <row r="9" spans="1:8">
      <c r="A9" s="2" t="s">
        <v>17</v>
      </c>
      <c r="B9" s="2" t="s">
        <v>8</v>
      </c>
      <c r="C9" s="2" t="s">
        <v>9</v>
      </c>
      <c r="D9" s="2" t="s">
        <v>10</v>
      </c>
      <c r="E9" s="1">
        <v>162</v>
      </c>
      <c r="F9" s="1">
        <v>42.565570000000001</v>
      </c>
      <c r="G9" s="1">
        <v>12.2</v>
      </c>
    </row>
    <row r="10" spans="1:8">
      <c r="A10" s="2" t="s">
        <v>18</v>
      </c>
      <c r="B10" s="2" t="s">
        <v>8</v>
      </c>
      <c r="C10" s="2" t="s">
        <v>9</v>
      </c>
      <c r="D10" s="2" t="s">
        <v>10</v>
      </c>
      <c r="E10" s="1">
        <v>152.9</v>
      </c>
      <c r="F10" s="1">
        <v>46.482880000000002</v>
      </c>
      <c r="G10" s="1">
        <v>8.0890000000000004</v>
      </c>
    </row>
    <row r="11" spans="1:8">
      <c r="A11" s="2" t="s">
        <v>19</v>
      </c>
      <c r="B11" s="2" t="s">
        <v>8</v>
      </c>
      <c r="C11" s="2" t="s">
        <v>9</v>
      </c>
      <c r="D11" s="2" t="s">
        <v>10</v>
      </c>
      <c r="E11" s="1">
        <v>103.1</v>
      </c>
      <c r="F11" s="1">
        <v>24.73884</v>
      </c>
      <c r="G11" s="1">
        <v>4.2119999999999997</v>
      </c>
    </row>
    <row r="12" spans="1:8">
      <c r="A12" s="6" t="s">
        <v>20</v>
      </c>
      <c r="B12" s="6"/>
      <c r="C12" s="6"/>
      <c r="D12" s="6"/>
      <c r="E12" s="4">
        <f t="shared" ref="E12:G12" si="0">AVERAGE(E2:E11)</f>
        <v>109.83</v>
      </c>
      <c r="F12" s="4">
        <f t="shared" si="0"/>
        <v>28.987565</v>
      </c>
      <c r="G12" s="4">
        <f t="shared" si="0"/>
        <v>7.4157999999999999</v>
      </c>
      <c r="H12" s="3"/>
    </row>
    <row r="13" spans="1:8">
      <c r="A13" s="6" t="s">
        <v>21</v>
      </c>
      <c r="B13" s="6"/>
      <c r="C13" s="6"/>
      <c r="D13" s="6"/>
      <c r="E13" s="4">
        <f t="shared" ref="E13:G13" si="1">STDEV(E2:E11)</f>
        <v>47.986318652067702</v>
      </c>
      <c r="F13" s="4">
        <f t="shared" si="1"/>
        <v>12.8943351734294</v>
      </c>
      <c r="G13" s="4">
        <f t="shared" si="1"/>
        <v>3.1286892818274898</v>
      </c>
      <c r="H13" s="3"/>
    </row>
    <row r="14" spans="1:8">
      <c r="A14" s="6" t="s">
        <v>22</v>
      </c>
      <c r="B14" s="6"/>
      <c r="C14" s="6"/>
      <c r="D14" s="6"/>
      <c r="E14" s="4">
        <f t="shared" ref="E14:G14" si="2">E13/SQRT(10)</f>
        <v>15.1746063467155</v>
      </c>
      <c r="F14" s="4">
        <f t="shared" si="2"/>
        <v>4.0775468061659197</v>
      </c>
      <c r="G14" s="4">
        <f t="shared" si="2"/>
        <v>0.98937842215313299</v>
      </c>
      <c r="H14" s="3"/>
    </row>
    <row r="15" spans="1:8">
      <c r="A15" s="2"/>
      <c r="B15" s="2"/>
      <c r="C15" s="2"/>
      <c r="D15" s="2"/>
    </row>
    <row r="16" spans="1:8">
      <c r="A16" s="2" t="s">
        <v>23</v>
      </c>
      <c r="B16" s="2" t="s">
        <v>8</v>
      </c>
      <c r="C16" s="2" t="s">
        <v>9</v>
      </c>
      <c r="D16" s="2" t="s">
        <v>24</v>
      </c>
      <c r="E16" s="1">
        <v>139.19999999999999</v>
      </c>
      <c r="F16" s="1">
        <v>41.233469999999997</v>
      </c>
      <c r="G16" s="1">
        <v>8.7720000000000002</v>
      </c>
    </row>
    <row r="17" spans="1:7">
      <c r="A17" s="2" t="s">
        <v>25</v>
      </c>
      <c r="B17" s="2" t="s">
        <v>8</v>
      </c>
      <c r="C17" s="2" t="s">
        <v>9</v>
      </c>
      <c r="D17" s="2" t="s">
        <v>24</v>
      </c>
      <c r="E17" s="1">
        <v>137.80000000000001</v>
      </c>
      <c r="F17" s="1">
        <v>37.879280000000001</v>
      </c>
      <c r="G17" s="1">
        <v>9.2609999999999992</v>
      </c>
    </row>
    <row r="18" spans="1:7">
      <c r="A18" s="2" t="s">
        <v>26</v>
      </c>
      <c r="B18" s="2" t="s">
        <v>8</v>
      </c>
      <c r="C18" s="2" t="s">
        <v>9</v>
      </c>
      <c r="D18" s="2" t="s">
        <v>24</v>
      </c>
      <c r="E18" s="1">
        <v>151.30000000000001</v>
      </c>
      <c r="F18" s="1">
        <v>32.082810000000002</v>
      </c>
      <c r="G18" s="1">
        <v>12.848000000000001</v>
      </c>
    </row>
    <row r="19" spans="1:7">
      <c r="A19" s="2" t="s">
        <v>27</v>
      </c>
      <c r="B19" s="2" t="s">
        <v>8</v>
      </c>
      <c r="C19" s="2" t="s">
        <v>9</v>
      </c>
      <c r="D19" s="2" t="s">
        <v>24</v>
      </c>
      <c r="E19" s="1">
        <v>123.4</v>
      </c>
      <c r="F19" s="1">
        <v>33.059010000000001</v>
      </c>
      <c r="G19" s="1">
        <v>9.2349999999999994</v>
      </c>
    </row>
    <row r="20" spans="1:7">
      <c r="A20" s="2" t="s">
        <v>28</v>
      </c>
      <c r="B20" s="2" t="s">
        <v>8</v>
      </c>
      <c r="C20" s="2" t="s">
        <v>9</v>
      </c>
      <c r="D20" s="2" t="s">
        <v>24</v>
      </c>
      <c r="E20" s="1">
        <v>123</v>
      </c>
      <c r="F20" s="1">
        <v>33.830069999999999</v>
      </c>
      <c r="G20" s="1">
        <v>7.65</v>
      </c>
    </row>
    <row r="21" spans="1:7">
      <c r="A21" s="2" t="s">
        <v>29</v>
      </c>
      <c r="B21" s="2" t="s">
        <v>8</v>
      </c>
      <c r="C21" s="2" t="s">
        <v>9</v>
      </c>
      <c r="D21" s="2" t="s">
        <v>24</v>
      </c>
      <c r="E21" s="1">
        <v>120.1</v>
      </c>
      <c r="F21" s="1">
        <v>34.862079999999999</v>
      </c>
      <c r="G21" s="1">
        <v>8.9179999999999993</v>
      </c>
    </row>
    <row r="22" spans="1:7">
      <c r="A22" s="2" t="s">
        <v>30</v>
      </c>
      <c r="B22" s="2" t="s">
        <v>8</v>
      </c>
      <c r="C22" s="2" t="s">
        <v>9</v>
      </c>
      <c r="D22" s="2" t="s">
        <v>24</v>
      </c>
      <c r="E22" s="1">
        <v>125.3</v>
      </c>
      <c r="F22" s="1">
        <v>27.497489999999999</v>
      </c>
      <c r="G22" s="1">
        <v>7.968</v>
      </c>
    </row>
    <row r="23" spans="1:7">
      <c r="A23" s="2" t="s">
        <v>31</v>
      </c>
      <c r="B23" s="2" t="s">
        <v>8</v>
      </c>
      <c r="C23" s="2" t="s">
        <v>9</v>
      </c>
      <c r="D23" s="2" t="s">
        <v>24</v>
      </c>
      <c r="E23" s="1">
        <v>125.7</v>
      </c>
      <c r="F23" s="1">
        <v>26.99287</v>
      </c>
      <c r="G23" s="1">
        <v>7.9909999999999997</v>
      </c>
    </row>
    <row r="24" spans="1:7">
      <c r="A24" s="2" t="s">
        <v>32</v>
      </c>
      <c r="B24" s="2" t="s">
        <v>8</v>
      </c>
      <c r="C24" s="2" t="s">
        <v>9</v>
      </c>
      <c r="D24" s="2" t="s">
        <v>24</v>
      </c>
      <c r="E24" s="1">
        <v>131</v>
      </c>
      <c r="F24" s="1">
        <v>29.02075</v>
      </c>
      <c r="G24" s="1">
        <v>8.9659999999999993</v>
      </c>
    </row>
    <row r="25" spans="1:7">
      <c r="A25" s="2" t="s">
        <v>33</v>
      </c>
      <c r="B25" s="2" t="s">
        <v>8</v>
      </c>
      <c r="C25" s="2" t="s">
        <v>9</v>
      </c>
      <c r="D25" s="2" t="s">
        <v>24</v>
      </c>
      <c r="E25" s="1">
        <v>156</v>
      </c>
      <c r="F25" s="1">
        <v>44.556939999999997</v>
      </c>
      <c r="G25" s="1">
        <v>10.766</v>
      </c>
    </row>
    <row r="26" spans="1:7">
      <c r="A26" s="6" t="s">
        <v>20</v>
      </c>
      <c r="B26" s="6"/>
      <c r="C26" s="6"/>
      <c r="D26" s="6"/>
      <c r="E26" s="4">
        <f t="shared" ref="E26:G26" si="3">AVERAGE(E16:E25)</f>
        <v>133.28</v>
      </c>
      <c r="F26" s="4">
        <f t="shared" si="3"/>
        <v>34.101477000000003</v>
      </c>
      <c r="G26" s="4">
        <f t="shared" si="3"/>
        <v>9.2375000000000007</v>
      </c>
    </row>
    <row r="27" spans="1:7">
      <c r="A27" s="6" t="s">
        <v>21</v>
      </c>
      <c r="B27" s="6"/>
      <c r="C27" s="6"/>
      <c r="D27" s="6"/>
      <c r="E27" s="4">
        <f t="shared" ref="E27:G27" si="4">STDEV(E16:E25)</f>
        <v>12.471015284339201</v>
      </c>
      <c r="F27" s="4">
        <f t="shared" si="4"/>
        <v>5.7756816184047803</v>
      </c>
      <c r="G27" s="4">
        <f t="shared" si="4"/>
        <v>1.54382686493301</v>
      </c>
    </row>
    <row r="28" spans="1:7">
      <c r="A28" s="6" t="s">
        <v>22</v>
      </c>
      <c r="B28" s="6"/>
      <c r="C28" s="6"/>
      <c r="D28" s="6"/>
      <c r="E28" s="4">
        <f t="shared" ref="E28:G28" si="5">E27/SQRT(10)</f>
        <v>3.9436813033284301</v>
      </c>
      <c r="F28" s="4">
        <f t="shared" si="5"/>
        <v>1.82643089541266</v>
      </c>
      <c r="G28" s="4">
        <f t="shared" si="5"/>
        <v>0.48820092061454501</v>
      </c>
    </row>
    <row r="29" spans="1:7">
      <c r="A29" s="2"/>
      <c r="B29" s="2"/>
      <c r="C29" s="2"/>
      <c r="D29" s="2"/>
    </row>
    <row r="30" spans="1:7">
      <c r="A30" s="2">
        <v>351</v>
      </c>
      <c r="B30" s="2" t="s">
        <v>8</v>
      </c>
      <c r="C30" s="2" t="s">
        <v>34</v>
      </c>
      <c r="D30" s="2" t="s">
        <v>10</v>
      </c>
      <c r="E30" s="1">
        <v>34.5</v>
      </c>
      <c r="F30" s="1">
        <v>5.0900100000000004</v>
      </c>
      <c r="G30" s="1">
        <v>12.888</v>
      </c>
    </row>
    <row r="31" spans="1:7">
      <c r="A31" s="2">
        <v>191</v>
      </c>
      <c r="B31" s="2" t="s">
        <v>8</v>
      </c>
      <c r="C31" s="2" t="s">
        <v>34</v>
      </c>
      <c r="D31" s="2" t="s">
        <v>10</v>
      </c>
      <c r="E31" s="1">
        <v>4.2</v>
      </c>
      <c r="F31" s="1">
        <v>20.284089999999999</v>
      </c>
      <c r="G31" s="1">
        <v>7.04</v>
      </c>
    </row>
    <row r="32" spans="1:7">
      <c r="A32" s="2">
        <v>251</v>
      </c>
      <c r="B32" s="2" t="s">
        <v>8</v>
      </c>
      <c r="C32" s="2" t="s">
        <v>34</v>
      </c>
      <c r="D32" s="2" t="s">
        <v>10</v>
      </c>
      <c r="E32" s="1">
        <v>54.6</v>
      </c>
      <c r="F32" s="1">
        <v>14.65137</v>
      </c>
      <c r="G32" s="1">
        <v>11.33</v>
      </c>
    </row>
    <row r="33" spans="1:7">
      <c r="A33" s="2">
        <v>361</v>
      </c>
      <c r="B33" s="2" t="s">
        <v>8</v>
      </c>
      <c r="C33" s="2" t="s">
        <v>34</v>
      </c>
      <c r="D33" s="2" t="s">
        <v>10</v>
      </c>
      <c r="E33" s="1">
        <v>61</v>
      </c>
      <c r="F33" s="1">
        <v>11.03989</v>
      </c>
      <c r="G33" s="1">
        <v>14.04</v>
      </c>
    </row>
    <row r="34" spans="1:7">
      <c r="A34" s="2">
        <v>541</v>
      </c>
      <c r="B34" s="2" t="s">
        <v>8</v>
      </c>
      <c r="C34" s="2" t="s">
        <v>34</v>
      </c>
      <c r="D34" s="2" t="s">
        <v>10</v>
      </c>
      <c r="E34" s="1">
        <v>56.7</v>
      </c>
      <c r="F34" s="1">
        <v>4.57944</v>
      </c>
      <c r="G34" s="1">
        <v>10.7</v>
      </c>
    </row>
    <row r="35" spans="1:7">
      <c r="A35" s="2">
        <v>852</v>
      </c>
      <c r="B35" s="2" t="s">
        <v>8</v>
      </c>
      <c r="C35" s="2" t="s">
        <v>34</v>
      </c>
      <c r="D35" s="2" t="s">
        <v>10</v>
      </c>
      <c r="E35" s="1">
        <v>82.5</v>
      </c>
      <c r="F35" s="1">
        <v>27.579560000000001</v>
      </c>
      <c r="G35" s="1">
        <v>10.37</v>
      </c>
    </row>
    <row r="36" spans="1:7">
      <c r="A36" s="2">
        <v>4163</v>
      </c>
      <c r="B36" s="2" t="s">
        <v>8</v>
      </c>
      <c r="C36" s="2" t="s">
        <v>34</v>
      </c>
      <c r="D36" s="2" t="s">
        <v>10</v>
      </c>
      <c r="E36" s="1">
        <v>73</v>
      </c>
      <c r="F36" s="1">
        <v>20.78049</v>
      </c>
      <c r="G36" s="1">
        <v>10.25</v>
      </c>
    </row>
    <row r="37" spans="1:7">
      <c r="A37" s="2">
        <v>4213</v>
      </c>
      <c r="B37" s="2" t="s">
        <v>8</v>
      </c>
      <c r="C37" s="2" t="s">
        <v>34</v>
      </c>
      <c r="D37" s="2" t="s">
        <v>10</v>
      </c>
      <c r="E37" s="1">
        <v>22.2</v>
      </c>
      <c r="F37" s="1">
        <v>4.0404</v>
      </c>
      <c r="G37" s="1">
        <v>9.9</v>
      </c>
    </row>
    <row r="38" spans="1:7">
      <c r="A38" s="2">
        <v>4223</v>
      </c>
      <c r="B38" s="2" t="s">
        <v>8</v>
      </c>
      <c r="C38" s="2" t="s">
        <v>34</v>
      </c>
      <c r="D38" s="2" t="s">
        <v>10</v>
      </c>
      <c r="E38" s="1">
        <v>6.3</v>
      </c>
      <c r="F38" s="1">
        <v>1.2761</v>
      </c>
      <c r="G38" s="1">
        <v>8.6199999999999992</v>
      </c>
    </row>
    <row r="39" spans="1:7">
      <c r="A39" s="2">
        <v>4303</v>
      </c>
      <c r="B39" s="2" t="s">
        <v>8</v>
      </c>
      <c r="C39" s="2" t="s">
        <v>34</v>
      </c>
      <c r="D39" s="2" t="s">
        <v>10</v>
      </c>
      <c r="E39" s="1">
        <v>28.5</v>
      </c>
      <c r="F39" s="1">
        <v>2.7667999999999999</v>
      </c>
      <c r="G39" s="1">
        <v>10.119999999999999</v>
      </c>
    </row>
    <row r="40" spans="1:7">
      <c r="A40" s="2">
        <v>4323</v>
      </c>
      <c r="B40" s="2" t="s">
        <v>8</v>
      </c>
      <c r="C40" s="2" t="s">
        <v>34</v>
      </c>
      <c r="D40" s="2" t="s">
        <v>10</v>
      </c>
      <c r="E40" s="1">
        <v>15.9</v>
      </c>
      <c r="F40" s="1">
        <v>3.0658300000000001</v>
      </c>
      <c r="G40" s="1">
        <v>11.09</v>
      </c>
    </row>
    <row r="41" spans="1:7">
      <c r="A41" s="2" t="s">
        <v>35</v>
      </c>
      <c r="B41" s="2" t="s">
        <v>8</v>
      </c>
      <c r="C41" s="2" t="s">
        <v>34</v>
      </c>
      <c r="D41" s="2" t="s">
        <v>10</v>
      </c>
      <c r="E41" s="1">
        <v>84.6</v>
      </c>
      <c r="F41" s="1">
        <v>14.421860000000001</v>
      </c>
      <c r="G41" s="1">
        <v>7.87</v>
      </c>
    </row>
    <row r="42" spans="1:7">
      <c r="A42" s="2" t="s">
        <v>36</v>
      </c>
      <c r="B42" s="2" t="s">
        <v>8</v>
      </c>
      <c r="C42" s="2" t="s">
        <v>34</v>
      </c>
      <c r="D42" s="2" t="s">
        <v>10</v>
      </c>
      <c r="E42" s="1">
        <v>67.2</v>
      </c>
      <c r="F42" s="1">
        <v>14.131030000000001</v>
      </c>
      <c r="G42" s="1">
        <v>5.4489999999999998</v>
      </c>
    </row>
    <row r="43" spans="1:7">
      <c r="A43" s="2" t="s">
        <v>37</v>
      </c>
      <c r="B43" s="2" t="s">
        <v>8</v>
      </c>
      <c r="C43" s="2" t="s">
        <v>34</v>
      </c>
      <c r="D43" s="2" t="s">
        <v>10</v>
      </c>
      <c r="E43" s="1">
        <v>69.599999999999994</v>
      </c>
      <c r="F43" s="1">
        <v>16.76859</v>
      </c>
      <c r="G43" s="1">
        <v>5.069</v>
      </c>
    </row>
    <row r="44" spans="1:7">
      <c r="A44" s="2" t="s">
        <v>38</v>
      </c>
      <c r="B44" s="2" t="s">
        <v>8</v>
      </c>
      <c r="C44" s="2" t="s">
        <v>34</v>
      </c>
      <c r="D44" s="2" t="s">
        <v>10</v>
      </c>
      <c r="E44" s="1">
        <v>93.8</v>
      </c>
      <c r="F44" s="1">
        <v>23.326039999999999</v>
      </c>
      <c r="G44" s="1">
        <v>4.57</v>
      </c>
    </row>
    <row r="45" spans="1:7">
      <c r="A45" s="2" t="s">
        <v>39</v>
      </c>
      <c r="B45" s="2" t="s">
        <v>8</v>
      </c>
      <c r="C45" s="2" t="s">
        <v>34</v>
      </c>
      <c r="D45" s="2" t="s">
        <v>10</v>
      </c>
      <c r="E45" s="1">
        <v>105.6</v>
      </c>
      <c r="F45" s="1">
        <v>33.05547</v>
      </c>
      <c r="G45" s="1">
        <v>6.5979999999999999</v>
      </c>
    </row>
    <row r="46" spans="1:7">
      <c r="A46" s="6" t="s">
        <v>20</v>
      </c>
      <c r="B46" s="6"/>
      <c r="C46" s="6"/>
      <c r="D46" s="6"/>
      <c r="E46" s="4">
        <f t="shared" ref="E46:G46" si="6">AVERAGE(E30:E45)</f>
        <v>53.762500000000003</v>
      </c>
      <c r="F46" s="4">
        <f t="shared" si="6"/>
        <v>13.553560624999999</v>
      </c>
      <c r="G46" s="4">
        <f t="shared" si="6"/>
        <v>9.1189999999999998</v>
      </c>
    </row>
    <row r="47" spans="1:7">
      <c r="A47" s="6" t="s">
        <v>21</v>
      </c>
      <c r="B47" s="6"/>
      <c r="C47" s="6"/>
      <c r="D47" s="6"/>
      <c r="E47" s="4">
        <f t="shared" ref="E47:G47" si="7">STDEV(E30:E45)</f>
        <v>31.7051389104879</v>
      </c>
      <c r="F47" s="4">
        <f t="shared" si="7"/>
        <v>9.6911645733822702</v>
      </c>
      <c r="G47" s="4">
        <f t="shared" si="7"/>
        <v>2.7952594870601901</v>
      </c>
    </row>
    <row r="48" spans="1:7">
      <c r="A48" s="6" t="s">
        <v>22</v>
      </c>
      <c r="B48" s="6"/>
      <c r="C48" s="6"/>
      <c r="D48" s="6"/>
      <c r="E48" s="4">
        <f t="shared" ref="E48:G48" si="8">E47/SQRT(16)</f>
        <v>7.9262847276219697</v>
      </c>
      <c r="F48" s="4">
        <f t="shared" si="8"/>
        <v>2.4227911433455702</v>
      </c>
      <c r="G48" s="4">
        <f t="shared" si="8"/>
        <v>0.69881487176504797</v>
      </c>
    </row>
    <row r="49" spans="1:7">
      <c r="A49" s="2"/>
      <c r="B49" s="2"/>
      <c r="C49" s="2"/>
      <c r="D49" s="2"/>
    </row>
    <row r="50" spans="1:7">
      <c r="A50" s="2">
        <v>211</v>
      </c>
      <c r="B50" s="2" t="s">
        <v>8</v>
      </c>
      <c r="C50" s="2" t="s">
        <v>34</v>
      </c>
      <c r="D50" s="2" t="s">
        <v>24</v>
      </c>
      <c r="E50" s="1">
        <v>85.6</v>
      </c>
      <c r="F50" s="1">
        <v>22.679320000000001</v>
      </c>
      <c r="G50" s="1">
        <v>9.48</v>
      </c>
    </row>
    <row r="51" spans="1:7">
      <c r="A51" s="2">
        <v>291</v>
      </c>
      <c r="B51" s="2" t="s">
        <v>8</v>
      </c>
      <c r="C51" s="2" t="s">
        <v>34</v>
      </c>
      <c r="D51" s="2" t="s">
        <v>24</v>
      </c>
      <c r="E51" s="1">
        <v>62.2</v>
      </c>
      <c r="F51" s="1">
        <v>26.099710000000002</v>
      </c>
      <c r="G51" s="1">
        <v>13.64</v>
      </c>
    </row>
    <row r="52" spans="1:7">
      <c r="A52" s="2">
        <v>111</v>
      </c>
      <c r="B52" s="2" t="s">
        <v>8</v>
      </c>
      <c r="C52" s="2" t="s">
        <v>34</v>
      </c>
      <c r="D52" s="2" t="s">
        <v>24</v>
      </c>
      <c r="E52" s="1">
        <v>32.6</v>
      </c>
      <c r="F52" s="1">
        <v>26.121700000000001</v>
      </c>
      <c r="G52" s="1">
        <v>13.64</v>
      </c>
    </row>
    <row r="53" spans="1:7">
      <c r="A53" s="2">
        <v>11</v>
      </c>
      <c r="B53" s="2" t="s">
        <v>8</v>
      </c>
      <c r="C53" s="2" t="s">
        <v>34</v>
      </c>
      <c r="D53" s="2" t="s">
        <v>24</v>
      </c>
      <c r="E53" s="1">
        <v>100.8</v>
      </c>
      <c r="F53" s="1">
        <v>46.692909999999998</v>
      </c>
      <c r="G53" s="1">
        <v>12.7</v>
      </c>
    </row>
    <row r="54" spans="1:7">
      <c r="A54" s="2">
        <v>672</v>
      </c>
      <c r="B54" s="2" t="s">
        <v>8</v>
      </c>
      <c r="C54" s="2" t="s">
        <v>34</v>
      </c>
      <c r="D54" s="2" t="s">
        <v>24</v>
      </c>
      <c r="E54" s="1">
        <v>26.2</v>
      </c>
      <c r="F54" s="1">
        <v>8.5442999999999998</v>
      </c>
      <c r="G54" s="1">
        <v>9.48</v>
      </c>
    </row>
    <row r="55" spans="1:7">
      <c r="A55" s="2">
        <v>4333</v>
      </c>
      <c r="B55" s="2" t="s">
        <v>8</v>
      </c>
      <c r="C55" s="2" t="s">
        <v>34</v>
      </c>
      <c r="D55" s="2" t="s">
        <v>24</v>
      </c>
      <c r="E55" s="1">
        <v>38.200000000000003</v>
      </c>
      <c r="F55" s="1">
        <v>9.2936800000000002</v>
      </c>
      <c r="G55" s="1">
        <v>10.76</v>
      </c>
    </row>
    <row r="56" spans="1:7">
      <c r="A56" s="2">
        <v>4353</v>
      </c>
      <c r="B56" s="2" t="s">
        <v>8</v>
      </c>
      <c r="C56" s="2" t="s">
        <v>34</v>
      </c>
      <c r="D56" s="2" t="s">
        <v>24</v>
      </c>
      <c r="E56" s="1">
        <v>68.099999999999994</v>
      </c>
      <c r="F56" s="1">
        <v>10.625909999999999</v>
      </c>
      <c r="G56" s="1">
        <v>6.87</v>
      </c>
    </row>
    <row r="57" spans="1:7">
      <c r="A57" s="2">
        <v>4383</v>
      </c>
      <c r="B57" s="2" t="s">
        <v>8</v>
      </c>
      <c r="C57" s="2" t="s">
        <v>34</v>
      </c>
      <c r="D57" s="2" t="s">
        <v>24</v>
      </c>
      <c r="E57" s="1">
        <v>45</v>
      </c>
      <c r="F57" s="1">
        <v>12.575570000000001</v>
      </c>
      <c r="G57" s="1">
        <v>8.27</v>
      </c>
    </row>
    <row r="58" spans="1:7">
      <c r="A58" s="2">
        <v>4393</v>
      </c>
      <c r="B58" s="2" t="s">
        <v>8</v>
      </c>
      <c r="C58" s="2" t="s">
        <v>34</v>
      </c>
      <c r="D58" s="2" t="s">
        <v>24</v>
      </c>
      <c r="E58" s="1">
        <v>95.3</v>
      </c>
      <c r="F58" s="1">
        <v>30.29909</v>
      </c>
      <c r="G58" s="1">
        <v>7.69</v>
      </c>
    </row>
    <row r="59" spans="1:7">
      <c r="A59" s="2" t="s">
        <v>40</v>
      </c>
      <c r="B59" s="2" t="s">
        <v>8</v>
      </c>
      <c r="C59" s="2" t="s">
        <v>34</v>
      </c>
      <c r="D59" s="2" t="s">
        <v>24</v>
      </c>
      <c r="E59" s="1">
        <v>70.099999999999994</v>
      </c>
      <c r="F59" s="1">
        <v>16.60763</v>
      </c>
      <c r="G59" s="1">
        <v>4.7990000000000004</v>
      </c>
    </row>
    <row r="60" spans="1:7">
      <c r="A60" s="2" t="s">
        <v>41</v>
      </c>
      <c r="B60" s="2" t="s">
        <v>8</v>
      </c>
      <c r="C60" s="2" t="s">
        <v>34</v>
      </c>
      <c r="D60" s="2" t="s">
        <v>24</v>
      </c>
      <c r="E60" s="1">
        <v>95.8</v>
      </c>
      <c r="F60" s="1">
        <v>27.32854</v>
      </c>
      <c r="G60" s="1">
        <v>4.7240000000000002</v>
      </c>
    </row>
    <row r="61" spans="1:7">
      <c r="A61" s="2" t="s">
        <v>42</v>
      </c>
      <c r="B61" s="2" t="s">
        <v>8</v>
      </c>
      <c r="C61" s="2" t="s">
        <v>34</v>
      </c>
      <c r="D61" s="2" t="s">
        <v>24</v>
      </c>
      <c r="E61" s="1">
        <v>129.69999999999999</v>
      </c>
      <c r="F61" s="1">
        <v>33.167439999999999</v>
      </c>
      <c r="G61" s="1">
        <v>8.4390000000000001</v>
      </c>
    </row>
    <row r="62" spans="1:7">
      <c r="A62" s="2" t="s">
        <v>43</v>
      </c>
      <c r="B62" s="2" t="s">
        <v>8</v>
      </c>
      <c r="C62" s="2" t="s">
        <v>34</v>
      </c>
      <c r="D62" s="2" t="s">
        <v>24</v>
      </c>
      <c r="E62" s="1">
        <v>116.2</v>
      </c>
      <c r="F62" s="1">
        <v>28.939879999999999</v>
      </c>
      <c r="G62" s="1">
        <v>10.196999999999999</v>
      </c>
    </row>
    <row r="63" spans="1:7">
      <c r="A63" s="2" t="s">
        <v>44</v>
      </c>
      <c r="B63" s="2" t="s">
        <v>8</v>
      </c>
      <c r="C63" s="2" t="s">
        <v>34</v>
      </c>
      <c r="D63" s="2" t="s">
        <v>24</v>
      </c>
      <c r="E63" s="1">
        <v>52.4</v>
      </c>
      <c r="F63" s="1">
        <v>11.22142</v>
      </c>
      <c r="G63" s="1">
        <v>6.6479999999999997</v>
      </c>
    </row>
    <row r="64" spans="1:7">
      <c r="A64" s="6" t="s">
        <v>20</v>
      </c>
      <c r="B64" s="6"/>
      <c r="C64" s="6"/>
      <c r="D64" s="6"/>
      <c r="E64" s="4">
        <f t="shared" ref="E64:G64" si="9">AVERAGE(E50:E63)</f>
        <v>72.728571428571399</v>
      </c>
      <c r="F64" s="4">
        <f t="shared" si="9"/>
        <v>22.156935714285702</v>
      </c>
      <c r="G64" s="4">
        <f t="shared" si="9"/>
        <v>9.0954999999999995</v>
      </c>
    </row>
    <row r="65" spans="1:7">
      <c r="A65" s="6" t="s">
        <v>21</v>
      </c>
      <c r="B65" s="6"/>
      <c r="C65" s="6"/>
      <c r="D65" s="6"/>
      <c r="E65" s="4">
        <f t="shared" ref="E65:G65" si="10">STDEV(E50:E63)</f>
        <v>32.129172666966298</v>
      </c>
      <c r="F65" s="4">
        <f t="shared" si="10"/>
        <v>11.1622511824905</v>
      </c>
      <c r="G65" s="4">
        <f t="shared" si="10"/>
        <v>2.91122268128015</v>
      </c>
    </row>
    <row r="66" spans="1:7">
      <c r="A66" s="6" t="s">
        <v>22</v>
      </c>
      <c r="B66" s="6"/>
      <c r="C66" s="6"/>
      <c r="D66" s="6"/>
      <c r="E66" s="4">
        <f t="shared" ref="E66:G66" si="11">E65/SQRT(14)</f>
        <v>8.5868825885921396</v>
      </c>
      <c r="F66" s="4">
        <f t="shared" si="11"/>
        <v>2.9832371135708402</v>
      </c>
      <c r="G66" s="4">
        <f t="shared" si="11"/>
        <v>0.77805698928255196</v>
      </c>
    </row>
    <row r="67" spans="1:7">
      <c r="A67" s="2"/>
      <c r="B67" s="2"/>
      <c r="C67" s="2"/>
      <c r="D67" s="2"/>
    </row>
    <row r="68" spans="1:7">
      <c r="A68" s="2">
        <v>411</v>
      </c>
      <c r="B68" s="2" t="s">
        <v>45</v>
      </c>
      <c r="C68" s="2" t="s">
        <v>34</v>
      </c>
      <c r="D68" s="2" t="s">
        <v>10</v>
      </c>
      <c r="E68" s="1">
        <v>7.1</v>
      </c>
      <c r="F68" s="1">
        <v>4.6240100000000002</v>
      </c>
      <c r="G68" s="1">
        <v>10.705</v>
      </c>
    </row>
    <row r="69" spans="1:7">
      <c r="A69" s="2">
        <v>131</v>
      </c>
      <c r="B69" s="2" t="s">
        <v>45</v>
      </c>
      <c r="C69" s="2" t="s">
        <v>34</v>
      </c>
      <c r="D69" s="2" t="s">
        <v>10</v>
      </c>
      <c r="E69" s="1">
        <v>51.8</v>
      </c>
      <c r="F69" s="1">
        <v>0.92857000000000001</v>
      </c>
      <c r="G69" s="1">
        <v>7</v>
      </c>
    </row>
    <row r="70" spans="1:7">
      <c r="A70" s="2">
        <v>141</v>
      </c>
      <c r="B70" s="2" t="s">
        <v>45</v>
      </c>
      <c r="C70" s="2" t="s">
        <v>34</v>
      </c>
      <c r="D70" s="2" t="s">
        <v>10</v>
      </c>
      <c r="E70" s="1">
        <v>107.2</v>
      </c>
      <c r="F70" s="1">
        <v>17.824870000000001</v>
      </c>
      <c r="G70" s="1">
        <v>13.167</v>
      </c>
    </row>
    <row r="71" spans="1:7">
      <c r="A71" s="2">
        <v>151</v>
      </c>
      <c r="B71" s="2" t="s">
        <v>45</v>
      </c>
      <c r="C71" s="2" t="s">
        <v>34</v>
      </c>
      <c r="D71" s="2" t="s">
        <v>10</v>
      </c>
      <c r="E71" s="1">
        <v>89.7</v>
      </c>
      <c r="F71" s="1">
        <v>15.62438</v>
      </c>
      <c r="G71" s="1">
        <v>15.015000000000001</v>
      </c>
    </row>
    <row r="72" spans="1:7">
      <c r="A72" s="2">
        <v>802</v>
      </c>
      <c r="B72" s="2" t="s">
        <v>45</v>
      </c>
      <c r="C72" s="2" t="s">
        <v>34</v>
      </c>
      <c r="D72" s="2" t="s">
        <v>10</v>
      </c>
      <c r="E72" s="1">
        <v>33.1</v>
      </c>
      <c r="F72" s="1">
        <v>16.613420000000001</v>
      </c>
      <c r="G72" s="1">
        <v>6.26</v>
      </c>
    </row>
    <row r="73" spans="1:7">
      <c r="A73" s="2">
        <v>812</v>
      </c>
      <c r="B73" s="2" t="s">
        <v>45</v>
      </c>
      <c r="C73" s="2" t="s">
        <v>34</v>
      </c>
      <c r="D73" s="2" t="s">
        <v>10</v>
      </c>
      <c r="E73" s="1">
        <v>42.7</v>
      </c>
      <c r="F73" s="1">
        <v>18.319839999999999</v>
      </c>
      <c r="G73" s="1">
        <v>9.8800000000000008</v>
      </c>
    </row>
    <row r="74" spans="1:7">
      <c r="A74" s="2">
        <v>4043</v>
      </c>
      <c r="B74" s="2" t="s">
        <v>45</v>
      </c>
      <c r="C74" s="2" t="s">
        <v>34</v>
      </c>
      <c r="D74" s="2" t="s">
        <v>10</v>
      </c>
      <c r="E74" s="1">
        <v>61.4</v>
      </c>
      <c r="F74" s="1">
        <v>17.253520000000002</v>
      </c>
      <c r="G74" s="1">
        <v>8.52</v>
      </c>
    </row>
    <row r="75" spans="1:7">
      <c r="A75" s="2">
        <v>4113</v>
      </c>
      <c r="B75" s="2" t="s">
        <v>45</v>
      </c>
      <c r="C75" s="2" t="s">
        <v>34</v>
      </c>
      <c r="D75" s="2" t="s">
        <v>10</v>
      </c>
      <c r="E75" s="1">
        <v>3.8</v>
      </c>
      <c r="F75" s="1">
        <v>0.93274999999999997</v>
      </c>
      <c r="G75" s="1">
        <v>9.2200000000000006</v>
      </c>
    </row>
    <row r="76" spans="1:7">
      <c r="A76" s="6" t="s">
        <v>20</v>
      </c>
      <c r="B76" s="6"/>
      <c r="C76" s="6"/>
      <c r="D76" s="6"/>
      <c r="E76" s="4">
        <f t="shared" ref="E76:G76" si="12">AVERAGE(E68:E75)</f>
        <v>49.6</v>
      </c>
      <c r="F76" s="4">
        <f t="shared" si="12"/>
        <v>11.515169999999999</v>
      </c>
      <c r="G76" s="4">
        <f t="shared" si="12"/>
        <v>9.9708749999999995</v>
      </c>
    </row>
    <row r="77" spans="1:7">
      <c r="A77" s="6" t="s">
        <v>21</v>
      </c>
      <c r="B77" s="6"/>
      <c r="C77" s="6"/>
      <c r="D77" s="6"/>
      <c r="E77" s="4">
        <f t="shared" ref="E77:G77" si="13">STDEV(E68:E75)</f>
        <v>36.437029830340798</v>
      </c>
      <c r="F77" s="4">
        <f t="shared" si="13"/>
        <v>7.8692354617750002</v>
      </c>
      <c r="G77" s="4">
        <f t="shared" si="13"/>
        <v>2.9633753167388601</v>
      </c>
    </row>
    <row r="78" spans="1:7">
      <c r="A78" s="6" t="s">
        <v>22</v>
      </c>
      <c r="B78" s="6"/>
      <c r="C78" s="6"/>
      <c r="D78" s="6"/>
      <c r="E78" s="4">
        <f t="shared" ref="E78:G78" si="14">E77/SQRT(8)</f>
        <v>12.882435439665199</v>
      </c>
      <c r="F78" s="4">
        <f t="shared" si="14"/>
        <v>2.7821948788873798</v>
      </c>
      <c r="G78" s="4">
        <f t="shared" si="14"/>
        <v>1.0477113908334399</v>
      </c>
    </row>
    <row r="79" spans="1:7">
      <c r="A79" s="2"/>
      <c r="B79" s="2"/>
      <c r="C79" s="2"/>
      <c r="D79" s="2"/>
    </row>
    <row r="80" spans="1:7">
      <c r="A80" s="2">
        <v>121</v>
      </c>
      <c r="B80" s="2" t="s">
        <v>45</v>
      </c>
      <c r="C80" s="2" t="s">
        <v>34</v>
      </c>
      <c r="D80" s="2" t="s">
        <v>24</v>
      </c>
      <c r="E80" s="1">
        <v>68.900000000000006</v>
      </c>
      <c r="F80" s="1">
        <v>5.1502100000000004</v>
      </c>
      <c r="G80" s="1">
        <v>11.65</v>
      </c>
    </row>
    <row r="81" spans="1:7">
      <c r="A81" s="2">
        <v>201</v>
      </c>
      <c r="B81" s="2" t="s">
        <v>45</v>
      </c>
      <c r="C81" s="2" t="s">
        <v>34</v>
      </c>
      <c r="D81" s="2" t="s">
        <v>24</v>
      </c>
      <c r="E81" s="1">
        <v>42.7</v>
      </c>
      <c r="F81" s="1">
        <v>10.471830000000001</v>
      </c>
      <c r="G81" s="1">
        <v>12.46</v>
      </c>
    </row>
    <row r="82" spans="1:7">
      <c r="A82" s="2">
        <v>181</v>
      </c>
      <c r="B82" s="2" t="s">
        <v>45</v>
      </c>
      <c r="C82" s="2" t="s">
        <v>34</v>
      </c>
      <c r="D82" s="2" t="s">
        <v>24</v>
      </c>
      <c r="E82" s="1">
        <v>71.599999999999994</v>
      </c>
      <c r="F82" s="1">
        <v>22.738769999999999</v>
      </c>
      <c r="G82" s="1">
        <v>9.49</v>
      </c>
    </row>
    <row r="83" spans="1:7">
      <c r="A83" s="2">
        <v>391</v>
      </c>
      <c r="B83" s="2" t="s">
        <v>45</v>
      </c>
      <c r="C83" s="2" t="s">
        <v>34</v>
      </c>
      <c r="D83" s="2" t="s">
        <v>24</v>
      </c>
      <c r="E83" s="1">
        <v>142.80000000000001</v>
      </c>
      <c r="F83" s="1">
        <v>27.117460000000001</v>
      </c>
      <c r="G83" s="1">
        <v>12.88</v>
      </c>
    </row>
    <row r="84" spans="1:7">
      <c r="A84" s="2">
        <v>702</v>
      </c>
      <c r="B84" s="2" t="s">
        <v>45</v>
      </c>
      <c r="C84" s="2" t="s">
        <v>34</v>
      </c>
      <c r="D84" s="2" t="s">
        <v>24</v>
      </c>
      <c r="E84" s="1">
        <v>16.3</v>
      </c>
      <c r="F84" s="1">
        <v>5.5152400000000004</v>
      </c>
      <c r="G84" s="1">
        <v>6.89</v>
      </c>
    </row>
    <row r="85" spans="1:7">
      <c r="A85" s="2">
        <v>642</v>
      </c>
      <c r="B85" s="2" t="s">
        <v>45</v>
      </c>
      <c r="C85" s="2" t="s">
        <v>34</v>
      </c>
      <c r="D85" s="2" t="s">
        <v>24</v>
      </c>
      <c r="E85" s="1">
        <v>51.8</v>
      </c>
      <c r="F85" s="1">
        <v>19.078949999999999</v>
      </c>
      <c r="G85" s="1">
        <v>9.1199999999999992</v>
      </c>
    </row>
    <row r="86" spans="1:7">
      <c r="A86" s="2">
        <v>4153</v>
      </c>
      <c r="B86" s="2" t="s">
        <v>45</v>
      </c>
      <c r="C86" s="2" t="s">
        <v>34</v>
      </c>
      <c r="D86" s="2" t="s">
        <v>24</v>
      </c>
      <c r="E86" s="1">
        <v>13.5</v>
      </c>
      <c r="F86" s="1">
        <v>0</v>
      </c>
      <c r="G86" s="1">
        <v>7.54</v>
      </c>
    </row>
    <row r="87" spans="1:7">
      <c r="A87" s="2">
        <v>4313</v>
      </c>
      <c r="B87" s="2" t="s">
        <v>45</v>
      </c>
      <c r="C87" s="2" t="s">
        <v>34</v>
      </c>
      <c r="D87" s="2" t="s">
        <v>24</v>
      </c>
      <c r="E87" s="1">
        <v>3.9</v>
      </c>
      <c r="F87" s="1">
        <v>1.4167700000000001</v>
      </c>
      <c r="G87" s="1">
        <v>8.4700000000000006</v>
      </c>
    </row>
    <row r="88" spans="1:7">
      <c r="A88" s="2">
        <v>4783</v>
      </c>
      <c r="B88" s="2" t="s">
        <v>45</v>
      </c>
      <c r="C88" s="2" t="s">
        <v>34</v>
      </c>
      <c r="D88" s="2" t="s">
        <v>24</v>
      </c>
      <c r="E88" s="1">
        <v>60.9</v>
      </c>
      <c r="F88" s="1">
        <v>16.605170000000001</v>
      </c>
      <c r="G88" s="1">
        <v>10.84</v>
      </c>
    </row>
    <row r="89" spans="1:7">
      <c r="A89" s="6" t="s">
        <v>20</v>
      </c>
      <c r="B89" s="7"/>
      <c r="C89" s="7"/>
      <c r="D89" s="7"/>
      <c r="E89" s="4">
        <f t="shared" ref="E89:G89" si="15">AVERAGE(E80:E88)</f>
        <v>52.488888888888901</v>
      </c>
      <c r="F89" s="4">
        <f t="shared" si="15"/>
        <v>12.010488888888901</v>
      </c>
      <c r="G89" s="4">
        <f t="shared" si="15"/>
        <v>9.9266666666666694</v>
      </c>
    </row>
    <row r="90" spans="1:7">
      <c r="A90" s="6" t="s">
        <v>21</v>
      </c>
      <c r="B90" s="7"/>
      <c r="C90" s="7"/>
      <c r="D90" s="7"/>
      <c r="E90" s="4">
        <f t="shared" ref="E90:G90" si="16">STDEV(E80:E88)</f>
        <v>42.054055822371197</v>
      </c>
      <c r="F90" s="4">
        <f t="shared" si="16"/>
        <v>9.7627398032537993</v>
      </c>
      <c r="G90" s="4">
        <f t="shared" si="16"/>
        <v>2.14548362846236</v>
      </c>
    </row>
    <row r="91" spans="1:7">
      <c r="A91" s="6" t="s">
        <v>22</v>
      </c>
      <c r="B91" s="7"/>
      <c r="C91" s="7"/>
      <c r="D91" s="7"/>
      <c r="E91" s="4">
        <f t="shared" ref="E91:G91" si="17">E90/SQRT(9)</f>
        <v>14.018018607457099</v>
      </c>
      <c r="F91" s="4">
        <f t="shared" si="17"/>
        <v>3.2542466010846001</v>
      </c>
      <c r="G91" s="4">
        <f t="shared" si="17"/>
        <v>0.71516120948745199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86135</dc:creator>
  <cp:lastModifiedBy>79501</cp:lastModifiedBy>
  <dcterms:created xsi:type="dcterms:W3CDTF">2024-11-23T10:39:00Z</dcterms:created>
  <dcterms:modified xsi:type="dcterms:W3CDTF">2026-01-24T02:28:34Z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2732D0E6B26244AB864BF1E234960323_11</vt:lpwstr>
  </property>
  <property fmtid="{D5CDD505-2E9C-101B-9397-08002B2CF9AE}" pid="3" name="KSOProductBuildVer">
    <vt:lpwstr>2052-12.1.0.19302</vt:lpwstr>
  </property>
</Properties>
</file>