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<sst xmlns="http://schemas.openxmlformats.org/spreadsheetml/2006/main" count="20" uniqueCount="20">
  <si>
    <t xml:space="preserve">Pr2/Oct-1 (Fold Change) </t>
  </si>
  <si>
    <t>Expt1</t>
  </si>
  <si>
    <t>Expt2</t>
  </si>
  <si>
    <t>Exp3</t>
  </si>
  <si>
    <t xml:space="preserve">Mean </t>
  </si>
  <si>
    <t>SD</t>
  </si>
  <si>
    <t>Set 1</t>
  </si>
  <si>
    <t>TNF 0h</t>
  </si>
  <si>
    <t>Set 2</t>
  </si>
  <si>
    <t>TNF 0.5 h</t>
  </si>
  <si>
    <t>Set 3</t>
  </si>
  <si>
    <t>TNF 1h</t>
  </si>
  <si>
    <t>Set 4</t>
  </si>
  <si>
    <t>TNF 3h</t>
  </si>
  <si>
    <t>Set 5</t>
  </si>
  <si>
    <t>TNF 6h</t>
  </si>
  <si>
    <t>Set 6</t>
  </si>
  <si>
    <t>TNF 12h</t>
  </si>
  <si>
    <t>Set 7</t>
  </si>
  <si>
    <t>TNF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</si>
</sst>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C1" sqref="C1:E1"/>
    </sheetView>
  </sheetViews>
  <sheetFormatPr defaultColWidth="8.7265625" defaultRowHeight="14.5"/>
  <cols>
    <col min="1" max="1" width="6.54296875" customWidth="1"/>
    <col min="2" max="2" width="10.6328125" customWidth="1"/>
    <col min="3" max="7" width="12.81640625" customWidth="1"/>
  </cols>
  <sheetData>
    <row r="1" spans="1:7">
      <c r="A1" s="1"/>
      <c r="B1" s="2"/>
      <c r="C1" s="20" t="s">
        <v>0</v>
      </c>
      <c r="D1" s="21"/>
      <c r="E1" s="22"/>
      <c r="F1" s="3"/>
      <c r="G1" s="4"/>
    </row>
    <row r="2" spans="1:7">
      <c r="A2" s="5"/>
      <c r="B2" s="6"/>
      <c r="C2" s="7" t="s">
        <v>1</v>
      </c>
      <c r="D2" s="8" t="s">
        <v>2</v>
      </c>
      <c r="E2" s="9" t="s">
        <v>3</v>
      </c>
      <c r="F2" s="18" t="s">
        <v>4</v>
      </c>
      <c r="G2" s="19" t="s">
        <v>5</v>
      </c>
    </row>
    <row r="3" spans="1:7">
      <c r="A3" s="5" t="s">
        <v>6</v>
      </c>
      <c r="B3" s="6" t="s">
        <v>7</v>
      </c>
      <c r="C3" s="10">
        <v>1</v>
      </c>
      <c r="D3" s="11">
        <v>1</v>
      </c>
      <c r="E3" s="12">
        <v>1</v>
      </c>
      <c r="F3" s="11">
        <f t="shared" ref="F3:F9" si="0">AVERAGE(C3:E3)</f>
        <v>1</v>
      </c>
      <c r="G3" s="12">
        <f t="shared" ref="G3:G9" si="1">STDEV(C3:E3)</f>
        <v>0</v>
      </c>
    </row>
    <row r="4" spans="1:7">
      <c r="A4" s="5" t="s">
        <v>8</v>
      </c>
      <c r="B4" s="6" t="s">
        <v>9</v>
      </c>
      <c r="C4" s="10">
        <v>4.0620372087846901</v>
      </c>
      <c r="D4" s="11">
        <v>4.2942086599168503</v>
      </c>
      <c r="E4" s="12">
        <v>2.88700914195041</v>
      </c>
      <c r="F4" s="11">
        <f t="shared" si="0"/>
        <v>3.7477516702173199</v>
      </c>
      <c r="G4" s="12">
        <f t="shared" si="1"/>
        <v>0.75440981611832403</v>
      </c>
    </row>
    <row r="5" spans="1:7">
      <c r="A5" s="5" t="s">
        <v>10</v>
      </c>
      <c r="B5" s="6" t="s">
        <v>11</v>
      </c>
      <c r="C5" s="10">
        <v>3.91112246562873</v>
      </c>
      <c r="D5" s="11">
        <v>3.9921748126217098</v>
      </c>
      <c r="E5" s="12">
        <v>2.7580165718121301</v>
      </c>
      <c r="F5" s="11">
        <f t="shared" si="0"/>
        <v>3.5537712833541901</v>
      </c>
      <c r="G5" s="12">
        <f t="shared" si="1"/>
        <v>0.69033436930541703</v>
      </c>
    </row>
    <row r="6" spans="1:7">
      <c r="A6" s="5" t="s">
        <v>12</v>
      </c>
      <c r="B6" s="6" t="s">
        <v>13</v>
      </c>
      <c r="C6" s="10">
        <v>3.90189891573739</v>
      </c>
      <c r="D6" s="11">
        <v>3.9009628412709199</v>
      </c>
      <c r="E6" s="12">
        <v>3.2621989083897098</v>
      </c>
      <c r="F6" s="11">
        <f t="shared" si="0"/>
        <v>3.6883535551326698</v>
      </c>
      <c r="G6" s="12">
        <f t="shared" si="1"/>
        <v>0.36906104679892299</v>
      </c>
    </row>
    <row r="7" spans="1:7">
      <c r="A7" s="5" t="s">
        <v>14</v>
      </c>
      <c r="B7" s="6" t="s">
        <v>15</v>
      </c>
      <c r="C7" s="10">
        <v>3.80254768234439</v>
      </c>
      <c r="D7" s="11">
        <v>3.7047830194413498</v>
      </c>
      <c r="E7" s="12">
        <v>2.8313633505440401</v>
      </c>
      <c r="F7" s="11">
        <f t="shared" si="0"/>
        <v>3.44623135077659</v>
      </c>
      <c r="G7" s="12">
        <f t="shared" si="1"/>
        <v>0.53473028304989501</v>
      </c>
    </row>
    <row r="8" spans="1:7">
      <c r="A8" s="5" t="s">
        <v>16</v>
      </c>
      <c r="B8" s="6" t="s">
        <v>17</v>
      </c>
      <c r="C8" s="10">
        <v>3.0723141892386701</v>
      </c>
      <c r="D8" s="11">
        <v>2.85471220263612</v>
      </c>
      <c r="E8" s="12">
        <v>2.2122702262593701</v>
      </c>
      <c r="F8" s="11">
        <f t="shared" si="0"/>
        <v>2.7130988727113898</v>
      </c>
      <c r="G8" s="12">
        <f t="shared" si="1"/>
        <v>0.44716848723223301</v>
      </c>
    </row>
    <row r="9" spans="1:7">
      <c r="A9" s="13" t="s">
        <v>18</v>
      </c>
      <c r="B9" s="14" t="s">
        <v>19</v>
      </c>
      <c r="C9" s="15">
        <v>1.51329860858024</v>
      </c>
      <c r="D9" s="16">
        <v>1.5366611241171</v>
      </c>
      <c r="E9" s="17">
        <v>1.5974192789820001</v>
      </c>
      <c r="F9" s="16">
        <f t="shared" si="0"/>
        <v>1.5491263372264501</v>
      </c>
      <c r="G9" s="17">
        <f t="shared" si="1"/>
        <v>4.3423587491206402E-2</v>
      </c>
    </row>
  </sheetData>
  <mergeCells count="1">
    <mergeCell ref="C1:E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2025-01-15T02:42:05Z</dcterms:created>
  <dcterms:modified xsi:type="dcterms:W3CDTF">2026-03-16T09:02:38Z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2DF4118B556B4670AFA9557A45895684_11</vt:lpwstr>
  </property>
  <property fmtid="{D5CDD505-2E9C-101B-9397-08002B2CF9AE}" pid="3" name="KSOProductBuildVer">
    <vt:lpwstr>2052-12.1.0.19302</vt:lpwstr>
  </property>
</Properties>
</file>