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10" i="1"/>
  <c r="E9" i="1"/>
  <c r="D9" i="1"/>
  <c r="C9" i="1"/>
  <c r="E8" i="1"/>
  <c r="C8" i="1"/>
  <c r="E7" i="1"/>
  <c r="E6" i="1"/>
  <c r="E5" i="1"/>
</calcChain>
</file>

<file path=xl/sharedStrings.xml><?xml version="1.0" encoding="utf-8"?>
<sst xmlns="http://schemas.openxmlformats.org/spreadsheetml/2006/main" count="14" uniqueCount="12">
  <si>
    <t>Transformed luminal and basal clones in the ducts and side branches as percentage used for Extended Data Figure 9f</t>
  </si>
  <si>
    <t>f</t>
  </si>
  <si>
    <t>Duct</t>
  </si>
  <si>
    <t>Side branch</t>
  </si>
  <si>
    <t>Luminal</t>
  </si>
  <si>
    <t>Basal</t>
  </si>
  <si>
    <t>Mouse1</t>
  </si>
  <si>
    <t>Mouse 2</t>
  </si>
  <si>
    <t>Mouse 3</t>
  </si>
  <si>
    <t>Mouse 4</t>
  </si>
  <si>
    <t>Mouse 5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</si>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</sst>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  "/>
      <charset val="134"/>
    </font>
    <font>
      <sz val="11"/>
      <color theme="1"/>
      <name val="Calibri  "/>
      <charset val="134"/>
    </font>
    <font>
      <b/>
      <sz val="11"/>
      <name val="Calibri  "/>
      <charset val="134"/>
    </font>
    <font>
      <sz val="10"/>
      <name val="Calibri  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/>
    <xf numFmtId="0" fontId="2" fillId="3" borderId="0" xfId="0" applyFont="1" applyFill="1" applyAlignment="1"/>
    <xf numFmtId="0" fontId="3" fillId="3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1"/>
  <sheetViews>
    <sheetView tabSelected="1" workbookViewId="0">
      <selection activeCell="B1" sqref="B1:L1"/>
    </sheetView>
  </sheetViews>
  <sheetFormatPr defaultColWidth="9.81640625" defaultRowHeight="14.5"/>
  <cols>
    <col min="1" max="1" width="13.81640625" style="2" customWidth="1"/>
    <col min="2" max="2" width="25.7265625" style="2" customWidth="1"/>
    <col min="3" max="3" width="19.81640625" style="2" customWidth="1"/>
    <col min="4" max="4" width="17.453125" style="2" customWidth="1"/>
    <col min="5" max="5" width="19.36328125" style="2" customWidth="1"/>
    <col min="6" max="6" width="15.36328125" style="2" customWidth="1"/>
    <col min="7" max="7" width="22.54296875" style="2" customWidth="1"/>
    <col min="8" max="8" width="4.08984375" style="2" customWidth="1"/>
    <col min="9" max="9" width="20.54296875" style="2" hidden="1" customWidth="1"/>
    <col min="10" max="11" width="9.81640625" style="2" hidden="1" customWidth="1"/>
    <col min="12" max="12" width="14.26953125" style="2" customWidth="1"/>
    <col min="13" max="16380" width="9.81640625" style="2"/>
  </cols>
  <sheetData>
    <row r="1" spans="1:14" s="1" customFormat="1" ht="14.25" customHeight="1">
      <c r="A1" s="3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4" s="2" customFormat="1" ht="15">
      <c r="A3" s="9" t="s">
        <v>1</v>
      </c>
      <c r="C3" s="9" t="s">
        <v>2</v>
      </c>
      <c r="D3" s="4"/>
      <c r="E3" s="10" t="s">
        <v>3</v>
      </c>
      <c r="F3" s="4"/>
      <c r="M3" s="6"/>
      <c r="N3" s="6"/>
    </row>
    <row r="4" spans="1:14" s="2" customFormat="1" ht="15">
      <c r="C4" s="4" t="s">
        <v>4</v>
      </c>
      <c r="D4" s="4" t="s">
        <v>5</v>
      </c>
      <c r="E4" s="4" t="s">
        <v>4</v>
      </c>
      <c r="F4" s="4" t="s">
        <v>5</v>
      </c>
      <c r="M4" s="7"/>
      <c r="N4" s="7"/>
    </row>
    <row r="5" spans="1:14" s="2" customFormat="1">
      <c r="B5" s="4" t="s">
        <v>6</v>
      </c>
      <c r="C5" s="2">
        <v>0</v>
      </c>
      <c r="D5" s="2">
        <v>0</v>
      </c>
      <c r="E5" s="2">
        <f>0.666667*100</f>
        <v>66.666700000000006</v>
      </c>
      <c r="F5" s="2">
        <v>0</v>
      </c>
      <c r="M5" s="8"/>
      <c r="N5" s="8"/>
    </row>
    <row r="6" spans="1:14" s="2" customFormat="1">
      <c r="B6" s="4" t="s">
        <v>7</v>
      </c>
      <c r="C6" s="2">
        <v>0</v>
      </c>
      <c r="D6" s="2">
        <v>0</v>
      </c>
      <c r="E6" s="2">
        <f>1*100</f>
        <v>100</v>
      </c>
      <c r="F6" s="2">
        <v>0</v>
      </c>
      <c r="M6" s="8"/>
      <c r="N6" s="8"/>
    </row>
    <row r="7" spans="1:14" s="2" customFormat="1">
      <c r="B7" s="4" t="s">
        <v>8</v>
      </c>
      <c r="C7" s="2">
        <v>0</v>
      </c>
      <c r="D7" s="2">
        <v>0</v>
      </c>
      <c r="E7" s="2">
        <f>0.333333*100</f>
        <v>33.333300000000001</v>
      </c>
      <c r="F7" s="2">
        <v>0</v>
      </c>
      <c r="M7" s="8"/>
      <c r="N7" s="8"/>
    </row>
    <row r="8" spans="1:14" s="2" customFormat="1">
      <c r="B8" s="4" t="s">
        <v>9</v>
      </c>
      <c r="C8" s="2">
        <f>0.068966*100</f>
        <v>6.8966000000000003</v>
      </c>
      <c r="D8" s="2">
        <v>0</v>
      </c>
      <c r="E8" s="2">
        <f>0.166667*100</f>
        <v>16.666699999999999</v>
      </c>
      <c r="F8" s="2">
        <v>0</v>
      </c>
      <c r="M8" s="8"/>
      <c r="N8" s="8"/>
    </row>
    <row r="9" spans="1:14" s="2" customFormat="1" ht="16">
      <c r="B9" s="4" t="s">
        <v>10</v>
      </c>
      <c r="C9" s="2">
        <f>0.055556*100</f>
        <v>5.5556000000000001</v>
      </c>
      <c r="D9" s="2">
        <f>0.111111*100</f>
        <v>11.1111</v>
      </c>
      <c r="E9" s="2">
        <f>0.5*100</f>
        <v>50</v>
      </c>
      <c r="F9" s="2">
        <v>0</v>
      </c>
      <c r="M9" s="5"/>
      <c r="N9" s="5"/>
    </row>
    <row r="10" spans="1:14" s="2" customFormat="1" ht="16">
      <c r="B10" s="4" t="s">
        <v>11</v>
      </c>
      <c r="C10" s="2">
        <f>0.1*100</f>
        <v>10</v>
      </c>
      <c r="D10" s="2">
        <v>0</v>
      </c>
      <c r="E10" s="2">
        <f>0.25*100</f>
        <v>25</v>
      </c>
      <c r="F10" s="2">
        <v>0</v>
      </c>
      <c r="M10" s="5"/>
      <c r="N10" s="5"/>
    </row>
    <row r="11" spans="1:14" s="2" customFormat="1" ht="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</sheetData>
  <mergeCells count="1">
    <mergeCell ref="B1:L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2024-11-29T02:27:00Z</dcterms:created>
  <dcterms:modified xsi:type="dcterms:W3CDTF">2026-03-11T04:40:33Z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01CEBA893BBA419D80FFD3ADB013094F_11</vt:lpwstr>
  </property>
  <property fmtid="{D5CDD505-2E9C-101B-9397-08002B2CF9AE}" pid="3" name="KSOProductBuildVer">
    <vt:lpwstr>2052-12.1.0.19302</vt:lpwstr>
  </property>
</Properties>
</file>