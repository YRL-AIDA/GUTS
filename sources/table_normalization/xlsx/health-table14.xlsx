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externalReferences>
    <externalReference r:id="rId2"/>
  </externalReferences>
  <definedNames>
    <definedName name="ACTION">'[1]by Months'!$L$2:$L$7</definedName>
    <definedName name="TIME">'[1]by Months'!$K$2:$K$5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2" i="1" l="1"/>
  <c r="O32" i="1"/>
  <c r="N32" i="1"/>
  <c r="M32" i="1"/>
  <c r="L32" i="1"/>
  <c r="K32" i="1"/>
  <c r="J32" i="1"/>
  <c r="I32" i="1"/>
  <c r="H32" i="1"/>
  <c r="G32" i="1"/>
  <c r="P26" i="1"/>
  <c r="O26" i="1"/>
  <c r="N26" i="1"/>
  <c r="M26" i="1"/>
  <c r="L26" i="1"/>
  <c r="K26" i="1"/>
  <c r="J26" i="1"/>
  <c r="I26" i="1"/>
  <c r="H26" i="1"/>
  <c r="G26" i="1"/>
  <c r="P11" i="1"/>
  <c r="O11" i="1"/>
  <c r="N11" i="1"/>
  <c r="M11" i="1"/>
  <c r="L11" i="1"/>
  <c r="K11" i="1"/>
  <c r="J11" i="1"/>
  <c r="I11" i="1"/>
  <c r="H11" i="1"/>
  <c r="G11" i="1"/>
</calcChain>
</file>

<file path=xl/sharedStrings.xml><?xml version="1.0" encoding="utf-8"?>
<sst xmlns="http://schemas.openxmlformats.org/spreadsheetml/2006/main" count="139" uniqueCount="73">
  <si>
    <t>DAILY TRACKER</t>
  </si>
  <si>
    <t>NUTRITION</t>
  </si>
  <si>
    <t>ACTIVITY</t>
  </si>
  <si>
    <t>WEIGHT</t>
  </si>
  <si>
    <t>DATE</t>
  </si>
  <si>
    <t>TIME</t>
  </si>
  <si>
    <t>ACTION</t>
  </si>
  <si>
    <t>DESCRIPTION</t>
  </si>
  <si>
    <t>SERVING</t>
  </si>
  <si>
    <t>KCAL</t>
  </si>
  <si>
    <t>FAT (g)</t>
  </si>
  <si>
    <t>CARB (g)</t>
  </si>
  <si>
    <t>PROT (g)</t>
  </si>
  <si>
    <t>MIN</t>
  </si>
  <si>
    <t>MILES</t>
  </si>
  <si>
    <t>LBS</t>
  </si>
  <si>
    <t>REPS</t>
  </si>
  <si>
    <t>SETS</t>
  </si>
  <si>
    <t>MORNING</t>
  </si>
  <si>
    <t>FOOD</t>
  </si>
  <si>
    <t>FRUITS</t>
  </si>
  <si>
    <t>Fruit Salad</t>
  </si>
  <si>
    <t>2 cups</t>
  </si>
  <si>
    <t>DRINK</t>
  </si>
  <si>
    <t>COFFEE</t>
  </si>
  <si>
    <t>2 Creamers</t>
  </si>
  <si>
    <t>20 oz</t>
  </si>
  <si>
    <t>AFTERNOON</t>
  </si>
  <si>
    <t>GRAINS</t>
  </si>
  <si>
    <t>Sub Roll</t>
  </si>
  <si>
    <t>MEATS &amp; POULTRY</t>
  </si>
  <si>
    <t>Roast Beef</t>
  </si>
  <si>
    <t>6 oz</t>
  </si>
  <si>
    <t>EVENING</t>
  </si>
  <si>
    <t>OILS &amp; FATS</t>
  </si>
  <si>
    <t>Mayonnaise</t>
  </si>
  <si>
    <t>1 tbsp</t>
  </si>
  <si>
    <t>BEER</t>
  </si>
  <si>
    <t>2 Lagers</t>
  </si>
  <si>
    <t>24 oz</t>
  </si>
  <si>
    <t>WEIGHTLIFTING</t>
  </si>
  <si>
    <t>Bicep Curls</t>
  </si>
  <si>
    <t>WEIGH-IN</t>
  </si>
  <si>
    <t>DAILY TOTALS</t>
  </si>
  <si>
    <t>RUNNING</t>
  </si>
  <si>
    <t>Morning run in park</t>
  </si>
  <si>
    <t>EGGS</t>
  </si>
  <si>
    <t>2 Scrambled</t>
  </si>
  <si>
    <t>Wheat Toast</t>
  </si>
  <si>
    <t>1 slice</t>
  </si>
  <si>
    <t>VEGETABLES</t>
  </si>
  <si>
    <t>Garden Salad</t>
  </si>
  <si>
    <t>Ranch Dressing</t>
  </si>
  <si>
    <t>WATER</t>
  </si>
  <si>
    <t>WALKING</t>
  </si>
  <si>
    <t>Walk around the block</t>
  </si>
  <si>
    <t>FISH &amp; SEAFOOD</t>
  </si>
  <si>
    <t>Salmon</t>
  </si>
  <si>
    <t>Hamburger Bun</t>
  </si>
  <si>
    <t>Lettuce &amp; Tomato</t>
  </si>
  <si>
    <t>2 oz</t>
  </si>
  <si>
    <t>WINE</t>
  </si>
  <si>
    <t>a nice Cabernet</t>
  </si>
  <si>
    <t>8 oz</t>
  </si>
  <si>
    <t>PUSH-UPS</t>
  </si>
  <si>
    <t>Buzzed Push-ups</t>
  </si>
  <si>
    <t>Springfield Marathon</t>
  </si>
  <si>
    <t>SUGARS &amp; EXTRAS</t>
  </si>
  <si>
    <t>1 Bacon Ranch Pizza</t>
  </si>
  <si>
    <t>1 Case of beer</t>
  </si>
  <si>
    <t>1 Jar of Olives</t>
  </si>
  <si>
    <t>YOGA</t>
  </si>
  <si>
    <t>Bikram Yoga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</si>
</sst>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d\,\ mmm\ dd"/>
  </numFmts>
  <fonts count="8">
    <font>
      <sz val="11"/>
      <color theme="1"/>
      <name val="Calibri"/>
      <charset val="134"/>
      <scheme val="minor"/>
    </font>
    <font>
      <sz val="10"/>
      <color theme="9" tint="-0.499984740745262"/>
      <name val="Calibri"/>
      <charset val="238"/>
      <scheme val="minor"/>
    </font>
    <font>
      <sz val="10"/>
      <color theme="1"/>
      <name val="Calibri"/>
      <charset val="238"/>
      <scheme val="minor"/>
    </font>
    <font>
      <sz val="10"/>
      <color theme="3"/>
      <name val="Calibri"/>
      <charset val="238"/>
      <scheme val="minor"/>
    </font>
    <font>
      <sz val="10"/>
      <color theme="6" tint="-0.499984740745262"/>
      <name val="Calibri"/>
      <charset val="238"/>
      <scheme val="minor"/>
    </font>
    <font>
      <sz val="10"/>
      <color rgb="FF00B050"/>
      <name val="Calibri"/>
      <charset val="238"/>
      <scheme val="minor"/>
    </font>
    <font>
      <sz val="10"/>
      <color rgb="FF7030A0"/>
      <name val="Calibri"/>
      <charset val="238"/>
      <scheme val="minor"/>
    </font>
    <font>
      <sz val="10"/>
      <color rgb="FFC00000"/>
      <name val="Calibri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7" fillId="2" borderId="22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 vertical="center"/>
    </xf>
    <xf numFmtId="164" fontId="3" fillId="2" borderId="5" xfId="0" applyNumberFormat="1" applyFont="1" applyFill="1" applyBorder="1" applyAlignment="1">
      <alignment horizontal="center" vertical="center"/>
    </xf>
    <xf numFmtId="164" fontId="3" fillId="2" borderId="8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6" fillId="4" borderId="16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</cellXfs>
  <cellStyles count="1">
    <cellStyle name="Обычный" xfId="0" builtinId="0"/>
  </cellStyles>
  <dxfs count="19">
    <dxf>
      <font>
        <b/>
        <i/>
        <color auto="1"/>
      </font>
      <fill>
        <patternFill patternType="solid">
          <bgColor rgb="FFFFFF00"/>
        </patternFill>
      </fill>
    </dxf>
    <dxf>
      <font>
        <b/>
        <i/>
        <color auto="1"/>
      </font>
      <fill>
        <patternFill patternType="solid">
          <bgColor rgb="FFFFFF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ivate/var/folders/80/9c4yq3_x0q58sglmdwq5w2300000gn/T/MicrosoftEdgeDownloads/ea9a2403-32c0-4fb3-a0e2-702acbd716df/VBA%20question%20RE%20Populating%20a%20table%20based%20on%20Data%20Validation%20%20Excelguru%20Foru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y Months"/>
      <sheetName val="by Days"/>
      <sheetName val="JanTable"/>
      <sheetName val="FebTable"/>
      <sheetName val="MarTable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zoomScale="70" zoomScaleNormal="70" workbookViewId="0">
      <selection activeCell="C32" sqref="C32"/>
    </sheetView>
  </sheetViews>
  <sheetFormatPr defaultColWidth="9.26953125" defaultRowHeight="14.5"/>
  <cols>
    <col min="1" max="1" width="16.1796875" customWidth="1"/>
    <col min="2" max="2" width="14.90625" customWidth="1"/>
    <col min="3" max="3" width="17.26953125" customWidth="1"/>
    <col min="4" max="4" width="21.26953125" customWidth="1"/>
    <col min="5" max="5" width="22.6328125" customWidth="1"/>
  </cols>
  <sheetData>
    <row r="1" spans="1:16">
      <c r="A1" s="36" t="s">
        <v>0</v>
      </c>
      <c r="B1" s="37"/>
      <c r="C1" s="37"/>
      <c r="D1" s="37"/>
      <c r="E1" s="38"/>
      <c r="F1" s="39" t="s">
        <v>1</v>
      </c>
      <c r="G1" s="40"/>
      <c r="H1" s="40"/>
      <c r="I1" s="40"/>
      <c r="J1" s="41"/>
      <c r="K1" s="42" t="s">
        <v>2</v>
      </c>
      <c r="L1" s="43"/>
      <c r="M1" s="43"/>
      <c r="N1" s="43"/>
      <c r="O1" s="44"/>
      <c r="P1" s="27" t="s">
        <v>3</v>
      </c>
    </row>
    <row r="2" spans="1:16">
      <c r="A2" s="28" t="s">
        <v>4</v>
      </c>
      <c r="B2" s="29" t="s">
        <v>5</v>
      </c>
      <c r="C2" s="29" t="s">
        <v>6</v>
      </c>
      <c r="D2" s="29" t="s">
        <v>2</v>
      </c>
      <c r="E2" s="30" t="s">
        <v>7</v>
      </c>
      <c r="F2" s="28" t="s">
        <v>8</v>
      </c>
      <c r="G2" s="29" t="s">
        <v>9</v>
      </c>
      <c r="H2" s="29" t="s">
        <v>10</v>
      </c>
      <c r="I2" s="29" t="s">
        <v>11</v>
      </c>
      <c r="J2" s="30" t="s">
        <v>12</v>
      </c>
      <c r="K2" s="28" t="s">
        <v>13</v>
      </c>
      <c r="L2" s="29" t="s">
        <v>14</v>
      </c>
      <c r="M2" s="29" t="s">
        <v>15</v>
      </c>
      <c r="N2" s="29" t="s">
        <v>16</v>
      </c>
      <c r="O2" s="31" t="s">
        <v>17</v>
      </c>
      <c r="P2" s="32" t="s">
        <v>15</v>
      </c>
    </row>
    <row r="3" spans="1:16">
      <c r="A3" s="34">
        <v>42796</v>
      </c>
      <c r="B3" s="1" t="s">
        <v>18</v>
      </c>
      <c r="C3" s="1" t="s">
        <v>19</v>
      </c>
      <c r="D3" s="1" t="s">
        <v>20</v>
      </c>
      <c r="E3" s="4" t="s">
        <v>21</v>
      </c>
      <c r="F3" s="5" t="s">
        <v>22</v>
      </c>
      <c r="G3" s="6">
        <v>100</v>
      </c>
      <c r="H3" s="6">
        <v>2</v>
      </c>
      <c r="I3" s="6">
        <v>15</v>
      </c>
      <c r="J3" s="13">
        <v>4</v>
      </c>
      <c r="K3" s="14"/>
      <c r="L3" s="15"/>
      <c r="M3" s="15"/>
      <c r="N3" s="15"/>
      <c r="O3" s="22"/>
      <c r="P3" s="23"/>
    </row>
    <row r="4" spans="1:16">
      <c r="A4" s="34"/>
      <c r="B4" s="2" t="s">
        <v>18</v>
      </c>
      <c r="C4" s="2" t="s">
        <v>23</v>
      </c>
      <c r="D4" s="2" t="s">
        <v>24</v>
      </c>
      <c r="E4" s="7" t="s">
        <v>25</v>
      </c>
      <c r="F4" s="8" t="s">
        <v>26</v>
      </c>
      <c r="G4" s="9">
        <v>200</v>
      </c>
      <c r="H4" s="9">
        <v>4</v>
      </c>
      <c r="I4" s="9">
        <v>2</v>
      </c>
      <c r="J4" s="16">
        <v>2</v>
      </c>
      <c r="K4" s="17"/>
      <c r="L4" s="18"/>
      <c r="M4" s="18"/>
      <c r="N4" s="18"/>
      <c r="O4" s="24"/>
      <c r="P4" s="23"/>
    </row>
    <row r="5" spans="1:16">
      <c r="A5" s="34"/>
      <c r="B5" s="2" t="s">
        <v>27</v>
      </c>
      <c r="C5" s="2" t="s">
        <v>19</v>
      </c>
      <c r="D5" s="2" t="s">
        <v>28</v>
      </c>
      <c r="E5" s="7" t="s">
        <v>29</v>
      </c>
      <c r="F5" s="8">
        <v>1</v>
      </c>
      <c r="G5" s="6">
        <v>300</v>
      </c>
      <c r="H5" s="9">
        <v>5</v>
      </c>
      <c r="I5" s="9">
        <v>20</v>
      </c>
      <c r="J5" s="16">
        <v>5</v>
      </c>
      <c r="K5" s="17"/>
      <c r="L5" s="18"/>
      <c r="M5" s="18"/>
      <c r="N5" s="18"/>
      <c r="O5" s="24"/>
      <c r="P5" s="23"/>
    </row>
    <row r="6" spans="1:16">
      <c r="A6" s="34"/>
      <c r="B6" s="2" t="s">
        <v>27</v>
      </c>
      <c r="C6" s="2" t="s">
        <v>19</v>
      </c>
      <c r="D6" s="2" t="s">
        <v>30</v>
      </c>
      <c r="E6" s="7" t="s">
        <v>31</v>
      </c>
      <c r="F6" s="8" t="s">
        <v>32</v>
      </c>
      <c r="G6" s="9">
        <v>400</v>
      </c>
      <c r="H6" s="9">
        <v>4</v>
      </c>
      <c r="I6" s="9">
        <v>2</v>
      </c>
      <c r="J6" s="16">
        <v>16</v>
      </c>
      <c r="K6" s="17"/>
      <c r="L6" s="18"/>
      <c r="M6" s="18"/>
      <c r="N6" s="18">
        <v>350</v>
      </c>
      <c r="O6" s="24"/>
      <c r="P6" s="23"/>
    </row>
    <row r="7" spans="1:16">
      <c r="A7" s="34"/>
      <c r="B7" s="2" t="s">
        <v>33</v>
      </c>
      <c r="C7" s="2" t="s">
        <v>19</v>
      </c>
      <c r="D7" s="2" t="s">
        <v>34</v>
      </c>
      <c r="E7" s="7" t="s">
        <v>35</v>
      </c>
      <c r="F7" s="8" t="s">
        <v>36</v>
      </c>
      <c r="G7" s="6">
        <v>500</v>
      </c>
      <c r="H7" s="9">
        <v>5</v>
      </c>
      <c r="I7" s="9">
        <v>4</v>
      </c>
      <c r="J7" s="16">
        <v>1</v>
      </c>
      <c r="K7" s="17"/>
      <c r="L7" s="18"/>
      <c r="M7" s="18"/>
      <c r="N7" s="18"/>
      <c r="O7" s="24"/>
      <c r="P7" s="23"/>
    </row>
    <row r="8" spans="1:16">
      <c r="A8" s="34"/>
      <c r="B8" s="2" t="s">
        <v>33</v>
      </c>
      <c r="C8" s="2" t="s">
        <v>23</v>
      </c>
      <c r="D8" s="2" t="s">
        <v>37</v>
      </c>
      <c r="E8" s="7" t="s">
        <v>38</v>
      </c>
      <c r="F8" s="8" t="s">
        <v>39</v>
      </c>
      <c r="G8" s="9">
        <v>600</v>
      </c>
      <c r="H8" s="9">
        <v>0</v>
      </c>
      <c r="I8" s="9">
        <v>36</v>
      </c>
      <c r="J8" s="16">
        <v>2</v>
      </c>
      <c r="K8" s="17"/>
      <c r="L8" s="18"/>
      <c r="M8" s="18"/>
      <c r="N8" s="18"/>
      <c r="O8" s="24"/>
      <c r="P8" s="23"/>
    </row>
    <row r="9" spans="1:16">
      <c r="A9" s="34"/>
      <c r="B9" s="2" t="s">
        <v>33</v>
      </c>
      <c r="C9" s="2" t="s">
        <v>2</v>
      </c>
      <c r="D9" s="2" t="s">
        <v>40</v>
      </c>
      <c r="E9" s="7" t="s">
        <v>41</v>
      </c>
      <c r="F9" s="8"/>
      <c r="G9" s="6">
        <v>700</v>
      </c>
      <c r="H9" s="9"/>
      <c r="I9" s="9"/>
      <c r="J9" s="16"/>
      <c r="K9" s="17"/>
      <c r="L9" s="18"/>
      <c r="M9" s="18">
        <v>200</v>
      </c>
      <c r="N9" s="18">
        <v>10</v>
      </c>
      <c r="O9" s="24">
        <v>3</v>
      </c>
      <c r="P9" s="23"/>
    </row>
    <row r="10" spans="1:16">
      <c r="A10" s="34"/>
      <c r="B10" s="2" t="s">
        <v>33</v>
      </c>
      <c r="C10" s="2" t="s">
        <v>42</v>
      </c>
      <c r="D10" s="2"/>
      <c r="E10" s="7"/>
      <c r="F10" s="8"/>
      <c r="G10" s="9"/>
      <c r="H10" s="9"/>
      <c r="I10" s="9"/>
      <c r="J10" s="16"/>
      <c r="K10" s="17"/>
      <c r="L10" s="18"/>
      <c r="M10" s="18"/>
      <c r="N10" s="18"/>
      <c r="O10" s="24"/>
      <c r="P10" s="23">
        <v>220</v>
      </c>
    </row>
    <row r="11" spans="1:16">
      <c r="A11" s="35"/>
      <c r="B11" s="2"/>
      <c r="C11" s="45" t="s">
        <v>43</v>
      </c>
      <c r="D11" s="2"/>
      <c r="E11" s="7"/>
      <c r="F11" s="8"/>
      <c r="G11" s="9">
        <f t="shared" ref="G11:P11" si="0">SUM(G3:G10)</f>
        <v>2800</v>
      </c>
      <c r="H11" s="9">
        <f t="shared" si="0"/>
        <v>20</v>
      </c>
      <c r="I11" s="9">
        <f t="shared" si="0"/>
        <v>79</v>
      </c>
      <c r="J11" s="9">
        <f t="shared" si="0"/>
        <v>30</v>
      </c>
      <c r="K11" s="9">
        <f t="shared" si="0"/>
        <v>0</v>
      </c>
      <c r="L11" s="9">
        <f t="shared" si="0"/>
        <v>0</v>
      </c>
      <c r="M11" s="9">
        <f t="shared" si="0"/>
        <v>200</v>
      </c>
      <c r="N11" s="9">
        <f t="shared" si="0"/>
        <v>360</v>
      </c>
      <c r="O11" s="9">
        <f t="shared" si="0"/>
        <v>3</v>
      </c>
      <c r="P11" s="9">
        <f t="shared" si="0"/>
        <v>220</v>
      </c>
    </row>
    <row r="12" spans="1:16">
      <c r="A12" s="33">
        <v>42797</v>
      </c>
      <c r="B12" s="2" t="s">
        <v>18</v>
      </c>
      <c r="C12" s="2" t="s">
        <v>2</v>
      </c>
      <c r="D12" s="2" t="s">
        <v>44</v>
      </c>
      <c r="E12" s="7" t="s">
        <v>45</v>
      </c>
      <c r="F12" s="8"/>
      <c r="G12" s="9"/>
      <c r="H12" s="9"/>
      <c r="I12" s="9"/>
      <c r="J12" s="16"/>
      <c r="K12" s="17">
        <v>30</v>
      </c>
      <c r="L12" s="18">
        <v>2</v>
      </c>
      <c r="M12" s="18"/>
      <c r="N12" s="18"/>
      <c r="O12" s="24"/>
      <c r="P12" s="23"/>
    </row>
    <row r="13" spans="1:16">
      <c r="A13" s="34"/>
      <c r="B13" s="2" t="s">
        <v>18</v>
      </c>
      <c r="C13" s="2" t="s">
        <v>19</v>
      </c>
      <c r="D13" s="2" t="s">
        <v>46</v>
      </c>
      <c r="E13" s="7" t="s">
        <v>47</v>
      </c>
      <c r="F13" s="8">
        <v>2</v>
      </c>
      <c r="G13" s="9">
        <v>120</v>
      </c>
      <c r="H13" s="9">
        <v>4</v>
      </c>
      <c r="I13" s="9">
        <v>2</v>
      </c>
      <c r="J13" s="16">
        <v>16</v>
      </c>
      <c r="K13" s="17"/>
      <c r="L13" s="18"/>
      <c r="M13" s="18"/>
      <c r="N13" s="18"/>
      <c r="O13" s="24"/>
      <c r="P13" s="23"/>
    </row>
    <row r="14" spans="1:16">
      <c r="A14" s="34"/>
      <c r="B14" s="2" t="s">
        <v>18</v>
      </c>
      <c r="C14" s="2" t="s">
        <v>19</v>
      </c>
      <c r="D14" s="2" t="s">
        <v>28</v>
      </c>
      <c r="E14" s="7" t="s">
        <v>48</v>
      </c>
      <c r="F14" s="8" t="s">
        <v>49</v>
      </c>
      <c r="G14" s="9">
        <v>100</v>
      </c>
      <c r="H14" s="9">
        <v>2</v>
      </c>
      <c r="I14" s="9">
        <v>24</v>
      </c>
      <c r="J14" s="16">
        <v>6</v>
      </c>
      <c r="K14" s="17"/>
      <c r="L14" s="18"/>
      <c r="M14" s="18"/>
      <c r="N14" s="18"/>
      <c r="O14" s="24"/>
      <c r="P14" s="23"/>
    </row>
    <row r="15" spans="1:16">
      <c r="A15" s="34"/>
      <c r="B15" s="2" t="s">
        <v>18</v>
      </c>
      <c r="C15" s="2" t="s">
        <v>23</v>
      </c>
      <c r="D15" s="2" t="s">
        <v>24</v>
      </c>
      <c r="E15" s="7" t="s">
        <v>25</v>
      </c>
      <c r="F15" s="8" t="s">
        <v>26</v>
      </c>
      <c r="G15" s="9">
        <v>90</v>
      </c>
      <c r="H15" s="9">
        <v>4</v>
      </c>
      <c r="I15" s="9">
        <v>2</v>
      </c>
      <c r="J15" s="16">
        <v>2</v>
      </c>
      <c r="K15" s="17"/>
      <c r="L15" s="18"/>
      <c r="M15" s="18"/>
      <c r="N15" s="18"/>
      <c r="O15" s="24"/>
      <c r="P15" s="23"/>
    </row>
    <row r="16" spans="1:16">
      <c r="A16" s="34"/>
      <c r="B16" s="2" t="s">
        <v>27</v>
      </c>
      <c r="C16" s="2" t="s">
        <v>19</v>
      </c>
      <c r="D16" s="2" t="s">
        <v>50</v>
      </c>
      <c r="E16" s="7" t="s">
        <v>51</v>
      </c>
      <c r="F16" s="8" t="s">
        <v>22</v>
      </c>
      <c r="G16" s="9">
        <v>45</v>
      </c>
      <c r="H16" s="9">
        <v>0</v>
      </c>
      <c r="I16" s="9">
        <v>100</v>
      </c>
      <c r="J16" s="16">
        <v>8</v>
      </c>
      <c r="K16" s="17"/>
      <c r="L16" s="18"/>
      <c r="M16" s="18"/>
      <c r="N16" s="18"/>
      <c r="O16" s="24"/>
      <c r="P16" s="23"/>
    </row>
    <row r="17" spans="1:16">
      <c r="A17" s="34"/>
      <c r="B17" s="2" t="s">
        <v>27</v>
      </c>
      <c r="C17" s="2" t="s">
        <v>19</v>
      </c>
      <c r="D17" s="2" t="s">
        <v>34</v>
      </c>
      <c r="E17" s="7" t="s">
        <v>52</v>
      </c>
      <c r="F17" s="8" t="s">
        <v>36</v>
      </c>
      <c r="G17" s="9">
        <v>80</v>
      </c>
      <c r="H17" s="9">
        <v>5</v>
      </c>
      <c r="I17" s="9">
        <v>100</v>
      </c>
      <c r="J17" s="16">
        <v>1</v>
      </c>
      <c r="K17" s="17"/>
      <c r="L17" s="18"/>
      <c r="M17" s="18"/>
      <c r="N17" s="18"/>
      <c r="O17" s="24"/>
      <c r="P17" s="23"/>
    </row>
    <row r="18" spans="1:16">
      <c r="A18" s="34"/>
      <c r="B18" s="2" t="s">
        <v>27</v>
      </c>
      <c r="C18" s="2" t="s">
        <v>23</v>
      </c>
      <c r="D18" s="2" t="s">
        <v>53</v>
      </c>
      <c r="E18" s="7"/>
      <c r="F18" s="8" t="s">
        <v>26</v>
      </c>
      <c r="G18" s="9">
        <v>0</v>
      </c>
      <c r="H18" s="9">
        <v>0</v>
      </c>
      <c r="I18" s="9">
        <v>0</v>
      </c>
      <c r="J18" s="16">
        <v>0</v>
      </c>
      <c r="K18" s="17"/>
      <c r="L18" s="18"/>
      <c r="M18" s="18"/>
      <c r="N18" s="18"/>
      <c r="O18" s="24"/>
      <c r="P18" s="23"/>
    </row>
    <row r="19" spans="1:16">
      <c r="A19" s="34"/>
      <c r="B19" s="2" t="s">
        <v>27</v>
      </c>
      <c r="C19" s="2" t="s">
        <v>2</v>
      </c>
      <c r="D19" s="2" t="s">
        <v>54</v>
      </c>
      <c r="E19" s="7" t="s">
        <v>55</v>
      </c>
      <c r="F19" s="8"/>
      <c r="G19" s="9"/>
      <c r="H19" s="9"/>
      <c r="I19" s="9"/>
      <c r="J19" s="16"/>
      <c r="K19" s="17">
        <v>30</v>
      </c>
      <c r="L19" s="18">
        <v>1</v>
      </c>
      <c r="M19" s="18"/>
      <c r="N19" s="18"/>
      <c r="O19" s="24"/>
      <c r="P19" s="23"/>
    </row>
    <row r="20" spans="1:16">
      <c r="A20" s="34"/>
      <c r="B20" s="2" t="s">
        <v>33</v>
      </c>
      <c r="C20" s="2" t="s">
        <v>19</v>
      </c>
      <c r="D20" s="2" t="s">
        <v>56</v>
      </c>
      <c r="E20" s="7" t="s">
        <v>57</v>
      </c>
      <c r="F20" s="8" t="s">
        <v>32</v>
      </c>
      <c r="G20" s="9">
        <v>110</v>
      </c>
      <c r="H20" s="9">
        <v>2</v>
      </c>
      <c r="I20" s="9">
        <v>4</v>
      </c>
      <c r="J20" s="16">
        <v>24</v>
      </c>
      <c r="K20" s="17"/>
      <c r="L20" s="18"/>
      <c r="M20" s="18"/>
      <c r="N20" s="18"/>
      <c r="O20" s="24"/>
      <c r="P20" s="23"/>
    </row>
    <row r="21" spans="1:16">
      <c r="A21" s="34"/>
      <c r="B21" s="2" t="s">
        <v>33</v>
      </c>
      <c r="C21" s="2" t="s">
        <v>19</v>
      </c>
      <c r="D21" s="2" t="s">
        <v>28</v>
      </c>
      <c r="E21" s="7" t="s">
        <v>58</v>
      </c>
      <c r="F21" s="8">
        <v>1</v>
      </c>
      <c r="G21" s="9">
        <v>125</v>
      </c>
      <c r="H21" s="9">
        <v>2</v>
      </c>
      <c r="I21" s="9">
        <v>28</v>
      </c>
      <c r="J21" s="16">
        <v>4</v>
      </c>
      <c r="K21" s="17"/>
      <c r="L21" s="18"/>
      <c r="M21" s="18"/>
      <c r="N21" s="18"/>
      <c r="O21" s="24"/>
      <c r="P21" s="23"/>
    </row>
    <row r="22" spans="1:16">
      <c r="A22" s="34"/>
      <c r="B22" s="2" t="s">
        <v>33</v>
      </c>
      <c r="C22" s="2" t="s">
        <v>19</v>
      </c>
      <c r="D22" s="2" t="s">
        <v>50</v>
      </c>
      <c r="E22" s="7" t="s">
        <v>59</v>
      </c>
      <c r="F22" s="8" t="s">
        <v>60</v>
      </c>
      <c r="G22" s="9">
        <v>15</v>
      </c>
      <c r="H22" s="9">
        <v>0</v>
      </c>
      <c r="I22" s="9">
        <v>2</v>
      </c>
      <c r="J22" s="16">
        <v>1</v>
      </c>
      <c r="K22" s="17"/>
      <c r="L22" s="18"/>
      <c r="M22" s="18"/>
      <c r="N22" s="18"/>
      <c r="O22" s="24"/>
      <c r="P22" s="23"/>
    </row>
    <row r="23" spans="1:16">
      <c r="A23" s="34"/>
      <c r="B23" s="2" t="s">
        <v>33</v>
      </c>
      <c r="C23" s="2" t="s">
        <v>23</v>
      </c>
      <c r="D23" s="2" t="s">
        <v>61</v>
      </c>
      <c r="E23" s="7" t="s">
        <v>62</v>
      </c>
      <c r="F23" s="8" t="s">
        <v>63</v>
      </c>
      <c r="G23" s="9">
        <v>125</v>
      </c>
      <c r="H23" s="9">
        <v>0</v>
      </c>
      <c r="I23" s="9">
        <v>0</v>
      </c>
      <c r="J23" s="16">
        <v>0</v>
      </c>
      <c r="K23" s="17"/>
      <c r="L23" s="18"/>
      <c r="M23" s="18"/>
      <c r="N23" s="18"/>
      <c r="O23" s="24"/>
      <c r="P23" s="23"/>
    </row>
    <row r="24" spans="1:16">
      <c r="A24" s="34"/>
      <c r="B24" s="2" t="s">
        <v>33</v>
      </c>
      <c r="C24" s="2" t="s">
        <v>2</v>
      </c>
      <c r="D24" s="2" t="s">
        <v>64</v>
      </c>
      <c r="E24" s="7" t="s">
        <v>65</v>
      </c>
      <c r="F24" s="8"/>
      <c r="G24" s="9"/>
      <c r="H24" s="9"/>
      <c r="I24" s="9"/>
      <c r="J24" s="16"/>
      <c r="K24" s="17"/>
      <c r="L24" s="18"/>
      <c r="M24" s="18"/>
      <c r="N24" s="18">
        <v>10</v>
      </c>
      <c r="O24" s="24">
        <v>3</v>
      </c>
      <c r="P24" s="23"/>
    </row>
    <row r="25" spans="1:16">
      <c r="A25" s="34"/>
      <c r="B25" s="2" t="s">
        <v>33</v>
      </c>
      <c r="C25" s="2" t="s">
        <v>42</v>
      </c>
      <c r="D25" s="2"/>
      <c r="E25" s="7"/>
      <c r="F25" s="8"/>
      <c r="G25" s="9"/>
      <c r="H25" s="9"/>
      <c r="I25" s="9"/>
      <c r="J25" s="16"/>
      <c r="K25" s="17"/>
      <c r="L25" s="18"/>
      <c r="M25" s="18"/>
      <c r="N25" s="18"/>
      <c r="O25" s="24"/>
      <c r="P25" s="23">
        <v>219</v>
      </c>
    </row>
    <row r="26" spans="1:16">
      <c r="A26" s="35"/>
      <c r="B26" s="2"/>
      <c r="C26" s="45" t="s">
        <v>43</v>
      </c>
      <c r="D26" s="2"/>
      <c r="E26" s="7"/>
      <c r="F26" s="8"/>
      <c r="G26" s="9">
        <f t="shared" ref="G26:P26" si="1">SUM(G12:G25)</f>
        <v>810</v>
      </c>
      <c r="H26" s="9">
        <f t="shared" si="1"/>
        <v>19</v>
      </c>
      <c r="I26" s="9">
        <f t="shared" si="1"/>
        <v>262</v>
      </c>
      <c r="J26" s="9">
        <f t="shared" si="1"/>
        <v>62</v>
      </c>
      <c r="K26" s="9">
        <f t="shared" si="1"/>
        <v>60</v>
      </c>
      <c r="L26" s="9">
        <f t="shared" si="1"/>
        <v>3</v>
      </c>
      <c r="M26" s="9">
        <f t="shared" si="1"/>
        <v>0</v>
      </c>
      <c r="N26" s="9">
        <f t="shared" si="1"/>
        <v>10</v>
      </c>
      <c r="O26" s="9">
        <f t="shared" si="1"/>
        <v>3</v>
      </c>
      <c r="P26" s="9">
        <f t="shared" si="1"/>
        <v>219</v>
      </c>
    </row>
    <row r="27" spans="1:16">
      <c r="A27" s="33">
        <v>42798</v>
      </c>
      <c r="B27" s="2" t="s">
        <v>18</v>
      </c>
      <c r="C27" s="2" t="s">
        <v>2</v>
      </c>
      <c r="D27" s="2" t="s">
        <v>44</v>
      </c>
      <c r="E27" s="7" t="s">
        <v>66</v>
      </c>
      <c r="F27" s="8"/>
      <c r="G27" s="9"/>
      <c r="H27" s="9"/>
      <c r="I27" s="9"/>
      <c r="J27" s="16"/>
      <c r="K27" s="17">
        <v>160</v>
      </c>
      <c r="L27" s="18">
        <v>26.2</v>
      </c>
      <c r="M27" s="18"/>
      <c r="N27" s="18"/>
      <c r="O27" s="24"/>
      <c r="P27" s="23"/>
    </row>
    <row r="28" spans="1:16">
      <c r="A28" s="34"/>
      <c r="B28" s="2" t="s">
        <v>18</v>
      </c>
      <c r="C28" s="2" t="s">
        <v>19</v>
      </c>
      <c r="D28" s="2" t="s">
        <v>67</v>
      </c>
      <c r="E28" s="7" t="s">
        <v>68</v>
      </c>
      <c r="F28" s="8">
        <v>8</v>
      </c>
      <c r="G28" s="9">
        <v>3000</v>
      </c>
      <c r="H28" s="9">
        <v>240</v>
      </c>
      <c r="I28" s="9">
        <v>200</v>
      </c>
      <c r="J28" s="16">
        <v>45</v>
      </c>
      <c r="K28" s="17"/>
      <c r="L28" s="18"/>
      <c r="M28" s="18"/>
      <c r="N28" s="18"/>
      <c r="O28" s="24"/>
      <c r="P28" s="23"/>
    </row>
    <row r="29" spans="1:16">
      <c r="A29" s="34"/>
      <c r="B29" s="2" t="s">
        <v>18</v>
      </c>
      <c r="C29" s="2" t="s">
        <v>23</v>
      </c>
      <c r="D29" s="2" t="s">
        <v>37</v>
      </c>
      <c r="E29" s="7" t="s">
        <v>69</v>
      </c>
      <c r="F29" s="8">
        <v>24</v>
      </c>
      <c r="G29" s="9">
        <v>2880</v>
      </c>
      <c r="H29" s="9">
        <v>0</v>
      </c>
      <c r="I29" s="9">
        <v>450</v>
      </c>
      <c r="J29" s="16">
        <v>24</v>
      </c>
      <c r="K29" s="17"/>
      <c r="L29" s="18"/>
      <c r="M29" s="18"/>
      <c r="N29" s="18"/>
      <c r="O29" s="24"/>
      <c r="P29" s="23"/>
    </row>
    <row r="30" spans="1:16">
      <c r="A30" s="34"/>
      <c r="B30" s="2" t="s">
        <v>27</v>
      </c>
      <c r="C30" s="2" t="s">
        <v>19</v>
      </c>
      <c r="D30" s="2" t="s">
        <v>50</v>
      </c>
      <c r="E30" s="7" t="s">
        <v>70</v>
      </c>
      <c r="F30" s="8">
        <v>10</v>
      </c>
      <c r="G30" s="9">
        <v>300</v>
      </c>
      <c r="H30" s="9">
        <v>30</v>
      </c>
      <c r="I30" s="9">
        <v>50</v>
      </c>
      <c r="J30" s="16">
        <v>4</v>
      </c>
      <c r="K30" s="17"/>
      <c r="L30" s="18"/>
      <c r="M30" s="18"/>
      <c r="N30" s="18"/>
      <c r="O30" s="24"/>
      <c r="P30" s="23"/>
    </row>
    <row r="31" spans="1:16">
      <c r="A31" s="34"/>
      <c r="B31" s="3" t="s">
        <v>27</v>
      </c>
      <c r="C31" s="3" t="s">
        <v>2</v>
      </c>
      <c r="D31" s="3" t="s">
        <v>71</v>
      </c>
      <c r="E31" s="10" t="s">
        <v>72</v>
      </c>
      <c r="F31" s="11"/>
      <c r="G31" s="12"/>
      <c r="H31" s="12"/>
      <c r="I31" s="12"/>
      <c r="J31" s="19"/>
      <c r="K31" s="20">
        <v>60</v>
      </c>
      <c r="L31" s="21"/>
      <c r="M31" s="21"/>
      <c r="N31" s="21"/>
      <c r="O31" s="25"/>
      <c r="P31" s="26"/>
    </row>
    <row r="32" spans="1:16">
      <c r="A32" s="35"/>
      <c r="B32" s="2"/>
      <c r="C32" s="45" t="s">
        <v>43</v>
      </c>
      <c r="D32" s="2"/>
      <c r="E32" s="7"/>
      <c r="F32" s="8"/>
      <c r="G32" s="9">
        <f t="shared" ref="G32:P32" si="2">SUM(G27:G31)</f>
        <v>6180</v>
      </c>
      <c r="H32" s="9">
        <f t="shared" si="2"/>
        <v>270</v>
      </c>
      <c r="I32" s="9">
        <f t="shared" si="2"/>
        <v>700</v>
      </c>
      <c r="J32" s="9">
        <f t="shared" si="2"/>
        <v>73</v>
      </c>
      <c r="K32" s="9">
        <f t="shared" si="2"/>
        <v>220</v>
      </c>
      <c r="L32" s="9">
        <f t="shared" si="2"/>
        <v>26.2</v>
      </c>
      <c r="M32" s="9">
        <f t="shared" si="2"/>
        <v>0</v>
      </c>
      <c r="N32" s="9">
        <f t="shared" si="2"/>
        <v>0</v>
      </c>
      <c r="O32" s="9">
        <f t="shared" si="2"/>
        <v>0</v>
      </c>
      <c r="P32" s="9">
        <f t="shared" si="2"/>
        <v>0</v>
      </c>
    </row>
  </sheetData>
  <mergeCells count="6">
    <mergeCell ref="A27:A32"/>
    <mergeCell ref="A1:E1"/>
    <mergeCell ref="F1:J1"/>
    <mergeCell ref="K1:O1"/>
    <mergeCell ref="A3:A11"/>
    <mergeCell ref="A12:A26"/>
  </mergeCells>
  <dataValidations count="3">
    <dataValidation type="list" allowBlank="1" showInputMessage="1" showErrorMessage="1" sqref="B3:B32">
      <formula1>TIME</formula1>
    </dataValidation>
    <dataValidation type="list" allowBlank="1" showInputMessage="1" showErrorMessage="1" sqref="C3:C32">
      <formula1>ACTION</formula1>
    </dataValidation>
    <dataValidation type="list" allowBlank="1" showInputMessage="1" showErrorMessage="1" sqref="D3:D32">
      <formula1>INDIRECT(C3)</formula1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49AF22F-1EBD-42F6-925B-AE3128A3A5A9}">
            <xm:f>$D32:$D60='\private\var\folders\80\9c4yq3_x0q58sglmdwq5w2300000gn\T\MicrosoftEdgeDownloads\ea9a2403-32c0-4fb3-a0e2-702acbd716df\[VBA question RE Populating a table based on Data Validation  Excelguru Forums.xlsx]by Months'!#REF!</xm:f>
            <x14:dxf>
              <font>
                <b/>
                <i/>
                <color auto="1"/>
              </font>
              <fill>
                <patternFill patternType="solid">
                  <bgColor rgb="FFFFFF00"/>
                </patternFill>
              </fill>
            </x14:dxf>
          </x14:cfRule>
          <xm:sqref>B32:P32</xm:sqref>
        </x14:conditionalFormatting>
        <x14:conditionalFormatting xmlns:xm="http://schemas.microsoft.com/office/excel/2006/main">
          <x14:cfRule type="expression" priority="2" id="{4B09F6E9-9B61-4FB6-95AB-FB38694B5DB7}">
            <xm:f>$D3:$D31='\private\var\folders\80\9c4yq3_x0q58sglmdwq5w2300000gn\T\MicrosoftEdgeDownloads\ea9a2403-32c0-4fb3-a0e2-702acbd716df\[VBA question RE Populating a table based on Data Validation  Excelguru Forums.xlsx]by Months'!#REF!</xm:f>
            <x14:dxf>
              <font>
                <b/>
                <i/>
                <color auto="1"/>
              </font>
              <fill>
                <patternFill patternType="solid">
                  <bgColor rgb="FFFFFF00"/>
                </patternFill>
              </fill>
            </x14:dxf>
          </x14:cfRule>
          <xm:sqref>A3:P3 B4:P11 A12:P12 B13:P26 A27:P27 B28:P31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2024-12-13T19:09:00Z</dcterms:created>
  <dcterms:modified xsi:type="dcterms:W3CDTF">2026-02-09T08:53:46Z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35A780D5FC70467DCC155C6750EAAE27_41</vt:lpwstr>
  </property>
  <property fmtid="{D5CDD505-2E9C-101B-9397-08002B2CF9AE}" pid="3" name="KSOProductBuildVer">
    <vt:lpwstr>2052-6.8.2.8850</vt:lpwstr>
  </property>
</Properties>
</file>