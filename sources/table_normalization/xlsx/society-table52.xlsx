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9" i="1" l="1"/>
  <c r="K108" i="1"/>
  <c r="K107" i="1"/>
  <c r="K106" i="1"/>
  <c r="K103" i="1"/>
  <c r="K102" i="1"/>
  <c r="L99" i="1"/>
  <c r="H99" i="1"/>
  <c r="L98" i="1"/>
  <c r="H98" i="1"/>
  <c r="K95" i="1"/>
  <c r="K92" i="1"/>
  <c r="K91" i="1"/>
  <c r="K90" i="1"/>
  <c r="K89" i="1"/>
  <c r="K88" i="1"/>
  <c r="K83" i="1"/>
  <c r="K82" i="1"/>
  <c r="K81" i="1"/>
  <c r="K80" i="1"/>
  <c r="K79" i="1"/>
  <c r="K78" i="1"/>
  <c r="K56" i="1"/>
  <c r="K55" i="1"/>
  <c r="K54" i="1"/>
  <c r="K48" i="1"/>
  <c r="K47" i="1"/>
  <c r="K46" i="1"/>
  <c r="K45" i="1"/>
  <c r="K44" i="1"/>
  <c r="K43" i="1"/>
  <c r="K42" i="1"/>
  <c r="K41" i="1"/>
  <c r="K40" i="1"/>
  <c r="K39" i="1"/>
  <c r="K38" i="1"/>
  <c r="K35" i="1"/>
  <c r="K34" i="1"/>
  <c r="K33" i="1"/>
  <c r="K32" i="1"/>
  <c r="K31" i="1"/>
  <c r="K30" i="1"/>
  <c r="K28" i="1"/>
  <c r="K27" i="1"/>
  <c r="K26" i="1"/>
  <c r="K25" i="1"/>
  <c r="K24" i="1"/>
  <c r="K23" i="1"/>
  <c r="K20" i="1"/>
  <c r="K19" i="1"/>
  <c r="K18" i="1"/>
</calcChain>
</file>

<file path=xl/sharedStrings.xml><?xml version="1.0" encoding="utf-8"?>
<sst xmlns="http://schemas.openxmlformats.org/spreadsheetml/2006/main" count="648" uniqueCount="216">
  <si>
    <t>Supplementary Table 2. Compilation of olivine data from global kimberlites and lamproites</t>
  </si>
  <si>
    <t>locality</t>
  </si>
  <si>
    <t>lithology</t>
  </si>
  <si>
    <t>country</t>
  </si>
  <si>
    <t>position</t>
  </si>
  <si>
    <t>age (Ma)</t>
  </si>
  <si>
    <t>age ref</t>
  </si>
  <si>
    <t>core Mg#</t>
  </si>
  <si>
    <t>cores below Mg# 90 (fraction)</t>
  </si>
  <si>
    <t>n.</t>
  </si>
  <si>
    <t>core Cr2O3</t>
  </si>
  <si>
    <t>core MnO</t>
  </si>
  <si>
    <t>core NiO</t>
  </si>
  <si>
    <t>core CaO</t>
  </si>
  <si>
    <t>rim Mg#</t>
  </si>
  <si>
    <t>references</t>
  </si>
  <si>
    <t>median</t>
  </si>
  <si>
    <t>mean</t>
  </si>
  <si>
    <t>st dev</t>
  </si>
  <si>
    <t>max</t>
  </si>
  <si>
    <t>South Africa orangeites</t>
  </si>
  <si>
    <t>Markt</t>
  </si>
  <si>
    <t>olivine lamproite</t>
  </si>
  <si>
    <t>South Africa</t>
  </si>
  <si>
    <t>craton margin</t>
  </si>
  <si>
    <t>Smith et al. 1994</t>
  </si>
  <si>
    <t>Sarkar et al., 2022</t>
  </si>
  <si>
    <t>Newlands</t>
  </si>
  <si>
    <t>on craton</t>
  </si>
  <si>
    <t>Smith et al., 1985</t>
  </si>
  <si>
    <t>Sanddrift</t>
  </si>
  <si>
    <t>Finsch</t>
  </si>
  <si>
    <t>Star</t>
  </si>
  <si>
    <t>MacIntyre and Dawson, 1976</t>
  </si>
  <si>
    <t>Bellsbank</t>
  </si>
  <si>
    <t>Wimbledon</t>
  </si>
  <si>
    <t>unpublished</t>
  </si>
  <si>
    <t>Lace</t>
  </si>
  <si>
    <t>Phillips et al. 1999</t>
  </si>
  <si>
    <t>Roberts Victor</t>
  </si>
  <si>
    <t>Melton Wold</t>
  </si>
  <si>
    <t>West Africa</t>
  </si>
  <si>
    <t>Weasua</t>
  </si>
  <si>
    <t>Sierra Leone</t>
  </si>
  <si>
    <t>Skinner et al., 2004</t>
  </si>
  <si>
    <t>Howarth and Giuliani, 2020</t>
  </si>
  <si>
    <t>Koidu dyke DZB</t>
  </si>
  <si>
    <t>kimberlite</t>
  </si>
  <si>
    <t>Viljioen et al., 2022</t>
  </si>
  <si>
    <t>Koidu Pipe 1</t>
  </si>
  <si>
    <t>Tonguma</t>
  </si>
  <si>
    <t>Howarth and Giuliani, 2020; Viljioen et al, 2022</t>
  </si>
  <si>
    <t>Sothern Africa kimberlites</t>
  </si>
  <si>
    <t>Big Hole (Kimberley)</t>
  </si>
  <si>
    <t>Griffin et al., 2014</t>
  </si>
  <si>
    <t>Arndt et al., 2010</t>
  </si>
  <si>
    <t>Benfontein</t>
  </si>
  <si>
    <t>Giuliani et al., 2016</t>
  </si>
  <si>
    <t>Bultfontein</t>
  </si>
  <si>
    <t>Soltys et al., 2020</t>
  </si>
  <si>
    <t xml:space="preserve">De Beers </t>
  </si>
  <si>
    <t>Wesselton</t>
  </si>
  <si>
    <t xml:space="preserve">Dutoitspan </t>
  </si>
  <si>
    <t>Leicester</t>
  </si>
  <si>
    <t>Sarkar et al., 2023</t>
  </si>
  <si>
    <t xml:space="preserve">Jagersfontein </t>
  </si>
  <si>
    <t>Giuliani et al., 2020</t>
  </si>
  <si>
    <t>Kaalvallei, Samada</t>
  </si>
  <si>
    <t>Lim et al., 2018; Stiefenhofer, 1989</t>
  </si>
  <si>
    <t>New Robinson</t>
  </si>
  <si>
    <t>Lim et al., 2018</t>
  </si>
  <si>
    <t>Monastery</t>
  </si>
  <si>
    <t>Koffiefontein</t>
  </si>
  <si>
    <t>Colossus</t>
  </si>
  <si>
    <t>Zimbabwe</t>
  </si>
  <si>
    <t>Phillips et al., 1999</t>
  </si>
  <si>
    <t>Moore and Costin, 2016</t>
  </si>
  <si>
    <t>Murowa</t>
  </si>
  <si>
    <t>Moss et al., 2018</t>
  </si>
  <si>
    <t>The Oaks</t>
  </si>
  <si>
    <t>Premier</t>
  </si>
  <si>
    <t>Wu et al., 2013</t>
  </si>
  <si>
    <t>Giuliani et al., 2023</t>
  </si>
  <si>
    <t>Jwaneng DK7</t>
  </si>
  <si>
    <t>Botswana</t>
  </si>
  <si>
    <t>Kinny et al., 1989</t>
  </si>
  <si>
    <t>Karowe (Orapa AK-6)</t>
  </si>
  <si>
    <t>Giuliani et al., 2023; Arndt et al., 2010</t>
  </si>
  <si>
    <t>Damtshaa BK9</t>
  </si>
  <si>
    <t>Liqhobong</t>
  </si>
  <si>
    <t>Lesotho</t>
  </si>
  <si>
    <t>Kao Satellite</t>
  </si>
  <si>
    <t>Letseng</t>
  </si>
  <si>
    <t>Stamm et al., 2018</t>
  </si>
  <si>
    <t>Letseng Satellite</t>
  </si>
  <si>
    <t xml:space="preserve">Buffelboundfontein </t>
  </si>
  <si>
    <t>Pampoenpoort</t>
  </si>
  <si>
    <t>off craton</t>
  </si>
  <si>
    <t>Smith et al., 1994</t>
  </si>
  <si>
    <t>Uintjiesberg</t>
  </si>
  <si>
    <t>Tanzania kimberlite</t>
  </si>
  <si>
    <t>Igwisi Hills</t>
  </si>
  <si>
    <t>Tanzania</t>
  </si>
  <si>
    <t>Shaikh et al., 2021</t>
  </si>
  <si>
    <t>Brazilian kimberlites</t>
  </si>
  <si>
    <t>Perdizes-04</t>
  </si>
  <si>
    <t>Brazil</t>
  </si>
  <si>
    <t>Felgate, 2014</t>
  </si>
  <si>
    <t>Limpeza-18</t>
  </si>
  <si>
    <t>Três Ranchos-4</t>
  </si>
  <si>
    <t>Lac De Gras kimberlites</t>
  </si>
  <si>
    <t>Panther</t>
  </si>
  <si>
    <t>Canada</t>
  </si>
  <si>
    <t>Creaser et al., 2004</t>
  </si>
  <si>
    <t>Tovey et al., 2021</t>
  </si>
  <si>
    <t>Rat</t>
  </si>
  <si>
    <t>Porpoise</t>
  </si>
  <si>
    <t>Tovey et al. 2021</t>
  </si>
  <si>
    <t>Anaconda</t>
  </si>
  <si>
    <t>Sarkar et al., 2015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</si>
  <si>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</si>
  <si>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</si>
  <si>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</si>
  <si>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</si>
  <si>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</si>
  <si>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</si>
  <si>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</si>
  <si>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</si>
  <si>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</si>
  <si>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</si>
  <si>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</si>
  <si>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</si>
  <si>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</si>
  <si>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</si>
  <si>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Davis and Kjarsgaard, 1997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</si>
  <si>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</si>
  <si>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</si>
  <si>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</si>
  <si>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</si>
  <si>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</si>
  <si>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</si>
  <si>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</si>
  <si>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</si>
  <si>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</si>
  <si>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</si>
  <si>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</si>
  <si>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</si>
  <si>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Heaman et al., 2006</t>
  </si>
  <si>
    <t>Muscox</t>
  </si>
  <si>
    <t>Renard</t>
  </si>
  <si>
    <t>Ranger et al., 2018</t>
  </si>
  <si>
    <t>Patterson et al., 2009</t>
  </si>
  <si>
    <t>Peuyuk C</t>
  </si>
  <si>
    <t>Canada, Somerset</t>
  </si>
  <si>
    <t>Wu et al., 2010</t>
  </si>
  <si>
    <t>Nikos</t>
  </si>
  <si>
    <t>Lake Ellen - Krol</t>
  </si>
  <si>
    <t>US, Michigan</t>
  </si>
  <si>
    <t>Heaman et al., 2004</t>
  </si>
  <si>
    <t>Russia</t>
  </si>
  <si>
    <t>Udachnaya-East</t>
  </si>
  <si>
    <t>Maas et al., 2005</t>
  </si>
  <si>
    <t>Kamenetsky et al., 2008</t>
  </si>
  <si>
    <t>Internationalnaya</t>
  </si>
  <si>
    <t>Smelov and Zaitsev, 2013</t>
  </si>
  <si>
    <t>Obnazhennaya</t>
  </si>
  <si>
    <t>Sun et al., 2021</t>
  </si>
  <si>
    <t>Grib</t>
  </si>
  <si>
    <t>Larionova et al., 2016</t>
  </si>
  <si>
    <t>Sazonova et al., 2015</t>
  </si>
  <si>
    <t>Pionerskaya</t>
  </si>
  <si>
    <t>orangeite?</t>
  </si>
  <si>
    <t>Greenland</t>
  </si>
  <si>
    <t>Majuagaa</t>
  </si>
  <si>
    <t>Tappe et al., 2011</t>
  </si>
  <si>
    <t>Nielsen and Sand, 2008</t>
  </si>
  <si>
    <t>Kangamiut</t>
  </si>
  <si>
    <t>kimberlite/aillikite</t>
  </si>
  <si>
    <t>assumed</t>
  </si>
  <si>
    <t>Arndt et al., 2010; Cordier et al., 2015</t>
  </si>
  <si>
    <t xml:space="preserve">Finland </t>
  </si>
  <si>
    <t>Pipe 1</t>
  </si>
  <si>
    <t>Finland</t>
  </si>
  <si>
    <t>Dalton et al., 2022</t>
  </si>
  <si>
    <t>Dalton et al., 2020</t>
  </si>
  <si>
    <t>Pipe 5</t>
  </si>
  <si>
    <t>Pipe 9</t>
  </si>
  <si>
    <t>Pipe 14</t>
  </si>
  <si>
    <t>Lentira</t>
  </si>
  <si>
    <t>lamproite</t>
  </si>
  <si>
    <t>Kargin et al., 2014</t>
  </si>
  <si>
    <t>India</t>
  </si>
  <si>
    <t>Wajrakarur P2</t>
  </si>
  <si>
    <t>Paton, 2007</t>
  </si>
  <si>
    <t>Giuliani et al., 2020; Sarkar et al. 2021</t>
  </si>
  <si>
    <t>Wajrakarur P3</t>
  </si>
  <si>
    <t>Shaikh et al., 2018</t>
  </si>
  <si>
    <t>Wajrakarur P4</t>
  </si>
  <si>
    <t>Wajrakarur P13</t>
  </si>
  <si>
    <t>Shaikh et al., 2019</t>
  </si>
  <si>
    <t>Chigicherla-01 (CC1)</t>
  </si>
  <si>
    <t>Chigicherla-02 (CC2)</t>
  </si>
  <si>
    <t>TK1</t>
  </si>
  <si>
    <t>Shaikh et al., 2017</t>
  </si>
  <si>
    <t>Kodomali</t>
  </si>
  <si>
    <t>Lehmann et al., 2010</t>
  </si>
  <si>
    <t>Beradih</t>
  </si>
  <si>
    <t>Western Australia</t>
  </si>
  <si>
    <t>Ellendale 4</t>
  </si>
  <si>
    <t>Australia</t>
  </si>
  <si>
    <t>Evans et al., 2013</t>
  </si>
  <si>
    <t>Jaques and Foley, 2018</t>
  </si>
  <si>
    <t>Ellendale 7</t>
  </si>
  <si>
    <t>Ellendale 9</t>
  </si>
  <si>
    <t>Ellendale 11</t>
  </si>
  <si>
    <t>Mt Cedric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</si>
</sst>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1"/>
      <color rgb="FF00B05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sz val="11"/>
      <color rgb="FF7030A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10" fillId="0" borderId="0" xfId="0" applyFont="1" applyFill="1" applyAlignment="1"/>
    <xf numFmtId="0" fontId="10" fillId="0" borderId="0" xfId="0" applyFont="1" applyFill="1" applyAlignment="1">
      <alignment horizontal="center" vertical="center"/>
    </xf>
    <xf numFmtId="2" fontId="1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168" fontId="12" fillId="0" borderId="0" xfId="0" applyNumberFormat="1" applyFont="1" applyFill="1" applyAlignment="1">
      <alignment horizontal="center"/>
    </xf>
    <xf numFmtId="1" fontId="12" fillId="0" borderId="0" xfId="0" applyNumberFormat="1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 wrapText="1"/>
    </xf>
    <xf numFmtId="1" fontId="12" fillId="0" borderId="0" xfId="0" applyNumberFormat="1" applyFont="1" applyFill="1" applyAlignment="1">
      <alignment horizontal="center"/>
    </xf>
    <xf numFmtId="2" fontId="12" fillId="0" borderId="0" xfId="0" applyNumberFormat="1" applyFont="1" applyFill="1" applyAlignment="1">
      <alignment horizontal="center"/>
    </xf>
    <xf numFmtId="169" fontId="1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2" fontId="10" fillId="0" borderId="0" xfId="0" applyNumberFormat="1" applyFont="1" applyFill="1" applyAlignment="1">
      <alignment horizontal="left"/>
    </xf>
    <xf numFmtId="2" fontId="12" fillId="0" borderId="0" xfId="0" applyNumberFormat="1" applyFont="1" applyFill="1" applyAlignment="1">
      <alignment horizontal="center" vertical="center"/>
    </xf>
    <xf numFmtId="168" fontId="10" fillId="0" borderId="0" xfId="0" applyNumberFormat="1" applyFont="1" applyFill="1" applyAlignment="1">
      <alignment horizontal="center"/>
    </xf>
    <xf numFmtId="168" fontId="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2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0"/>
  <sheetViews>
    <sheetView tabSelected="1" zoomScale="70" zoomScaleNormal="70" workbookViewId="0">
      <selection activeCell="T2" sqref="T2"/>
    </sheetView>
  </sheetViews>
  <sheetFormatPr defaultColWidth="13" defaultRowHeight="14"/>
  <cols>
    <col min="1" max="1" width="34" style="5" customWidth="1"/>
    <col min="2" max="2" width="17.36328125" style="1" customWidth="1"/>
    <col min="3" max="3" width="16.08984375" style="1" customWidth="1"/>
    <col min="4" max="4" width="13.453125" style="1" customWidth="1"/>
    <col min="5" max="5" width="10.26953125" style="1" customWidth="1"/>
    <col min="6" max="6" width="26.36328125" style="10" customWidth="1"/>
    <col min="7" max="7" width="8.36328125" style="11" customWidth="1"/>
    <col min="8" max="8" width="7.81640625" style="12" customWidth="1"/>
    <col min="9" max="9" width="6.7265625" style="13" customWidth="1"/>
    <col min="10" max="10" width="6.36328125" style="13" customWidth="1"/>
    <col min="11" max="11" width="13.36328125" style="13" customWidth="1"/>
    <col min="12" max="12" width="5.90625" style="11" customWidth="1"/>
    <col min="13" max="13" width="12.54296875" style="11" customWidth="1"/>
    <col min="14" max="14" width="11.90625" style="11" customWidth="1"/>
    <col min="15" max="16" width="10.6328125" style="13" customWidth="1"/>
    <col min="17" max="17" width="8.7265625" style="12" customWidth="1"/>
    <col min="18" max="18" width="7.1796875" style="13" customWidth="1"/>
    <col min="19" max="19" width="5.453125" style="14" customWidth="1"/>
    <col min="20" max="20" width="48.36328125" style="15" customWidth="1"/>
    <col min="21" max="22" width="13" style="1"/>
    <col min="23" max="23" width="13.81640625" style="1" customWidth="1"/>
    <col min="24" max="16384" width="13" style="1"/>
  </cols>
  <sheetData>
    <row r="1" spans="1:20" ht="17.399999999999999" customHeight="1">
      <c r="A1" s="41" t="s">
        <v>0</v>
      </c>
      <c r="B1" s="17"/>
      <c r="C1" s="17"/>
      <c r="D1" s="17"/>
      <c r="E1" s="17"/>
      <c r="F1" s="18"/>
      <c r="G1" s="19"/>
      <c r="H1" s="20"/>
      <c r="I1" s="30"/>
      <c r="J1" s="30"/>
      <c r="K1" s="30"/>
      <c r="L1" s="19"/>
      <c r="M1" s="19"/>
      <c r="N1" s="19"/>
      <c r="O1" s="30"/>
      <c r="P1" s="30"/>
      <c r="Q1" s="20"/>
      <c r="R1" s="30"/>
      <c r="S1" s="35"/>
      <c r="T1" s="36"/>
    </row>
    <row r="2" spans="1:20" s="2" customFormat="1" ht="46.25" customHeight="1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3" t="s">
        <v>7</v>
      </c>
      <c r="H2" s="43"/>
      <c r="I2" s="43"/>
      <c r="J2" s="43"/>
      <c r="K2" s="46" t="s">
        <v>8</v>
      </c>
      <c r="L2" s="47" t="s">
        <v>9</v>
      </c>
      <c r="M2" s="31" t="s">
        <v>10</v>
      </c>
      <c r="N2" s="31" t="s">
        <v>11</v>
      </c>
      <c r="O2" s="31" t="s">
        <v>12</v>
      </c>
      <c r="P2" s="22" t="s">
        <v>13</v>
      </c>
      <c r="Q2" s="43" t="s">
        <v>14</v>
      </c>
      <c r="R2" s="43"/>
      <c r="S2" s="43"/>
      <c r="T2" s="42" t="s">
        <v>15</v>
      </c>
    </row>
    <row r="3" spans="1:20" ht="15.5">
      <c r="A3" s="21"/>
      <c r="B3" s="18"/>
      <c r="C3" s="18"/>
      <c r="D3" s="18"/>
      <c r="E3" s="18"/>
      <c r="F3" s="18"/>
      <c r="G3" s="44" t="s">
        <v>16</v>
      </c>
      <c r="H3" s="45" t="s">
        <v>17</v>
      </c>
      <c r="I3" s="44" t="s">
        <v>18</v>
      </c>
      <c r="J3" s="44" t="s">
        <v>19</v>
      </c>
      <c r="K3" s="31"/>
      <c r="L3" s="23"/>
      <c r="M3" s="44" t="s">
        <v>17</v>
      </c>
      <c r="N3" s="44" t="s">
        <v>17</v>
      </c>
      <c r="O3" s="44" t="s">
        <v>17</v>
      </c>
      <c r="P3" s="44" t="s">
        <v>17</v>
      </c>
      <c r="Q3" s="45" t="s">
        <v>17</v>
      </c>
      <c r="R3" s="44" t="s">
        <v>18</v>
      </c>
      <c r="S3" s="48" t="s">
        <v>9</v>
      </c>
      <c r="T3" s="18"/>
    </row>
    <row r="4" spans="1:20" ht="15.5">
      <c r="A4" s="24" t="s">
        <v>20</v>
      </c>
      <c r="B4" s="25"/>
      <c r="C4" s="25"/>
      <c r="D4" s="25"/>
      <c r="E4" s="25"/>
      <c r="F4" s="26"/>
      <c r="G4" s="27"/>
      <c r="H4" s="27"/>
      <c r="I4" s="27"/>
      <c r="J4" s="27"/>
      <c r="K4" s="27"/>
      <c r="L4" s="32"/>
      <c r="M4" s="27"/>
      <c r="N4" s="27"/>
      <c r="O4" s="27"/>
      <c r="P4" s="27"/>
      <c r="Q4" s="27"/>
      <c r="R4" s="27"/>
      <c r="S4" s="32"/>
      <c r="T4" s="25"/>
    </row>
    <row r="5" spans="1:20" s="3" customFormat="1" ht="15.5">
      <c r="A5" s="25" t="s">
        <v>21</v>
      </c>
      <c r="B5" s="25" t="s">
        <v>22</v>
      </c>
      <c r="C5" s="25" t="s">
        <v>23</v>
      </c>
      <c r="D5" s="25" t="s">
        <v>24</v>
      </c>
      <c r="E5" s="25">
        <v>117</v>
      </c>
      <c r="F5" s="26" t="s">
        <v>25</v>
      </c>
      <c r="G5" s="27">
        <v>92.983231272371199</v>
      </c>
      <c r="H5" s="27">
        <v>92.911462551207606</v>
      </c>
      <c r="I5" s="27">
        <v>0.71814923821557997</v>
      </c>
      <c r="J5" s="27">
        <v>94.279736356383097</v>
      </c>
      <c r="K5" s="33">
        <v>0</v>
      </c>
      <c r="L5" s="32">
        <v>15</v>
      </c>
      <c r="M5" s="33">
        <v>1.38461538461538E-2</v>
      </c>
      <c r="N5" s="33">
        <v>9.3076923076923099E-2</v>
      </c>
      <c r="O5" s="33">
        <v>0.40384615384615402</v>
      </c>
      <c r="P5" s="33">
        <v>1.6923076923076898E-2</v>
      </c>
      <c r="Q5" s="27"/>
      <c r="R5" s="27"/>
      <c r="S5" s="32"/>
      <c r="T5" s="25" t="s">
        <v>26</v>
      </c>
    </row>
    <row r="6" spans="1:20" ht="15.5">
      <c r="A6" s="25" t="s">
        <v>27</v>
      </c>
      <c r="B6" s="25" t="s">
        <v>22</v>
      </c>
      <c r="C6" s="25" t="s">
        <v>23</v>
      </c>
      <c r="D6" s="25" t="s">
        <v>28</v>
      </c>
      <c r="E6" s="28">
        <v>114</v>
      </c>
      <c r="F6" s="28" t="s">
        <v>29</v>
      </c>
      <c r="G6" s="27">
        <v>92.811841929433001</v>
      </c>
      <c r="H6" s="27">
        <v>92.964989041146097</v>
      </c>
      <c r="I6" s="27">
        <v>0.91707285565574803</v>
      </c>
      <c r="J6" s="27">
        <v>94.905164079512701</v>
      </c>
      <c r="K6" s="33">
        <v>0</v>
      </c>
      <c r="L6" s="32">
        <v>18</v>
      </c>
      <c r="M6" s="33">
        <v>2.54666666666667E-2</v>
      </c>
      <c r="N6" s="33">
        <v>9.7283333333333305E-2</v>
      </c>
      <c r="O6" s="33">
        <v>0.39377222222222202</v>
      </c>
      <c r="P6" s="33">
        <v>2.5905555555555598E-2</v>
      </c>
      <c r="Q6" s="27">
        <v>91.423445426791503</v>
      </c>
      <c r="R6" s="27">
        <v>0.108218861612773</v>
      </c>
      <c r="S6" s="32">
        <v>17</v>
      </c>
      <c r="T6" s="25" t="s">
        <v>26</v>
      </c>
    </row>
    <row r="7" spans="1:20" ht="15" customHeight="1">
      <c r="A7" s="25" t="s">
        <v>30</v>
      </c>
      <c r="B7" s="25" t="s">
        <v>22</v>
      </c>
      <c r="C7" s="25" t="s">
        <v>23</v>
      </c>
      <c r="D7" s="25" t="s">
        <v>28</v>
      </c>
      <c r="E7" s="28">
        <v>125</v>
      </c>
      <c r="F7" s="26" t="s">
        <v>25</v>
      </c>
      <c r="G7" s="27">
        <v>91.470688472733698</v>
      </c>
      <c r="H7" s="27">
        <v>91.851587876311697</v>
      </c>
      <c r="I7" s="27">
        <v>1.1047811899605</v>
      </c>
      <c r="J7" s="27">
        <v>94.463467844527003</v>
      </c>
      <c r="K7" s="33">
        <v>0.02</v>
      </c>
      <c r="L7" s="32">
        <v>42</v>
      </c>
      <c r="M7" s="33">
        <v>2.54666666666667E-2</v>
      </c>
      <c r="N7" s="33">
        <v>0.103095238095238</v>
      </c>
      <c r="O7" s="33">
        <v>0.38357142857142901</v>
      </c>
      <c r="P7" s="33">
        <v>3.4761904761904799E-2</v>
      </c>
      <c r="Q7" s="27">
        <v>91.441781966397699</v>
      </c>
      <c r="R7" s="27">
        <v>0.218675896472276</v>
      </c>
      <c r="S7" s="32">
        <v>41</v>
      </c>
      <c r="T7" s="25" t="s">
        <v>26</v>
      </c>
    </row>
    <row r="8" spans="1:20" ht="15.5">
      <c r="A8" s="25" t="s">
        <v>31</v>
      </c>
      <c r="B8" s="25" t="s">
        <v>22</v>
      </c>
      <c r="C8" s="25" t="s">
        <v>23</v>
      </c>
      <c r="D8" s="25" t="s">
        <v>28</v>
      </c>
      <c r="E8" s="28">
        <v>118</v>
      </c>
      <c r="F8" s="28" t="s">
        <v>29</v>
      </c>
      <c r="G8" s="27">
        <v>91.872502336932996</v>
      </c>
      <c r="H8" s="27">
        <v>91.0821828837298</v>
      </c>
      <c r="I8" s="27">
        <v>2.4374694480474601</v>
      </c>
      <c r="J8" s="27">
        <v>93.819759426139399</v>
      </c>
      <c r="K8" s="33">
        <v>0.12</v>
      </c>
      <c r="L8" s="32">
        <v>34</v>
      </c>
      <c r="M8" s="33">
        <v>4.0008823529411798E-2</v>
      </c>
      <c r="N8" s="33">
        <v>0.116644117647059</v>
      </c>
      <c r="O8" s="33">
        <v>0.37908529411764702</v>
      </c>
      <c r="P8" s="33">
        <v>2.92617647058824E-2</v>
      </c>
      <c r="Q8" s="27">
        <v>90.695815285549997</v>
      </c>
      <c r="R8" s="27">
        <v>0.60849443994977803</v>
      </c>
      <c r="S8" s="32">
        <v>33</v>
      </c>
      <c r="T8" s="25" t="s">
        <v>26</v>
      </c>
    </row>
    <row r="9" spans="1:20" ht="15.5">
      <c r="A9" s="25" t="s">
        <v>32</v>
      </c>
      <c r="B9" s="25" t="s">
        <v>22</v>
      </c>
      <c r="C9" s="25" t="s">
        <v>23</v>
      </c>
      <c r="D9" s="25" t="s">
        <v>28</v>
      </c>
      <c r="E9" s="29">
        <v>124</v>
      </c>
      <c r="F9" s="29" t="s">
        <v>33</v>
      </c>
      <c r="G9" s="27">
        <v>92.149185201559703</v>
      </c>
      <c r="H9" s="27">
        <v>91.899482467382995</v>
      </c>
      <c r="I9" s="27">
        <v>1.80019127967569</v>
      </c>
      <c r="J9" s="27">
        <v>94.622190222369696</v>
      </c>
      <c r="K9" s="33">
        <v>0.22</v>
      </c>
      <c r="L9" s="32">
        <v>36</v>
      </c>
      <c r="M9" s="33">
        <v>2.8888888888888901E-2</v>
      </c>
      <c r="N9" s="33">
        <v>9.83333333333333E-2</v>
      </c>
      <c r="O9" s="33">
        <v>0.40416666666666701</v>
      </c>
      <c r="P9" s="33">
        <v>1.55555555555556E-2</v>
      </c>
      <c r="Q9" s="27">
        <v>91.311375639640502</v>
      </c>
      <c r="R9" s="27">
        <v>1.10018483316239</v>
      </c>
      <c r="S9" s="32">
        <v>19</v>
      </c>
      <c r="T9" s="25" t="s">
        <v>26</v>
      </c>
    </row>
    <row r="10" spans="1:20" ht="15.5">
      <c r="A10" s="25" t="s">
        <v>34</v>
      </c>
      <c r="B10" s="25" t="s">
        <v>22</v>
      </c>
      <c r="C10" s="25" t="s">
        <v>23</v>
      </c>
      <c r="D10" s="25" t="s">
        <v>28</v>
      </c>
      <c r="E10" s="28">
        <v>122</v>
      </c>
      <c r="F10" s="28" t="s">
        <v>29</v>
      </c>
      <c r="G10" s="27">
        <v>92.776776745337003</v>
      </c>
      <c r="H10" s="27">
        <v>92.619042402503695</v>
      </c>
      <c r="I10" s="27">
        <v>0.76901715767674195</v>
      </c>
      <c r="J10" s="27">
        <v>93.805386359783498</v>
      </c>
      <c r="K10" s="33">
        <v>0</v>
      </c>
      <c r="L10" s="32">
        <v>19</v>
      </c>
      <c r="M10" s="33">
        <v>2.4536842105263201E-2</v>
      </c>
      <c r="N10" s="33">
        <v>0.102389473684211</v>
      </c>
      <c r="O10" s="33">
        <v>0.39257368421052602</v>
      </c>
      <c r="P10" s="33">
        <v>1.12736842105263E-2</v>
      </c>
      <c r="Q10" s="27">
        <v>90.670695202183595</v>
      </c>
      <c r="R10" s="27">
        <v>0.49285015258806297</v>
      </c>
      <c r="S10" s="32">
        <v>19</v>
      </c>
      <c r="T10" s="25" t="s">
        <v>26</v>
      </c>
    </row>
    <row r="11" spans="1:20" ht="15.5">
      <c r="A11" s="25" t="s">
        <v>35</v>
      </c>
      <c r="B11" s="25" t="s">
        <v>22</v>
      </c>
      <c r="C11" s="25" t="s">
        <v>23</v>
      </c>
      <c r="D11" s="25" t="s">
        <v>28</v>
      </c>
      <c r="E11" s="25">
        <v>114</v>
      </c>
      <c r="F11" s="26" t="s">
        <v>36</v>
      </c>
      <c r="G11" s="27">
        <v>92.796837779257004</v>
      </c>
      <c r="H11" s="27">
        <v>91.231288052262002</v>
      </c>
      <c r="I11" s="27">
        <v>2.5856963133267601</v>
      </c>
      <c r="J11" s="27">
        <v>92.969341288406895</v>
      </c>
      <c r="K11" s="33">
        <v>0.3</v>
      </c>
      <c r="L11" s="32">
        <v>10</v>
      </c>
      <c r="M11" s="33">
        <v>1.23E-2</v>
      </c>
      <c r="N11" s="33">
        <v>0.1021</v>
      </c>
      <c r="O11" s="33">
        <v>0.375</v>
      </c>
      <c r="P11" s="33">
        <v>2.7199999999999998E-2</v>
      </c>
      <c r="Q11" s="27">
        <v>89.256296235358903</v>
      </c>
      <c r="R11" s="27">
        <v>1.11613621705744</v>
      </c>
      <c r="S11" s="32">
        <v>22</v>
      </c>
      <c r="T11" s="25" t="s">
        <v>26</v>
      </c>
    </row>
    <row r="12" spans="1:20" ht="15.5">
      <c r="A12" s="25" t="s">
        <v>37</v>
      </c>
      <c r="B12" s="25" t="s">
        <v>22</v>
      </c>
      <c r="C12" s="25" t="s">
        <v>23</v>
      </c>
      <c r="D12" s="25" t="s">
        <v>28</v>
      </c>
      <c r="E12" s="26">
        <v>133</v>
      </c>
      <c r="F12" s="28" t="s">
        <v>38</v>
      </c>
      <c r="G12" s="27">
        <v>91.915625337688297</v>
      </c>
      <c r="H12" s="27">
        <v>91.615932029860005</v>
      </c>
      <c r="I12" s="27">
        <v>2.0909036959860998</v>
      </c>
      <c r="J12" s="27">
        <v>93.730747289931799</v>
      </c>
      <c r="K12" s="33">
        <v>0.04</v>
      </c>
      <c r="L12" s="32">
        <v>24</v>
      </c>
      <c r="M12" s="33">
        <v>2.0625000000000001E-2</v>
      </c>
      <c r="N12" s="33">
        <v>9.9208333333333301E-2</v>
      </c>
      <c r="O12" s="33">
        <v>0.379541666666667</v>
      </c>
      <c r="P12" s="33">
        <v>2.2749999999999999E-2</v>
      </c>
      <c r="Q12" s="27">
        <v>89.8731628606143</v>
      </c>
      <c r="R12" s="27">
        <v>0.70313902596531297</v>
      </c>
      <c r="S12" s="32">
        <v>16</v>
      </c>
      <c r="T12" s="25" t="s">
        <v>26</v>
      </c>
    </row>
    <row r="13" spans="1:20" ht="15.5">
      <c r="A13" s="25" t="s">
        <v>39</v>
      </c>
      <c r="B13" s="25" t="s">
        <v>22</v>
      </c>
      <c r="C13" s="25" t="s">
        <v>23</v>
      </c>
      <c r="D13" s="25" t="s">
        <v>28</v>
      </c>
      <c r="E13" s="28">
        <v>128</v>
      </c>
      <c r="F13" s="28" t="s">
        <v>38</v>
      </c>
      <c r="G13" s="27">
        <v>92.449739319886106</v>
      </c>
      <c r="H13" s="27">
        <v>92.285877676132202</v>
      </c>
      <c r="I13" s="27">
        <v>1.51907816884133</v>
      </c>
      <c r="J13" s="27">
        <v>94.645214916034107</v>
      </c>
      <c r="K13" s="33">
        <v>0.06</v>
      </c>
      <c r="L13" s="32">
        <v>30</v>
      </c>
      <c r="M13" s="33">
        <v>2.3633333333333301E-2</v>
      </c>
      <c r="N13" s="33">
        <v>9.8466666666666702E-2</v>
      </c>
      <c r="O13" s="33">
        <v>0.33523333333333299</v>
      </c>
      <c r="P13" s="33">
        <v>1.9433333333333299E-2</v>
      </c>
      <c r="Q13" s="27">
        <v>90.620151951169206</v>
      </c>
      <c r="R13" s="27">
        <v>0.14674216573167501</v>
      </c>
      <c r="S13" s="32">
        <v>6</v>
      </c>
      <c r="T13" s="25" t="s">
        <v>26</v>
      </c>
    </row>
    <row r="14" spans="1:20" s="4" customFormat="1" ht="15.5">
      <c r="A14" s="25" t="s">
        <v>40</v>
      </c>
      <c r="B14" s="25" t="s">
        <v>22</v>
      </c>
      <c r="C14" s="25" t="s">
        <v>23</v>
      </c>
      <c r="D14" s="25" t="s">
        <v>24</v>
      </c>
      <c r="E14" s="25">
        <v>143</v>
      </c>
      <c r="F14" s="26" t="s">
        <v>25</v>
      </c>
      <c r="G14" s="27">
        <v>91.2104965942832</v>
      </c>
      <c r="H14" s="27">
        <v>91.367492504991006</v>
      </c>
      <c r="I14" s="27">
        <v>0.49436344338424398</v>
      </c>
      <c r="J14" s="27">
        <v>92.262847334196707</v>
      </c>
      <c r="K14" s="33">
        <v>0</v>
      </c>
      <c r="L14" s="32">
        <v>10</v>
      </c>
      <c r="M14" s="33">
        <v>3.4299999999999997E-2</v>
      </c>
      <c r="N14" s="33">
        <v>9.8599999999999993E-2</v>
      </c>
      <c r="O14" s="33">
        <v>0.37719999999999998</v>
      </c>
      <c r="P14" s="33">
        <v>4.4499999999999998E-2</v>
      </c>
      <c r="Q14" s="27">
        <v>90.051425047903606</v>
      </c>
      <c r="R14" s="27">
        <v>0.74105540812673598</v>
      </c>
      <c r="S14" s="32">
        <v>13</v>
      </c>
      <c r="T14" s="25" t="s">
        <v>26</v>
      </c>
    </row>
    <row r="15" spans="1:20" ht="15.5">
      <c r="A15" s="24"/>
      <c r="B15" s="25"/>
      <c r="C15" s="25"/>
      <c r="D15" s="25"/>
      <c r="E15" s="25"/>
      <c r="F15" s="26"/>
      <c r="G15" s="27"/>
      <c r="H15" s="27"/>
      <c r="I15" s="27"/>
      <c r="J15" s="27"/>
      <c r="K15" s="27"/>
      <c r="L15" s="32"/>
      <c r="M15" s="27"/>
      <c r="N15" s="27"/>
      <c r="O15" s="27"/>
      <c r="P15" s="27"/>
      <c r="Q15" s="27"/>
      <c r="R15" s="27"/>
      <c r="S15" s="32"/>
      <c r="T15" s="25"/>
    </row>
    <row r="16" spans="1:20" s="5" customFormat="1" ht="15.5">
      <c r="A16" s="24" t="s">
        <v>41</v>
      </c>
      <c r="B16" s="25"/>
      <c r="C16" s="25"/>
      <c r="D16" s="25"/>
      <c r="E16" s="25"/>
      <c r="F16" s="26"/>
      <c r="G16" s="27"/>
      <c r="H16" s="27"/>
      <c r="I16" s="27"/>
      <c r="J16" s="27"/>
      <c r="K16" s="27"/>
      <c r="L16" s="32"/>
      <c r="M16" s="27"/>
      <c r="N16" s="27"/>
      <c r="O16" s="27"/>
      <c r="P16" s="27"/>
      <c r="Q16" s="27"/>
      <c r="R16" s="27"/>
      <c r="S16" s="32"/>
      <c r="T16" s="25"/>
    </row>
    <row r="17" spans="1:20" ht="15.5">
      <c r="A17" s="25" t="s">
        <v>42</v>
      </c>
      <c r="B17" s="25" t="s">
        <v>22</v>
      </c>
      <c r="C17" s="25" t="s">
        <v>43</v>
      </c>
      <c r="D17" s="25" t="s">
        <v>28</v>
      </c>
      <c r="E17" s="25">
        <v>800</v>
      </c>
      <c r="F17" s="26" t="s">
        <v>44</v>
      </c>
      <c r="G17" s="27">
        <v>91.716768304464907</v>
      </c>
      <c r="H17" s="27">
        <v>90.689267831947504</v>
      </c>
      <c r="I17" s="27">
        <v>2.8234093658714401</v>
      </c>
      <c r="J17" s="27">
        <v>94.202753934422702</v>
      </c>
      <c r="K17" s="33">
        <v>0.33</v>
      </c>
      <c r="L17" s="32">
        <v>21</v>
      </c>
      <c r="M17" s="27"/>
      <c r="N17" s="33">
        <v>0.10792866666666701</v>
      </c>
      <c r="O17" s="33">
        <v>0.34986809523809498</v>
      </c>
      <c r="P17" s="33">
        <v>6.6584619047619004E-2</v>
      </c>
      <c r="Q17" s="27">
        <v>89.563785829181597</v>
      </c>
      <c r="R17" s="27">
        <v>0.482251962485718</v>
      </c>
      <c r="S17" s="32">
        <v>7</v>
      </c>
      <c r="T17" s="25" t="s">
        <v>45</v>
      </c>
    </row>
    <row r="18" spans="1:20" ht="15.5">
      <c r="A18" s="25" t="s">
        <v>46</v>
      </c>
      <c r="B18" s="25" t="s">
        <v>47</v>
      </c>
      <c r="C18" s="25" t="s">
        <v>43</v>
      </c>
      <c r="D18" s="25" t="s">
        <v>28</v>
      </c>
      <c r="E18" s="25">
        <v>145</v>
      </c>
      <c r="F18" s="26" t="s">
        <v>44</v>
      </c>
      <c r="G18" s="27">
        <v>93.261478838937407</v>
      </c>
      <c r="H18" s="27">
        <v>92.112076433365601</v>
      </c>
      <c r="I18" s="27">
        <v>3.30678404082165</v>
      </c>
      <c r="J18" s="27">
        <v>95.158850226928905</v>
      </c>
      <c r="K18" s="33">
        <f>3/19</f>
        <v>0.157894736842105</v>
      </c>
      <c r="L18" s="32">
        <v>19</v>
      </c>
      <c r="M18" s="33">
        <v>1.6955263157894699E-2</v>
      </c>
      <c r="N18" s="33">
        <v>0.100368421052632</v>
      </c>
      <c r="O18" s="33">
        <v>0.32653421052631598</v>
      </c>
      <c r="P18" s="33">
        <v>3.0418421052631602E-2</v>
      </c>
      <c r="Q18" s="27">
        <v>89.4814081237746</v>
      </c>
      <c r="R18" s="27">
        <v>0.33091713535030698</v>
      </c>
      <c r="S18" s="32">
        <v>15</v>
      </c>
      <c r="T18" s="25" t="s">
        <v>48</v>
      </c>
    </row>
    <row r="19" spans="1:20" ht="15.5">
      <c r="A19" s="25" t="s">
        <v>49</v>
      </c>
      <c r="B19" s="25" t="s">
        <v>47</v>
      </c>
      <c r="C19" s="25" t="s">
        <v>43</v>
      </c>
      <c r="D19" s="25" t="s">
        <v>28</v>
      </c>
      <c r="E19" s="25">
        <v>145</v>
      </c>
      <c r="F19" s="26" t="s">
        <v>44</v>
      </c>
      <c r="G19" s="27">
        <v>92.743741601552799</v>
      </c>
      <c r="H19" s="27">
        <v>91.3328720679513</v>
      </c>
      <c r="I19" s="27">
        <v>4.5924045887320997</v>
      </c>
      <c r="J19" s="27">
        <v>95.230923694779094</v>
      </c>
      <c r="K19" s="33">
        <f>3/18</f>
        <v>0.16666666666666699</v>
      </c>
      <c r="L19" s="32">
        <v>18</v>
      </c>
      <c r="M19" s="33">
        <v>1.6122222222222201E-2</v>
      </c>
      <c r="N19" s="33">
        <v>0.11624166666666701</v>
      </c>
      <c r="O19" s="33">
        <v>0.30987222222222199</v>
      </c>
      <c r="P19" s="33">
        <v>2.4077777777777799E-2</v>
      </c>
      <c r="Q19" s="27">
        <v>89.439265010749494</v>
      </c>
      <c r="R19" s="27">
        <v>0.42677566594673799</v>
      </c>
      <c r="S19" s="32">
        <v>13</v>
      </c>
      <c r="T19" s="25" t="s">
        <v>48</v>
      </c>
    </row>
    <row r="20" spans="1:20" ht="15.5">
      <c r="A20" s="25" t="s">
        <v>50</v>
      </c>
      <c r="B20" s="25" t="s">
        <v>47</v>
      </c>
      <c r="C20" s="25" t="s">
        <v>43</v>
      </c>
      <c r="D20" s="25" t="s">
        <v>28</v>
      </c>
      <c r="E20" s="25">
        <v>140</v>
      </c>
      <c r="F20" s="26" t="s">
        <v>44</v>
      </c>
      <c r="G20" s="27">
        <v>91.640025083753002</v>
      </c>
      <c r="H20" s="27">
        <v>90.294184864344999</v>
      </c>
      <c r="I20" s="27">
        <v>2.92832145440061</v>
      </c>
      <c r="J20" s="27">
        <v>94.677601168888401</v>
      </c>
      <c r="K20" s="33">
        <f>49/L20</f>
        <v>0.34507042253521097</v>
      </c>
      <c r="L20" s="32">
        <v>142</v>
      </c>
      <c r="M20" s="33">
        <v>2.11914893617021E-2</v>
      </c>
      <c r="N20" s="33">
        <v>0.116150669014084</v>
      </c>
      <c r="O20" s="33">
        <v>0.33628406338028199</v>
      </c>
      <c r="P20" s="33">
        <v>3.0440535211267598E-2</v>
      </c>
      <c r="Q20" s="27">
        <v>88.965871402762602</v>
      </c>
      <c r="R20" s="27">
        <v>0.47980299857125402</v>
      </c>
      <c r="S20" s="32">
        <v>195</v>
      </c>
      <c r="T20" s="25" t="s">
        <v>51</v>
      </c>
    </row>
    <row r="21" spans="1:20" ht="15.5">
      <c r="A21" s="24"/>
      <c r="B21" s="25"/>
      <c r="C21" s="25"/>
      <c r="D21" s="25"/>
      <c r="E21" s="25"/>
      <c r="F21" s="26"/>
      <c r="G21" s="27"/>
      <c r="H21" s="27"/>
      <c r="I21" s="27"/>
      <c r="J21" s="27"/>
      <c r="K21" s="27"/>
      <c r="L21" s="32"/>
      <c r="M21" s="27"/>
      <c r="N21" s="27"/>
      <c r="O21" s="27"/>
      <c r="P21" s="27"/>
      <c r="Q21" s="27"/>
      <c r="R21" s="27"/>
      <c r="S21" s="32"/>
      <c r="T21" s="25"/>
    </row>
    <row r="22" spans="1:20" ht="15.5">
      <c r="A22" s="24" t="s">
        <v>52</v>
      </c>
      <c r="B22" s="25"/>
      <c r="C22" s="25"/>
      <c r="D22" s="25"/>
      <c r="E22" s="25"/>
      <c r="F22" s="26"/>
      <c r="G22" s="27"/>
      <c r="H22" s="27"/>
      <c r="I22" s="27"/>
      <c r="J22" s="27"/>
      <c r="K22" s="27"/>
      <c r="L22" s="32"/>
      <c r="M22" s="27"/>
      <c r="N22" s="27"/>
      <c r="O22" s="27"/>
      <c r="P22" s="27"/>
      <c r="Q22" s="27"/>
      <c r="R22" s="27"/>
      <c r="S22" s="32"/>
      <c r="T22" s="25"/>
    </row>
    <row r="23" spans="1:20" ht="15.5">
      <c r="A23" s="25" t="s">
        <v>53</v>
      </c>
      <c r="B23" s="25" t="s">
        <v>47</v>
      </c>
      <c r="C23" s="25" t="s">
        <v>23</v>
      </c>
      <c r="D23" s="25" t="s">
        <v>28</v>
      </c>
      <c r="E23" s="25">
        <v>88</v>
      </c>
      <c r="F23" s="26" t="s">
        <v>54</v>
      </c>
      <c r="G23" s="27">
        <v>90.395727683250101</v>
      </c>
      <c r="H23" s="27">
        <v>90.703815687018803</v>
      </c>
      <c r="I23" s="27">
        <v>1.1039171607157101</v>
      </c>
      <c r="J23" s="27">
        <v>93.5</v>
      </c>
      <c r="K23" s="33">
        <f>2/L23</f>
        <v>0.125</v>
      </c>
      <c r="L23" s="32">
        <v>16</v>
      </c>
      <c r="M23" s="33"/>
      <c r="N23" s="33">
        <v>0.11056249999999999</v>
      </c>
      <c r="O23" s="33">
        <v>0.37237500000000001</v>
      </c>
      <c r="P23" s="33">
        <v>5.8375000000000003E-2</v>
      </c>
      <c r="Q23" s="27">
        <v>88.711511532252004</v>
      </c>
      <c r="R23" s="27">
        <v>0.13141220187627101</v>
      </c>
      <c r="S23" s="32">
        <v>10</v>
      </c>
      <c r="T23" s="25" t="s">
        <v>55</v>
      </c>
    </row>
    <row r="24" spans="1:20" ht="15.5">
      <c r="A24" s="25" t="s">
        <v>56</v>
      </c>
      <c r="B24" s="25" t="s">
        <v>47</v>
      </c>
      <c r="C24" s="25" t="s">
        <v>23</v>
      </c>
      <c r="D24" s="25" t="s">
        <v>28</v>
      </c>
      <c r="E24" s="25">
        <v>88</v>
      </c>
      <c r="F24" s="26" t="s">
        <v>54</v>
      </c>
      <c r="G24" s="27">
        <v>90.061904934532905</v>
      </c>
      <c r="H24" s="27">
        <v>90.127171965844596</v>
      </c>
      <c r="I24" s="27">
        <v>2.2048304022535699</v>
      </c>
      <c r="J24" s="27">
        <v>93.6</v>
      </c>
      <c r="K24" s="33">
        <f>13/L24</f>
        <v>0.46428571428571402</v>
      </c>
      <c r="L24" s="32">
        <v>28</v>
      </c>
      <c r="M24" s="33"/>
      <c r="N24" s="33">
        <v>0.111730607142857</v>
      </c>
      <c r="O24" s="33">
        <v>0.37270153571428599</v>
      </c>
      <c r="P24" s="33">
        <v>6.4488071428571395E-2</v>
      </c>
      <c r="Q24" s="27">
        <v>88.7669556204592</v>
      </c>
      <c r="R24" s="27">
        <v>0.198807259048077</v>
      </c>
      <c r="S24" s="32">
        <v>29</v>
      </c>
      <c r="T24" s="25" t="s">
        <v>57</v>
      </c>
    </row>
    <row r="25" spans="1:20" s="6" customFormat="1" ht="15.5">
      <c r="A25" s="25" t="s">
        <v>58</v>
      </c>
      <c r="B25" s="25" t="s">
        <v>47</v>
      </c>
      <c r="C25" s="25" t="s">
        <v>23</v>
      </c>
      <c r="D25" s="25" t="s">
        <v>28</v>
      </c>
      <c r="E25" s="25">
        <v>88</v>
      </c>
      <c r="F25" s="26" t="s">
        <v>54</v>
      </c>
      <c r="G25" s="27">
        <v>91.444900000000004</v>
      </c>
      <c r="H25" s="27">
        <v>90.797511111111106</v>
      </c>
      <c r="I25" s="27">
        <v>2.5920308586316598</v>
      </c>
      <c r="J25" s="27">
        <v>93.3</v>
      </c>
      <c r="K25" s="33">
        <f>3/L25</f>
        <v>0.33333333333333298</v>
      </c>
      <c r="L25" s="32">
        <v>9</v>
      </c>
      <c r="M25" s="33"/>
      <c r="N25" s="33">
        <v>0.10463</v>
      </c>
      <c r="O25" s="33">
        <v>0.35342077777777797</v>
      </c>
      <c r="P25" s="33">
        <v>5.8226111111111097E-2</v>
      </c>
      <c r="Q25" s="27">
        <v>89.074608333333302</v>
      </c>
      <c r="R25" s="27">
        <v>0.15041680678663799</v>
      </c>
      <c r="S25" s="32">
        <v>12</v>
      </c>
      <c r="T25" s="25" t="s">
        <v>59</v>
      </c>
    </row>
    <row r="26" spans="1:20" ht="15.5">
      <c r="A26" s="25" t="s">
        <v>60</v>
      </c>
      <c r="B26" s="25" t="s">
        <v>47</v>
      </c>
      <c r="C26" s="25" t="s">
        <v>23</v>
      </c>
      <c r="D26" s="25" t="s">
        <v>28</v>
      </c>
      <c r="E26" s="25">
        <v>88</v>
      </c>
      <c r="F26" s="26" t="s">
        <v>54</v>
      </c>
      <c r="G26" s="27">
        <v>92.16</v>
      </c>
      <c r="H26" s="27">
        <v>91.04</v>
      </c>
      <c r="I26" s="27">
        <v>3.08</v>
      </c>
      <c r="J26" s="27">
        <v>94.9</v>
      </c>
      <c r="K26" s="33">
        <f>8/L26</f>
        <v>0.30769230769230799</v>
      </c>
      <c r="L26" s="32">
        <v>26</v>
      </c>
      <c r="M26" s="33"/>
      <c r="N26" s="33">
        <v>0.103644344827586</v>
      </c>
      <c r="O26" s="33">
        <v>0.33726555172413802</v>
      </c>
      <c r="P26" s="33">
        <v>3.8255172413793101E-2</v>
      </c>
      <c r="Q26" s="27">
        <v>88.916496153846197</v>
      </c>
      <c r="R26" s="27">
        <v>0.20751263071987699</v>
      </c>
      <c r="S26" s="32">
        <v>26</v>
      </c>
      <c r="T26" s="25" t="s">
        <v>59</v>
      </c>
    </row>
    <row r="27" spans="1:20" ht="15.5">
      <c r="A27" s="25" t="s">
        <v>61</v>
      </c>
      <c r="B27" s="25" t="s">
        <v>47</v>
      </c>
      <c r="C27" s="25" t="s">
        <v>23</v>
      </c>
      <c r="D27" s="25" t="s">
        <v>28</v>
      </c>
      <c r="E27" s="25">
        <v>88</v>
      </c>
      <c r="F27" s="26" t="s">
        <v>54</v>
      </c>
      <c r="G27" s="27">
        <v>91.8</v>
      </c>
      <c r="H27" s="27">
        <v>90.85</v>
      </c>
      <c r="I27" s="27">
        <v>2.8443804246267801</v>
      </c>
      <c r="J27" s="27">
        <v>93.2</v>
      </c>
      <c r="K27" s="33">
        <f>2/L27</f>
        <v>0.2</v>
      </c>
      <c r="L27" s="32">
        <v>10</v>
      </c>
      <c r="M27" s="33"/>
      <c r="N27" s="33">
        <v>0.114</v>
      </c>
      <c r="O27" s="33">
        <v>0.38100000000000001</v>
      </c>
      <c r="P27" s="33">
        <v>4.2999999999999997E-2</v>
      </c>
      <c r="Q27" s="27">
        <v>89.066666666666706</v>
      </c>
      <c r="R27" s="27">
        <v>0.17950549357115</v>
      </c>
      <c r="S27" s="32">
        <v>6</v>
      </c>
      <c r="T27" s="25" t="s">
        <v>59</v>
      </c>
    </row>
    <row r="28" spans="1:20" ht="15.5">
      <c r="A28" s="25" t="s">
        <v>62</v>
      </c>
      <c r="B28" s="25" t="s">
        <v>47</v>
      </c>
      <c r="C28" s="25" t="s">
        <v>23</v>
      </c>
      <c r="D28" s="25" t="s">
        <v>28</v>
      </c>
      <c r="E28" s="25">
        <v>88</v>
      </c>
      <c r="F28" s="26" t="s">
        <v>54</v>
      </c>
      <c r="G28" s="27">
        <v>92.3</v>
      </c>
      <c r="H28" s="27">
        <v>91.609523809523793</v>
      </c>
      <c r="I28" s="27">
        <v>2.3721097702055798</v>
      </c>
      <c r="J28" s="27">
        <v>94.6</v>
      </c>
      <c r="K28" s="33">
        <f>3/L28</f>
        <v>0.14285714285714299</v>
      </c>
      <c r="L28" s="32">
        <v>21</v>
      </c>
      <c r="M28" s="33"/>
      <c r="N28" s="33">
        <v>0.11277619047619</v>
      </c>
      <c r="O28" s="33">
        <v>0.37335238095238099</v>
      </c>
      <c r="P28" s="33">
        <v>3.2042857142857102E-2</v>
      </c>
      <c r="Q28" s="27">
        <v>88.945454545454496</v>
      </c>
      <c r="R28" s="27">
        <v>0.14373989364401599</v>
      </c>
      <c r="S28" s="32">
        <v>11</v>
      </c>
      <c r="T28" s="25" t="s">
        <v>59</v>
      </c>
    </row>
    <row r="29" spans="1:20" ht="15.5">
      <c r="A29" s="25" t="s">
        <v>63</v>
      </c>
      <c r="B29" s="25" t="s">
        <v>47</v>
      </c>
      <c r="C29" s="25" t="s">
        <v>23</v>
      </c>
      <c r="D29" s="25" t="s">
        <v>28</v>
      </c>
      <c r="E29" s="25">
        <v>93</v>
      </c>
      <c r="F29" s="26" t="s">
        <v>54</v>
      </c>
      <c r="G29" s="27">
        <v>90.511380378211001</v>
      </c>
      <c r="H29" s="27">
        <v>90.5682363457489</v>
      </c>
      <c r="I29" s="27">
        <v>1.6246166253134</v>
      </c>
      <c r="J29" s="27">
        <v>93.593902760634094</v>
      </c>
      <c r="K29" s="33">
        <v>0.17</v>
      </c>
      <c r="L29" s="32">
        <v>45</v>
      </c>
      <c r="M29" s="33">
        <v>2.5977777777777801E-2</v>
      </c>
      <c r="N29" s="33">
        <v>0.117933333333333</v>
      </c>
      <c r="O29" s="33">
        <v>0.32471111111111101</v>
      </c>
      <c r="P29" s="33">
        <v>2.4400000000000002E-2</v>
      </c>
      <c r="Q29" s="27">
        <v>89.615532641206798</v>
      </c>
      <c r="R29" s="27">
        <v>0.34820653655800599</v>
      </c>
      <c r="S29" s="32">
        <v>37</v>
      </c>
      <c r="T29" s="33" t="s">
        <v>64</v>
      </c>
    </row>
    <row r="30" spans="1:20" ht="15.5">
      <c r="A30" s="25" t="s">
        <v>65</v>
      </c>
      <c r="B30" s="25" t="s">
        <v>47</v>
      </c>
      <c r="C30" s="25" t="s">
        <v>23</v>
      </c>
      <c r="D30" s="25" t="s">
        <v>28</v>
      </c>
      <c r="E30" s="25">
        <v>86</v>
      </c>
      <c r="F30" s="26" t="s">
        <v>29</v>
      </c>
      <c r="G30" s="27">
        <v>91.669200000000004</v>
      </c>
      <c r="H30" s="27">
        <v>90.239306666666707</v>
      </c>
      <c r="I30" s="27">
        <v>3.0947083664739399</v>
      </c>
      <c r="J30" s="27">
        <v>94.3</v>
      </c>
      <c r="K30" s="33">
        <f>7/L30</f>
        <v>0.46666666666666701</v>
      </c>
      <c r="L30" s="32">
        <v>15</v>
      </c>
      <c r="M30" s="34"/>
      <c r="N30" s="34">
        <v>0.110497533333333</v>
      </c>
      <c r="O30" s="34">
        <v>0.32826119999999998</v>
      </c>
      <c r="P30" s="34">
        <v>6.6898933333333299E-2</v>
      </c>
      <c r="Q30" s="27">
        <v>90.187953333333297</v>
      </c>
      <c r="R30" s="27">
        <v>0.20790736559022299</v>
      </c>
      <c r="S30" s="32">
        <v>15</v>
      </c>
      <c r="T30" s="25" t="s">
        <v>66</v>
      </c>
    </row>
    <row r="31" spans="1:20" ht="15.5">
      <c r="A31" s="25" t="s">
        <v>67</v>
      </c>
      <c r="B31" s="25" t="s">
        <v>47</v>
      </c>
      <c r="C31" s="25" t="s">
        <v>23</v>
      </c>
      <c r="D31" s="25" t="s">
        <v>28</v>
      </c>
      <c r="E31" s="25">
        <v>100</v>
      </c>
      <c r="F31" s="26" t="s">
        <v>54</v>
      </c>
      <c r="G31" s="27">
        <v>85.338878874231298</v>
      </c>
      <c r="H31" s="27">
        <v>85.317436325519793</v>
      </c>
      <c r="I31" s="27">
        <v>4.1408508449285</v>
      </c>
      <c r="J31" s="27">
        <v>93.4</v>
      </c>
      <c r="K31" s="33">
        <f>43/L31</f>
        <v>0.87755102040816302</v>
      </c>
      <c r="L31" s="32">
        <v>49</v>
      </c>
      <c r="M31" s="33">
        <v>1.5789473684210499E-2</v>
      </c>
      <c r="N31" s="33">
        <v>0.134228897959184</v>
      </c>
      <c r="O31" s="33">
        <v>0.25929079591836701</v>
      </c>
      <c r="P31" s="33">
        <v>7.6244081632653005E-2</v>
      </c>
      <c r="Q31" s="27">
        <v>84.742174898629401</v>
      </c>
      <c r="R31" s="27">
        <v>0.36709003097116699</v>
      </c>
      <c r="S31" s="32">
        <v>22</v>
      </c>
      <c r="T31" s="25" t="s">
        <v>68</v>
      </c>
    </row>
    <row r="32" spans="1:20" ht="15.5">
      <c r="A32" s="25" t="s">
        <v>69</v>
      </c>
      <c r="B32" s="25" t="s">
        <v>47</v>
      </c>
      <c r="C32" s="25" t="s">
        <v>23</v>
      </c>
      <c r="D32" s="25" t="s">
        <v>28</v>
      </c>
      <c r="E32" s="25">
        <v>100</v>
      </c>
      <c r="F32" s="26" t="s">
        <v>54</v>
      </c>
      <c r="G32" s="27">
        <v>86.616888888251097</v>
      </c>
      <c r="H32" s="27">
        <v>86.008688408447398</v>
      </c>
      <c r="I32" s="27">
        <v>4.9477772821750898</v>
      </c>
      <c r="J32" s="27">
        <v>94.9</v>
      </c>
      <c r="K32" s="33">
        <f>15/L32</f>
        <v>0.75</v>
      </c>
      <c r="L32" s="32">
        <v>20</v>
      </c>
      <c r="M32" s="33">
        <v>0.04</v>
      </c>
      <c r="N32" s="33">
        <v>0.1305</v>
      </c>
      <c r="O32" s="33">
        <v>0.24049999999999999</v>
      </c>
      <c r="P32" s="33">
        <v>4.9500000000000002E-2</v>
      </c>
      <c r="Q32" s="27">
        <v>83.270858995915503</v>
      </c>
      <c r="R32" s="27">
        <v>0.26752606173603599</v>
      </c>
      <c r="S32" s="32">
        <v>32</v>
      </c>
      <c r="T32" s="25" t="s">
        <v>70</v>
      </c>
    </row>
    <row r="33" spans="1:20" ht="15.5">
      <c r="A33" s="25" t="s">
        <v>71</v>
      </c>
      <c r="B33" s="25" t="s">
        <v>47</v>
      </c>
      <c r="C33" s="25" t="s">
        <v>23</v>
      </c>
      <c r="D33" s="25" t="s">
        <v>28</v>
      </c>
      <c r="E33" s="25">
        <v>90</v>
      </c>
      <c r="F33" s="26" t="s">
        <v>54</v>
      </c>
      <c r="G33" s="27">
        <v>86.645799999999994</v>
      </c>
      <c r="H33" s="27">
        <v>88.036320833333306</v>
      </c>
      <c r="I33" s="27">
        <v>4.5186097081695902</v>
      </c>
      <c r="J33" s="27">
        <v>95</v>
      </c>
      <c r="K33" s="33">
        <f>16/L33</f>
        <v>0.66666666666666696</v>
      </c>
      <c r="L33" s="32">
        <v>24</v>
      </c>
      <c r="M33" s="33"/>
      <c r="N33" s="33">
        <v>0.12003125000000001</v>
      </c>
      <c r="O33" s="33">
        <v>0.307978583333333</v>
      </c>
      <c r="P33" s="33">
        <v>5.2505791666666697E-2</v>
      </c>
      <c r="Q33" s="27">
        <v>85.256712500000006</v>
      </c>
      <c r="R33" s="27">
        <v>0.179679408451352</v>
      </c>
      <c r="S33" s="32">
        <v>8</v>
      </c>
      <c r="T33" s="25" t="s">
        <v>66</v>
      </c>
    </row>
    <row r="34" spans="1:20" ht="15.5">
      <c r="A34" s="25" t="s">
        <v>72</v>
      </c>
      <c r="B34" s="25" t="s">
        <v>47</v>
      </c>
      <c r="C34" s="25" t="s">
        <v>23</v>
      </c>
      <c r="D34" s="25" t="s">
        <v>28</v>
      </c>
      <c r="E34" s="25">
        <v>100</v>
      </c>
      <c r="F34" s="26" t="s">
        <v>54</v>
      </c>
      <c r="G34" s="27">
        <v>91.376951359170604</v>
      </c>
      <c r="H34" s="27">
        <v>90.937687141820803</v>
      </c>
      <c r="I34" s="27">
        <v>2.0515745035247201</v>
      </c>
      <c r="J34" s="27">
        <v>93.7</v>
      </c>
      <c r="K34" s="33">
        <f>7/L34</f>
        <v>0.30434782608695699</v>
      </c>
      <c r="L34" s="32">
        <v>23</v>
      </c>
      <c r="M34" s="33">
        <v>4.04347826086957E-2</v>
      </c>
      <c r="N34" s="33">
        <v>0.111304347826087</v>
      </c>
      <c r="O34" s="33">
        <v>0.37782608695652198</v>
      </c>
      <c r="P34" s="33">
        <v>5.3043478260869602E-2</v>
      </c>
      <c r="Q34" s="27">
        <v>88.997008520819193</v>
      </c>
      <c r="R34" s="27">
        <v>0.71652815509512902</v>
      </c>
      <c r="S34" s="32">
        <v>13</v>
      </c>
      <c r="T34" s="25" t="s">
        <v>66</v>
      </c>
    </row>
    <row r="35" spans="1:20" ht="15.5">
      <c r="A35" s="25" t="s">
        <v>73</v>
      </c>
      <c r="B35" s="25" t="s">
        <v>47</v>
      </c>
      <c r="C35" s="25" t="s">
        <v>74</v>
      </c>
      <c r="D35" s="25" t="s">
        <v>28</v>
      </c>
      <c r="E35" s="25">
        <v>533</v>
      </c>
      <c r="F35" s="26" t="s">
        <v>75</v>
      </c>
      <c r="G35" s="27">
        <v>91.213303354190998</v>
      </c>
      <c r="H35" s="27">
        <v>89.580705235835097</v>
      </c>
      <c r="I35" s="27">
        <v>3.81966143031556</v>
      </c>
      <c r="J35" s="27">
        <v>95.2</v>
      </c>
      <c r="K35" s="33">
        <f>81/L35</f>
        <v>0.38755980861243999</v>
      </c>
      <c r="L35" s="32">
        <v>209</v>
      </c>
      <c r="M35" s="33"/>
      <c r="N35" s="33">
        <v>0.11542105263157899</v>
      </c>
      <c r="O35" s="33">
        <v>0.31024401913875599</v>
      </c>
      <c r="P35" s="33">
        <v>5.0200956937799003E-2</v>
      </c>
      <c r="Q35" s="27">
        <v>88.057118603878294</v>
      </c>
      <c r="R35" s="27">
        <v>0.35773591933367699</v>
      </c>
      <c r="S35" s="32">
        <v>13</v>
      </c>
      <c r="T35" s="25" t="s">
        <v>76</v>
      </c>
    </row>
    <row r="36" spans="1:20" ht="15.5">
      <c r="A36" s="25" t="s">
        <v>77</v>
      </c>
      <c r="B36" s="25" t="s">
        <v>47</v>
      </c>
      <c r="C36" s="25" t="s">
        <v>74</v>
      </c>
      <c r="D36" s="25" t="s">
        <v>28</v>
      </c>
      <c r="E36" s="25">
        <v>527</v>
      </c>
      <c r="F36" s="26" t="s">
        <v>78</v>
      </c>
      <c r="G36" s="27">
        <v>93.1</v>
      </c>
      <c r="H36" s="27">
        <v>92.672972972973</v>
      </c>
      <c r="I36" s="27">
        <v>1.0227003060114499</v>
      </c>
      <c r="J36" s="27">
        <v>94.4</v>
      </c>
      <c r="K36" s="33">
        <v>0</v>
      </c>
      <c r="L36" s="32">
        <v>37</v>
      </c>
      <c r="M36" s="33">
        <v>5.6756756756756802E-2</v>
      </c>
      <c r="N36" s="33">
        <v>8.9729729729729701E-2</v>
      </c>
      <c r="O36" s="33">
        <v>0.34540540540540499</v>
      </c>
      <c r="P36" s="33">
        <v>4.1081081081081099E-2</v>
      </c>
      <c r="Q36" s="27">
        <v>91.9538461538462</v>
      </c>
      <c r="R36" s="27">
        <v>0.14500221041639899</v>
      </c>
      <c r="S36" s="32">
        <v>13</v>
      </c>
      <c r="T36" s="25" t="s">
        <v>66</v>
      </c>
    </row>
    <row r="37" spans="1:20" ht="15.5">
      <c r="A37" s="25" t="s">
        <v>79</v>
      </c>
      <c r="B37" s="25" t="s">
        <v>47</v>
      </c>
      <c r="C37" s="25" t="s">
        <v>23</v>
      </c>
      <c r="D37" s="25" t="s">
        <v>28</v>
      </c>
      <c r="E37" s="25">
        <v>504</v>
      </c>
      <c r="F37" s="26" t="s">
        <v>75</v>
      </c>
      <c r="G37" s="27">
        <v>92.887035125042999</v>
      </c>
      <c r="H37" s="27">
        <v>92.525538119117698</v>
      </c>
      <c r="I37" s="27">
        <v>0.863463050912187</v>
      </c>
      <c r="J37" s="27">
        <v>93.4</v>
      </c>
      <c r="K37" s="33">
        <v>0</v>
      </c>
      <c r="L37" s="32">
        <v>16</v>
      </c>
      <c r="M37" s="33">
        <v>7.8125E-2</v>
      </c>
      <c r="N37" s="33">
        <v>0.11</v>
      </c>
      <c r="O37" s="33">
        <v>0.395625</v>
      </c>
      <c r="P37" s="33">
        <v>4.1250000000000002E-2</v>
      </c>
      <c r="Q37" s="27"/>
      <c r="R37" s="27"/>
      <c r="S37" s="32"/>
      <c r="T37" s="25" t="s">
        <v>66</v>
      </c>
    </row>
    <row r="38" spans="1:20" s="3" customFormat="1" ht="15.5">
      <c r="A38" s="25" t="s">
        <v>80</v>
      </c>
      <c r="B38" s="25" t="s">
        <v>47</v>
      </c>
      <c r="C38" s="25" t="s">
        <v>23</v>
      </c>
      <c r="D38" s="25" t="s">
        <v>28</v>
      </c>
      <c r="E38" s="25">
        <v>1153</v>
      </c>
      <c r="F38" s="26" t="s">
        <v>81</v>
      </c>
      <c r="G38" s="27">
        <v>89.819437175052798</v>
      </c>
      <c r="H38" s="27">
        <v>89.582727088722706</v>
      </c>
      <c r="I38" s="27">
        <v>2.5935250984097902</v>
      </c>
      <c r="J38" s="27">
        <v>93.041915818936999</v>
      </c>
      <c r="K38" s="33">
        <f>21/100</f>
        <v>0.21</v>
      </c>
      <c r="L38" s="32">
        <v>36</v>
      </c>
      <c r="M38" s="33">
        <v>4.7833333333333297E-2</v>
      </c>
      <c r="N38" s="33">
        <v>0.109805555555556</v>
      </c>
      <c r="O38" s="33">
        <v>0.35430555555555598</v>
      </c>
      <c r="P38" s="33">
        <v>7.0416666666666697E-2</v>
      </c>
      <c r="Q38" s="27">
        <v>88.354637793716606</v>
      </c>
      <c r="R38" s="27">
        <v>0.24668999311649401</v>
      </c>
      <c r="S38" s="32">
        <v>10</v>
      </c>
      <c r="T38" s="23" t="s">
        <v>82</v>
      </c>
    </row>
    <row r="39" spans="1:20" s="3" customFormat="1" ht="15.5">
      <c r="A39" s="25" t="s">
        <v>83</v>
      </c>
      <c r="B39" s="25" t="s">
        <v>47</v>
      </c>
      <c r="C39" s="25" t="s">
        <v>84</v>
      </c>
      <c r="D39" s="25" t="s">
        <v>28</v>
      </c>
      <c r="E39" s="25">
        <v>235</v>
      </c>
      <c r="F39" s="26" t="s">
        <v>85</v>
      </c>
      <c r="G39" s="27">
        <v>90.762025203196799</v>
      </c>
      <c r="H39" s="27">
        <v>90.486579719048507</v>
      </c>
      <c r="I39" s="27">
        <v>1.66867981115515</v>
      </c>
      <c r="J39" s="27">
        <v>93</v>
      </c>
      <c r="K39" s="33">
        <f>14/L39</f>
        <v>0.27450980392156898</v>
      </c>
      <c r="L39" s="32">
        <v>51</v>
      </c>
      <c r="M39" s="33">
        <v>2.8923363636363601E-2</v>
      </c>
      <c r="N39" s="33">
        <v>0.1103025</v>
      </c>
      <c r="O39" s="33">
        <v>0.32607121590909099</v>
      </c>
      <c r="P39" s="33">
        <v>4.7210147727272701E-2</v>
      </c>
      <c r="Q39" s="27">
        <v>90.009955000000005</v>
      </c>
      <c r="R39" s="27">
        <v>0.32363222078979398</v>
      </c>
      <c r="S39" s="32">
        <v>40</v>
      </c>
      <c r="T39" s="25" t="s">
        <v>66</v>
      </c>
    </row>
    <row r="40" spans="1:20" s="3" customFormat="1" ht="15.5">
      <c r="A40" s="25" t="s">
        <v>86</v>
      </c>
      <c r="B40" s="25" t="s">
        <v>47</v>
      </c>
      <c r="C40" s="25" t="s">
        <v>84</v>
      </c>
      <c r="D40" s="25" t="s">
        <v>24</v>
      </c>
      <c r="E40" s="25">
        <v>92</v>
      </c>
      <c r="F40" s="26" t="s">
        <v>54</v>
      </c>
      <c r="G40" s="27">
        <v>88.309574283588105</v>
      </c>
      <c r="H40" s="27">
        <v>88.3499106325486</v>
      </c>
      <c r="I40" s="27">
        <v>2.1417606796732702</v>
      </c>
      <c r="J40" s="27">
        <v>92.721770192498496</v>
      </c>
      <c r="K40" s="33">
        <f>44/60</f>
        <v>0.73333333333333295</v>
      </c>
      <c r="L40" s="32">
        <v>60</v>
      </c>
      <c r="M40" s="33">
        <v>2.89666666666667E-2</v>
      </c>
      <c r="N40" s="33">
        <v>0.12711666666666699</v>
      </c>
      <c r="O40" s="33">
        <v>0.32795000000000002</v>
      </c>
      <c r="P40" s="33">
        <v>6.3283333333333303E-2</v>
      </c>
      <c r="Q40" s="27">
        <v>87.147279810667897</v>
      </c>
      <c r="R40" s="27">
        <v>0.25686478345603297</v>
      </c>
      <c r="S40" s="32">
        <v>54</v>
      </c>
      <c r="T40" s="33" t="s">
        <v>87</v>
      </c>
    </row>
    <row r="41" spans="1:20" s="3" customFormat="1" ht="15.5">
      <c r="A41" s="25" t="s">
        <v>88</v>
      </c>
      <c r="B41" s="25" t="s">
        <v>47</v>
      </c>
      <c r="C41" s="25" t="s">
        <v>84</v>
      </c>
      <c r="D41" s="25" t="s">
        <v>24</v>
      </c>
      <c r="E41" s="25">
        <v>95</v>
      </c>
      <c r="F41" s="26" t="s">
        <v>54</v>
      </c>
      <c r="G41" s="27">
        <v>90.177291272540899</v>
      </c>
      <c r="H41" s="27">
        <v>89.199327876267702</v>
      </c>
      <c r="I41" s="27">
        <v>3.8079455749995099</v>
      </c>
      <c r="J41" s="27">
        <v>94.3</v>
      </c>
      <c r="K41" s="33">
        <f>26/L41</f>
        <v>0.48148148148148101</v>
      </c>
      <c r="L41" s="32">
        <v>54</v>
      </c>
      <c r="M41" s="33">
        <v>2.4563018518518501E-2</v>
      </c>
      <c r="N41" s="33">
        <v>0.129382407407407</v>
      </c>
      <c r="O41" s="33">
        <v>0.31338262962962898</v>
      </c>
      <c r="P41" s="33">
        <v>3.6756629629629597E-2</v>
      </c>
      <c r="Q41" s="27">
        <v>86.732715449696798</v>
      </c>
      <c r="R41" s="27">
        <v>0.37898562878819803</v>
      </c>
      <c r="S41" s="32">
        <v>32</v>
      </c>
      <c r="T41" s="25" t="s">
        <v>66</v>
      </c>
    </row>
    <row r="42" spans="1:20" s="3" customFormat="1" ht="15.5">
      <c r="A42" s="25" t="s">
        <v>89</v>
      </c>
      <c r="B42" s="25" t="s">
        <v>47</v>
      </c>
      <c r="C42" s="25" t="s">
        <v>90</v>
      </c>
      <c r="D42" s="25" t="s">
        <v>24</v>
      </c>
      <c r="E42" s="25">
        <v>91</v>
      </c>
      <c r="F42" s="26" t="s">
        <v>54</v>
      </c>
      <c r="G42" s="27">
        <v>89.754149999999996</v>
      </c>
      <c r="H42" s="27">
        <v>89.573058333333293</v>
      </c>
      <c r="I42" s="27">
        <v>3.6710578315434099</v>
      </c>
      <c r="J42" s="27">
        <v>94.3</v>
      </c>
      <c r="K42" s="33">
        <f>15/L42</f>
        <v>0.625</v>
      </c>
      <c r="L42" s="32">
        <v>24</v>
      </c>
      <c r="M42" s="34"/>
      <c r="N42" s="34">
        <v>0.115091291666667</v>
      </c>
      <c r="O42" s="34">
        <v>0.34730645833333301</v>
      </c>
      <c r="P42" s="34">
        <v>7.5118166666666694E-2</v>
      </c>
      <c r="Q42" s="27">
        <v>86.169981818181796</v>
      </c>
      <c r="R42" s="27">
        <v>0.37853071163867302</v>
      </c>
      <c r="S42" s="32">
        <v>22</v>
      </c>
      <c r="T42" s="25" t="s">
        <v>66</v>
      </c>
    </row>
    <row r="43" spans="1:20" s="3" customFormat="1" ht="15.5">
      <c r="A43" s="25" t="s">
        <v>91</v>
      </c>
      <c r="B43" s="25" t="s">
        <v>47</v>
      </c>
      <c r="C43" s="25" t="s">
        <v>90</v>
      </c>
      <c r="D43" s="25" t="s">
        <v>24</v>
      </c>
      <c r="E43" s="25">
        <v>89</v>
      </c>
      <c r="F43" s="26" t="s">
        <v>54</v>
      </c>
      <c r="G43" s="27">
        <v>91.746700000000004</v>
      </c>
      <c r="H43" s="27">
        <v>89.471759090909103</v>
      </c>
      <c r="I43" s="27">
        <v>4.5665203897663096</v>
      </c>
      <c r="J43" s="27">
        <v>94.4</v>
      </c>
      <c r="K43" s="33">
        <f>8/L43</f>
        <v>0.36363636363636398</v>
      </c>
      <c r="L43" s="32">
        <v>22</v>
      </c>
      <c r="M43" s="34"/>
      <c r="N43" s="34">
        <v>0.116113636363636</v>
      </c>
      <c r="O43" s="34">
        <v>0.35759449999999998</v>
      </c>
      <c r="P43" s="34">
        <v>5.8455954545454603E-2</v>
      </c>
      <c r="Q43" s="27">
        <v>88.293823076923104</v>
      </c>
      <c r="R43" s="27">
        <v>0.250578005665055</v>
      </c>
      <c r="S43" s="32">
        <v>13</v>
      </c>
      <c r="T43" s="25" t="s">
        <v>66</v>
      </c>
    </row>
    <row r="44" spans="1:20" s="3" customFormat="1" ht="15.5">
      <c r="A44" s="25" t="s">
        <v>92</v>
      </c>
      <c r="B44" s="25" t="s">
        <v>47</v>
      </c>
      <c r="C44" s="25" t="s">
        <v>90</v>
      </c>
      <c r="D44" s="25" t="s">
        <v>24</v>
      </c>
      <c r="E44" s="25">
        <v>86</v>
      </c>
      <c r="F44" s="26" t="s">
        <v>93</v>
      </c>
      <c r="G44" s="27">
        <v>91.853200000000001</v>
      </c>
      <c r="H44" s="27">
        <v>90.426740909090896</v>
      </c>
      <c r="I44" s="27">
        <v>3.57781983065493</v>
      </c>
      <c r="J44" s="27">
        <v>93.5</v>
      </c>
      <c r="K44" s="33">
        <f>6/L44</f>
        <v>0.27272727272727298</v>
      </c>
      <c r="L44" s="32">
        <v>22</v>
      </c>
      <c r="M44" s="34"/>
      <c r="N44" s="34">
        <v>0.10532090909090901</v>
      </c>
      <c r="O44" s="34">
        <v>0.37097195454545501</v>
      </c>
      <c r="P44" s="34">
        <v>5.1952318181818197E-2</v>
      </c>
      <c r="Q44" s="27">
        <v>88.716066666666705</v>
      </c>
      <c r="R44" s="27">
        <v>0.37707765027024898</v>
      </c>
      <c r="S44" s="32">
        <v>21</v>
      </c>
      <c r="T44" s="25" t="s">
        <v>66</v>
      </c>
    </row>
    <row r="45" spans="1:20" s="3" customFormat="1" ht="15.5">
      <c r="A45" s="25" t="s">
        <v>94</v>
      </c>
      <c r="B45" s="25" t="s">
        <v>47</v>
      </c>
      <c r="C45" s="25" t="s">
        <v>90</v>
      </c>
      <c r="D45" s="25" t="s">
        <v>24</v>
      </c>
      <c r="E45" s="25">
        <v>86</v>
      </c>
      <c r="F45" s="26" t="s">
        <v>93</v>
      </c>
      <c r="G45" s="27">
        <v>89.5327735706271</v>
      </c>
      <c r="H45" s="27">
        <v>89.1015023634654</v>
      </c>
      <c r="I45" s="27">
        <v>1.90408772310803</v>
      </c>
      <c r="J45" s="27">
        <v>92.6</v>
      </c>
      <c r="K45" s="33">
        <f>20/L45</f>
        <v>0.66666666666666696</v>
      </c>
      <c r="L45" s="32">
        <v>30</v>
      </c>
      <c r="M45" s="33">
        <v>4.2333333333333299E-2</v>
      </c>
      <c r="N45" s="33">
        <v>0.110666666666667</v>
      </c>
      <c r="O45" s="33">
        <v>0.33433333333333298</v>
      </c>
      <c r="P45" s="33">
        <v>9.0666666666666701E-2</v>
      </c>
      <c r="Q45" s="27">
        <v>88.208471370025606</v>
      </c>
      <c r="R45" s="27">
        <v>0.31376122431341602</v>
      </c>
      <c r="S45" s="32">
        <v>19</v>
      </c>
      <c r="T45" s="25" t="s">
        <v>66</v>
      </c>
    </row>
    <row r="46" spans="1:20" s="3" customFormat="1" ht="15.5">
      <c r="A46" s="25" t="s">
        <v>95</v>
      </c>
      <c r="B46" s="25" t="s">
        <v>47</v>
      </c>
      <c r="C46" s="25" t="s">
        <v>23</v>
      </c>
      <c r="D46" s="25" t="s">
        <v>24</v>
      </c>
      <c r="E46" s="25">
        <v>87</v>
      </c>
      <c r="F46" s="26" t="s">
        <v>54</v>
      </c>
      <c r="G46" s="27">
        <v>90.910061425962994</v>
      </c>
      <c r="H46" s="27">
        <v>90.732020364305001</v>
      </c>
      <c r="I46" s="27">
        <v>1.1664600266399601</v>
      </c>
      <c r="J46" s="27">
        <v>93.1</v>
      </c>
      <c r="K46" s="33">
        <f>5/19</f>
        <v>0.26315789473684198</v>
      </c>
      <c r="L46" s="25">
        <v>28</v>
      </c>
      <c r="M46" s="33">
        <v>3.5000000000000003E-2</v>
      </c>
      <c r="N46" s="33">
        <v>0.113214285714286</v>
      </c>
      <c r="O46" s="33">
        <v>0.3175</v>
      </c>
      <c r="P46" s="33">
        <v>7.2857142857142898E-2</v>
      </c>
      <c r="Q46" s="27">
        <v>90.334595140275397</v>
      </c>
      <c r="R46" s="27">
        <v>0.44489523056193397</v>
      </c>
      <c r="S46" s="32">
        <v>23</v>
      </c>
      <c r="T46" s="25" t="s">
        <v>66</v>
      </c>
    </row>
    <row r="47" spans="1:20" s="4" customFormat="1" ht="15.5">
      <c r="A47" s="25" t="s">
        <v>96</v>
      </c>
      <c r="B47" s="25" t="s">
        <v>47</v>
      </c>
      <c r="C47" s="25" t="s">
        <v>23</v>
      </c>
      <c r="D47" s="25" t="s">
        <v>97</v>
      </c>
      <c r="E47" s="25">
        <v>103</v>
      </c>
      <c r="F47" s="26" t="s">
        <v>98</v>
      </c>
      <c r="G47" s="27">
        <v>89.7690793987002</v>
      </c>
      <c r="H47" s="27">
        <v>89.122548897583599</v>
      </c>
      <c r="I47" s="27">
        <v>2.3888250791891101</v>
      </c>
      <c r="J47" s="27">
        <v>92.4</v>
      </c>
      <c r="K47" s="33">
        <f>15/L47</f>
        <v>0.53571428571428603</v>
      </c>
      <c r="L47" s="32">
        <v>28</v>
      </c>
      <c r="M47" s="33">
        <v>2.3214285714285701E-2</v>
      </c>
      <c r="N47" s="33">
        <v>0.122857142857143</v>
      </c>
      <c r="O47" s="33">
        <v>0.33750000000000002</v>
      </c>
      <c r="P47" s="33">
        <v>4.5357142857142901E-2</v>
      </c>
      <c r="Q47" s="27">
        <v>86.502198458623198</v>
      </c>
      <c r="R47" s="27">
        <v>0.39729703476606498</v>
      </c>
      <c r="S47" s="32">
        <v>24</v>
      </c>
      <c r="T47" s="25" t="s">
        <v>66</v>
      </c>
    </row>
    <row r="48" spans="1:20" ht="15.5">
      <c r="A48" s="25" t="s">
        <v>99</v>
      </c>
      <c r="B48" s="25" t="s">
        <v>47</v>
      </c>
      <c r="C48" s="25" t="s">
        <v>23</v>
      </c>
      <c r="D48" s="25" t="s">
        <v>97</v>
      </c>
      <c r="E48" s="25">
        <v>101</v>
      </c>
      <c r="F48" s="26" t="s">
        <v>29</v>
      </c>
      <c r="G48" s="27">
        <v>90.617800000000003</v>
      </c>
      <c r="H48" s="27">
        <v>89.478284000000002</v>
      </c>
      <c r="I48" s="27">
        <v>3.0062823543207</v>
      </c>
      <c r="J48" s="27">
        <v>92.8</v>
      </c>
      <c r="K48" s="33">
        <f>8/L48</f>
        <v>0.32</v>
      </c>
      <c r="L48" s="32">
        <v>25</v>
      </c>
      <c r="M48" s="34"/>
      <c r="N48" s="34">
        <v>0.13419207999999999</v>
      </c>
      <c r="O48" s="34">
        <v>0.29619736000000002</v>
      </c>
      <c r="P48" s="34">
        <v>7.0209880000000002E-2</v>
      </c>
      <c r="Q48" s="27">
        <v>86.959258333333295</v>
      </c>
      <c r="R48" s="27">
        <v>0.139932617065644</v>
      </c>
      <c r="S48" s="32">
        <v>24</v>
      </c>
      <c r="T48" s="25" t="s">
        <v>66</v>
      </c>
    </row>
    <row r="49" spans="1:20" ht="15.5">
      <c r="A49" s="24"/>
      <c r="B49" s="25"/>
      <c r="C49" s="25"/>
      <c r="D49" s="25"/>
      <c r="E49" s="25"/>
      <c r="F49" s="26"/>
      <c r="G49" s="27"/>
      <c r="H49" s="27"/>
      <c r="I49" s="27"/>
      <c r="J49" s="27"/>
      <c r="K49" s="33"/>
      <c r="L49" s="32"/>
      <c r="M49" s="34"/>
      <c r="N49" s="34"/>
      <c r="O49" s="34"/>
      <c r="P49" s="34"/>
      <c r="Q49" s="27"/>
      <c r="R49" s="27"/>
      <c r="S49" s="32"/>
      <c r="T49" s="25"/>
    </row>
    <row r="50" spans="1:20" ht="15.5">
      <c r="A50" s="24" t="s">
        <v>100</v>
      </c>
      <c r="B50" s="25"/>
      <c r="C50" s="25"/>
      <c r="D50" s="25"/>
      <c r="E50" s="25"/>
      <c r="F50" s="26"/>
      <c r="G50" s="27"/>
      <c r="H50" s="27"/>
      <c r="I50" s="27"/>
      <c r="J50" s="27"/>
      <c r="K50" s="33"/>
      <c r="L50" s="32"/>
      <c r="M50" s="34"/>
      <c r="N50" s="34"/>
      <c r="O50" s="34"/>
      <c r="P50" s="34"/>
      <c r="Q50" s="27"/>
      <c r="R50" s="27"/>
      <c r="S50" s="32"/>
      <c r="T50" s="25"/>
    </row>
    <row r="51" spans="1:20" s="7" customFormat="1" ht="15.5">
      <c r="A51" s="25" t="s">
        <v>101</v>
      </c>
      <c r="B51" s="25" t="s">
        <v>47</v>
      </c>
      <c r="C51" s="25" t="s">
        <v>102</v>
      </c>
      <c r="D51" s="25" t="s">
        <v>24</v>
      </c>
      <c r="E51" s="25">
        <v>1.2E-2</v>
      </c>
      <c r="F51" s="26" t="s">
        <v>103</v>
      </c>
      <c r="G51" s="27">
        <v>91.244975893815493</v>
      </c>
      <c r="H51" s="27">
        <v>91.110632212384502</v>
      </c>
      <c r="I51" s="27">
        <v>0.76308744735824297</v>
      </c>
      <c r="J51" s="27">
        <v>92.389123340869006</v>
      </c>
      <c r="K51" s="33">
        <v>0.04</v>
      </c>
      <c r="L51" s="32">
        <v>23</v>
      </c>
      <c r="M51" s="34">
        <v>2.4347826086956501E-2</v>
      </c>
      <c r="N51" s="34">
        <v>0.10826086956521699</v>
      </c>
      <c r="O51" s="34">
        <v>0.39173913043478298</v>
      </c>
      <c r="P51" s="34">
        <v>3.6956521739130402E-2</v>
      </c>
      <c r="Q51" s="27">
        <v>90.381740922058796</v>
      </c>
      <c r="R51" s="27">
        <v>0.39489377277419901</v>
      </c>
      <c r="S51" s="25">
        <v>50</v>
      </c>
      <c r="T51" s="25" t="s">
        <v>103</v>
      </c>
    </row>
    <row r="52" spans="1:20" s="3" customFormat="1" ht="15.5">
      <c r="A52" s="24"/>
      <c r="B52" s="25"/>
      <c r="C52" s="25"/>
      <c r="D52" s="25"/>
      <c r="E52" s="25"/>
      <c r="F52" s="26"/>
      <c r="G52" s="27"/>
      <c r="H52" s="27"/>
      <c r="I52" s="27"/>
      <c r="J52" s="27"/>
      <c r="K52" s="27"/>
      <c r="L52" s="32"/>
      <c r="M52" s="27"/>
      <c r="N52" s="27"/>
      <c r="O52" s="27"/>
      <c r="P52" s="27"/>
      <c r="Q52" s="27"/>
      <c r="R52" s="27"/>
      <c r="S52" s="32"/>
      <c r="T52" s="25"/>
    </row>
    <row r="53" spans="1:20" s="3" customFormat="1" ht="15.5">
      <c r="A53" s="24" t="s">
        <v>104</v>
      </c>
      <c r="B53" s="25"/>
      <c r="C53" s="25"/>
      <c r="D53" s="25"/>
      <c r="E53" s="25"/>
      <c r="F53" s="26"/>
      <c r="G53" s="27"/>
      <c r="H53" s="27"/>
      <c r="I53" s="27"/>
      <c r="J53" s="27"/>
      <c r="K53" s="27"/>
      <c r="L53" s="32"/>
      <c r="M53" s="27"/>
      <c r="N53" s="27"/>
      <c r="O53" s="27"/>
      <c r="P53" s="27"/>
      <c r="Q53" s="27"/>
      <c r="R53" s="27"/>
      <c r="S53" s="32"/>
      <c r="T53" s="25"/>
    </row>
    <row r="54" spans="1:20" s="3" customFormat="1" ht="15.5">
      <c r="A54" s="25" t="s">
        <v>105</v>
      </c>
      <c r="B54" s="25" t="s">
        <v>47</v>
      </c>
      <c r="C54" s="25" t="s">
        <v>106</v>
      </c>
      <c r="D54" s="25" t="s">
        <v>24</v>
      </c>
      <c r="E54" s="25">
        <v>90</v>
      </c>
      <c r="F54" s="26" t="s">
        <v>107</v>
      </c>
      <c r="G54" s="27">
        <v>88.039756018972199</v>
      </c>
      <c r="H54" s="27">
        <v>88.031842398104999</v>
      </c>
      <c r="I54" s="27">
        <v>2.6496362985540798</v>
      </c>
      <c r="J54" s="27">
        <v>92.623814158810205</v>
      </c>
      <c r="K54" s="33">
        <f>17/100</f>
        <v>0.17</v>
      </c>
      <c r="L54" s="32">
        <v>23</v>
      </c>
      <c r="M54" s="33">
        <v>1.7304347826086999E-2</v>
      </c>
      <c r="N54" s="33">
        <v>0.14813043478260901</v>
      </c>
      <c r="O54" s="33">
        <v>0.30413043478260898</v>
      </c>
      <c r="P54" s="33">
        <v>4.1826086956521701E-2</v>
      </c>
      <c r="Q54" s="27">
        <v>85.357285317815894</v>
      </c>
      <c r="R54" s="27">
        <v>0.33337650556474502</v>
      </c>
      <c r="S54" s="32">
        <v>6</v>
      </c>
      <c r="T54" s="33" t="s">
        <v>82</v>
      </c>
    </row>
    <row r="55" spans="1:20" ht="15.5">
      <c r="A55" s="25" t="s">
        <v>108</v>
      </c>
      <c r="B55" s="25" t="s">
        <v>47</v>
      </c>
      <c r="C55" s="25" t="s">
        <v>106</v>
      </c>
      <c r="D55" s="25" t="s">
        <v>24</v>
      </c>
      <c r="E55" s="25">
        <v>80</v>
      </c>
      <c r="F55" s="26" t="s">
        <v>107</v>
      </c>
      <c r="G55" s="27">
        <v>89.168142612894997</v>
      </c>
      <c r="H55" s="27">
        <v>88.287635201052296</v>
      </c>
      <c r="I55" s="27">
        <v>3.0331255384568601</v>
      </c>
      <c r="J55" s="27">
        <v>92.1</v>
      </c>
      <c r="K55" s="33">
        <f>20/L55</f>
        <v>0.625</v>
      </c>
      <c r="L55" s="32">
        <v>32</v>
      </c>
      <c r="M55" s="33">
        <v>4.1764705882353002E-2</v>
      </c>
      <c r="N55" s="33">
        <v>0.13892184375</v>
      </c>
      <c r="O55" s="33">
        <v>0.35834868749999998</v>
      </c>
      <c r="P55" s="33">
        <v>7.2259032258064501E-2</v>
      </c>
      <c r="Q55" s="27">
        <v>86.006326604893701</v>
      </c>
      <c r="R55" s="27">
        <v>0.48078502952389901</v>
      </c>
      <c r="S55" s="32">
        <v>22</v>
      </c>
      <c r="T55" s="25" t="s">
        <v>70</v>
      </c>
    </row>
    <row r="56" spans="1:20" ht="15.5">
      <c r="A56" s="25" t="s">
        <v>109</v>
      </c>
      <c r="B56" s="25" t="s">
        <v>47</v>
      </c>
      <c r="C56" s="25" t="s">
        <v>106</v>
      </c>
      <c r="D56" s="25" t="s">
        <v>24</v>
      </c>
      <c r="E56" s="25">
        <v>82</v>
      </c>
      <c r="F56" s="26" t="s">
        <v>107</v>
      </c>
      <c r="G56" s="27">
        <v>91.855970926018301</v>
      </c>
      <c r="H56" s="27">
        <v>91.251400065025607</v>
      </c>
      <c r="I56" s="27">
        <v>1.6771097468637499</v>
      </c>
      <c r="J56" s="27">
        <v>92.8</v>
      </c>
      <c r="K56" s="33">
        <f>3/L56</f>
        <v>0.10344827586206901</v>
      </c>
      <c r="L56" s="32">
        <v>29</v>
      </c>
      <c r="M56" s="33">
        <v>2.8695652173913001E-2</v>
      </c>
      <c r="N56" s="33">
        <v>0.116206896551724</v>
      </c>
      <c r="O56" s="33">
        <v>0.38448275862068998</v>
      </c>
      <c r="P56" s="33">
        <v>2.1499999999999998E-2</v>
      </c>
      <c r="Q56" s="27">
        <v>89.290881596490806</v>
      </c>
      <c r="R56" s="27">
        <v>0.370934316781038</v>
      </c>
      <c r="S56" s="32">
        <v>33</v>
      </c>
      <c r="T56" s="25" t="s">
        <v>70</v>
      </c>
    </row>
    <row r="57" spans="1:20" ht="15.5">
      <c r="A57" s="24"/>
      <c r="B57" s="25"/>
      <c r="C57" s="25"/>
      <c r="D57" s="25"/>
      <c r="E57" s="25"/>
      <c r="F57" s="26"/>
      <c r="G57" s="27"/>
      <c r="H57" s="27"/>
      <c r="I57" s="27"/>
      <c r="J57" s="27"/>
      <c r="K57" s="27"/>
      <c r="L57" s="32"/>
      <c r="M57" s="27"/>
      <c r="N57" s="27"/>
      <c r="O57" s="27"/>
      <c r="P57" s="27"/>
      <c r="Q57" s="27"/>
      <c r="R57" s="27"/>
      <c r="S57" s="32"/>
      <c r="T57" s="25"/>
    </row>
    <row r="58" spans="1:20" ht="15.5">
      <c r="A58" s="24" t="s">
        <v>110</v>
      </c>
      <c r="B58" s="25"/>
      <c r="C58" s="25"/>
      <c r="D58" s="25"/>
      <c r="E58" s="25"/>
      <c r="F58" s="26"/>
      <c r="G58" s="27"/>
      <c r="H58" s="27"/>
      <c r="I58" s="27"/>
      <c r="J58" s="27"/>
      <c r="K58" s="27"/>
      <c r="L58" s="32"/>
      <c r="M58" s="27"/>
      <c r="N58" s="27"/>
      <c r="O58" s="27"/>
      <c r="P58" s="27"/>
      <c r="Q58" s="27"/>
      <c r="R58" s="27"/>
      <c r="S58" s="32"/>
      <c r="T58" s="25"/>
    </row>
    <row r="59" spans="1:20" ht="15.5">
      <c r="A59" s="25" t="s">
        <v>111</v>
      </c>
      <c r="B59" s="25" t="s">
        <v>47</v>
      </c>
      <c r="C59" s="25" t="s">
        <v>112</v>
      </c>
      <c r="D59" s="25" t="s">
        <v>28</v>
      </c>
      <c r="E59" s="25">
        <v>53</v>
      </c>
      <c r="F59" s="25" t="s">
        <v>113</v>
      </c>
      <c r="G59" s="27">
        <v>89.707739341375003</v>
      </c>
      <c r="H59" s="27">
        <v>89.371089913419695</v>
      </c>
      <c r="I59" s="27">
        <v>1.93170821665628</v>
      </c>
      <c r="J59" s="27">
        <v>92.459928577360699</v>
      </c>
      <c r="K59" s="33">
        <v>0.6</v>
      </c>
      <c r="L59" s="32">
        <v>15</v>
      </c>
      <c r="M59" s="33">
        <v>2.1733333333333299E-2</v>
      </c>
      <c r="N59" s="33">
        <v>0.11966666666666601</v>
      </c>
      <c r="O59" s="33">
        <v>0.28299999999999997</v>
      </c>
      <c r="P59" s="33">
        <v>3.5200000000000002E-2</v>
      </c>
      <c r="Q59" s="27">
        <v>89.642663724817197</v>
      </c>
      <c r="R59" s="27">
        <v>0.204100996059524</v>
      </c>
      <c r="S59" s="32">
        <v>9</v>
      </c>
      <c r="T59" s="25" t="s">
        <v>114</v>
      </c>
    </row>
    <row r="60" spans="1:20" ht="15.5">
      <c r="A60" s="25" t="s">
        <v>115</v>
      </c>
      <c r="B60" s="25" t="s">
        <v>47</v>
      </c>
      <c r="C60" s="25" t="s">
        <v>112</v>
      </c>
      <c r="D60" s="25" t="s">
        <v>28</v>
      </c>
      <c r="E60" s="25"/>
      <c r="F60" s="25"/>
      <c r="G60" s="27">
        <v>91.2</v>
      </c>
      <c r="H60" s="27">
        <v>90.917857142857102</v>
      </c>
      <c r="I60" s="27">
        <v>2.0354367210755102</v>
      </c>
      <c r="J60" s="27">
        <v>93.5</v>
      </c>
      <c r="K60" s="33">
        <v>0.28571428571428498</v>
      </c>
      <c r="L60" s="32">
        <v>28</v>
      </c>
      <c r="M60" s="33">
        <v>2.92857142857142E-2</v>
      </c>
      <c r="N60" s="33">
        <v>0.113571428571428</v>
      </c>
      <c r="O60" s="33">
        <v>0.32821428571428501</v>
      </c>
      <c r="P60" s="33">
        <v>3.64285714285714E-2</v>
      </c>
      <c r="Q60" s="27">
        <v>90.184210526315695</v>
      </c>
      <c r="R60" s="27">
        <v>0.18933555718980499</v>
      </c>
      <c r="S60" s="32">
        <v>19</v>
      </c>
      <c r="T60" s="25" t="s">
        <v>114</v>
      </c>
    </row>
    <row r="61" spans="1:20" ht="15.5">
      <c r="A61" s="25" t="s">
        <v>116</v>
      </c>
      <c r="B61" s="25" t="s">
        <v>47</v>
      </c>
      <c r="C61" s="25" t="s">
        <v>112</v>
      </c>
      <c r="D61" s="25" t="s">
        <v>28</v>
      </c>
      <c r="E61" s="25">
        <v>48</v>
      </c>
      <c r="F61" s="25" t="s">
        <v>117</v>
      </c>
      <c r="G61" s="27">
        <v>90.25</v>
      </c>
      <c r="H61" s="27">
        <v>90.0555555555555</v>
      </c>
      <c r="I61" s="27">
        <v>1.1302198128668699</v>
      </c>
      <c r="J61" s="27">
        <v>91.7</v>
      </c>
      <c r="K61" s="33">
        <v>0.36111111111111099</v>
      </c>
      <c r="L61" s="32">
        <v>36</v>
      </c>
      <c r="M61" s="33">
        <v>5.08333333333333E-2</v>
      </c>
      <c r="N61" s="33">
        <v>0.11722222222222201</v>
      </c>
      <c r="O61" s="33">
        <v>0.34777777777777702</v>
      </c>
      <c r="P61" s="33">
        <v>5.7500000000000002E-2</v>
      </c>
      <c r="Q61" s="27">
        <v>90.3</v>
      </c>
      <c r="R61" s="27">
        <v>0.28284271247461601</v>
      </c>
      <c r="S61" s="32">
        <v>4</v>
      </c>
      <c r="T61" s="25" t="s">
        <v>114</v>
      </c>
    </row>
    <row r="62" spans="1:20" ht="15.5">
      <c r="A62" s="25" t="s">
        <v>118</v>
      </c>
      <c r="B62" s="25" t="s">
        <v>47</v>
      </c>
      <c r="C62" s="25" t="s">
        <v>112</v>
      </c>
      <c r="D62" s="25" t="s">
        <v>28</v>
      </c>
      <c r="E62" s="25">
        <v>63</v>
      </c>
      <c r="F62" s="25" t="s">
        <v>119</v>
      </c>
      <c r="G62" s="27">
        <v>90.85</v>
      </c>
      <c r="H62" s="27">
        <v>90.496875000000003</v>
      </c>
      <c r="I62" s="27">
        <v>1.8448681000146301</v>
      </c>
      <c r="J62" s="27">
        <v>93.2</v>
      </c>
      <c r="K62" s="33">
        <v>0.40625</v>
      </c>
      <c r="L62" s="32">
        <v>32</v>
      </c>
      <c r="M62" s="33">
        <v>3.0624999999999999E-2</v>
      </c>
      <c r="N62" s="33">
        <v>0.1115625</v>
      </c>
      <c r="O62" s="33">
        <v>0.30781249999999899</v>
      </c>
      <c r="P62" s="33">
        <v>3.15625E-2</v>
      </c>
      <c r="Q62" s="27">
        <v>90.399999999999906</v>
      </c>
      <c r="R62" s="27">
        <v>0.20816659994661199</v>
      </c>
      <c r="S62" s="32">
        <v>7</v>
      </c>
      <c r="T62" s="25" t="s">
        <v>114</v>
      </c>
    </row>
    <row r="63" spans="1:20" ht="15.5">
      <c r="A63" s="25" t="s">
        <v>120</v>
      </c>
      <c r="B63" s="25" t="s">
        <v>47</v>
      </c>
      <c r="C63" s="25" t="s">
        <v>112</v>
      </c>
      <c r="D63" s="25" t="s">
        <v>28</v>
      </c>
      <c r="E63" s="25">
        <v>60</v>
      </c>
      <c r="F63" s="25" t="s">
        <v>113</v>
      </c>
      <c r="G63" s="27">
        <v>90.705098740566797</v>
      </c>
      <c r="H63" s="27">
        <v>90.804999197609504</v>
      </c>
      <c r="I63" s="27">
        <v>1.59179233743923</v>
      </c>
      <c r="J63" s="27">
        <v>93.402309191782805</v>
      </c>
      <c r="K63" s="33">
        <v>0.2</v>
      </c>
      <c r="L63" s="32">
        <v>15</v>
      </c>
      <c r="M63" s="33">
        <v>3.4933333333333302E-2</v>
      </c>
      <c r="N63" s="33">
        <v>8.6866666666666606E-2</v>
      </c>
      <c r="O63" s="33">
        <v>0.33326666666666599</v>
      </c>
      <c r="P63" s="33">
        <v>4.4066666666666601E-2</v>
      </c>
      <c r="Q63" s="27">
        <v>90.332731179267398</v>
      </c>
      <c r="R63" s="27">
        <v>5.5003877649322699E-2</v>
      </c>
      <c r="S63" s="32">
        <v>7</v>
      </c>
      <c r="T63" s="25" t="s">
        <v>114</v>
      </c>
    </row>
    <row r="64" spans="1:20" ht="15.5">
      <c r="A64" s="25" t="s">
        <v>121</v>
      </c>
      <c r="B64" s="25" t="s">
        <v>47</v>
      </c>
      <c r="C64" s="25" t="s">
        <v>112</v>
      </c>
      <c r="D64" s="25" t="s">
        <v>28</v>
      </c>
      <c r="E64" s="25">
        <v>62</v>
      </c>
      <c r="F64" s="25" t="s">
        <v>119</v>
      </c>
      <c r="G64" s="27">
        <v>92.384558417106902</v>
      </c>
      <c r="H64" s="27">
        <v>91.641212487625793</v>
      </c>
      <c r="I64" s="27">
        <v>1.5924031673899</v>
      </c>
      <c r="J64" s="27">
        <v>93.249520137602104</v>
      </c>
      <c r="K64" s="33">
        <v>0.14285714285714199</v>
      </c>
      <c r="L64" s="32">
        <v>14</v>
      </c>
      <c r="M64" s="33">
        <v>2.6357142857142801E-2</v>
      </c>
      <c r="N64" s="33">
        <v>8.4500000000000006E-2</v>
      </c>
      <c r="O64" s="33">
        <v>0.33514285714285702</v>
      </c>
      <c r="P64" s="33">
        <v>2.57857142857142E-2</v>
      </c>
      <c r="Q64" s="27">
        <v>90.3936304659901</v>
      </c>
      <c r="R64" s="27">
        <v>0.18175660902540999</v>
      </c>
      <c r="S64" s="32">
        <v>7</v>
      </c>
      <c r="T64" s="25" t="s">
        <v>114</v>
      </c>
    </row>
    <row r="65" spans="1:20" ht="15.5">
      <c r="A65" s="25" t="s">
        <v>122</v>
      </c>
      <c r="B65" s="25" t="s">
        <v>47</v>
      </c>
      <c r="C65" s="25" t="s">
        <v>112</v>
      </c>
      <c r="D65" s="25" t="s">
        <v>28</v>
      </c>
      <c r="E65" s="26">
        <v>60</v>
      </c>
      <c r="F65" s="25" t="s">
        <v>119</v>
      </c>
      <c r="G65" s="27">
        <v>90.05</v>
      </c>
      <c r="H65" s="27">
        <v>89.821875000000006</v>
      </c>
      <c r="I65" s="27">
        <v>1.9345307633102</v>
      </c>
      <c r="J65" s="27">
        <v>93.3</v>
      </c>
      <c r="K65" s="33">
        <v>0.5</v>
      </c>
      <c r="L65" s="32">
        <v>32</v>
      </c>
      <c r="M65" s="33">
        <v>2.5937499999999999E-2</v>
      </c>
      <c r="N65" s="33">
        <v>0.12843749999999901</v>
      </c>
      <c r="O65" s="33">
        <v>0.29812499999999997</v>
      </c>
      <c r="P65" s="33">
        <v>3.6249999999999998E-2</v>
      </c>
      <c r="Q65" s="27">
        <v>90.62</v>
      </c>
      <c r="R65" s="27">
        <v>0.23475755815545399</v>
      </c>
      <c r="S65" s="32">
        <v>10</v>
      </c>
      <c r="T65" s="25" t="s">
        <v>114</v>
      </c>
    </row>
    <row r="66" spans="1:20" s="3" customFormat="1" ht="15.5">
      <c r="A66" s="25" t="s">
        <v>123</v>
      </c>
      <c r="B66" s="25" t="s">
        <v>47</v>
      </c>
      <c r="C66" s="25" t="s">
        <v>112</v>
      </c>
      <c r="D66" s="25" t="s">
        <v>28</v>
      </c>
      <c r="E66" s="26">
        <v>62</v>
      </c>
      <c r="F66" s="25" t="s">
        <v>119</v>
      </c>
      <c r="G66" s="27">
        <v>91.2239321634124</v>
      </c>
      <c r="H66" s="27">
        <v>90.924317390376999</v>
      </c>
      <c r="I66" s="27">
        <v>1.46969884603033</v>
      </c>
      <c r="J66" s="27">
        <v>92.552087225862095</v>
      </c>
      <c r="K66" s="33">
        <v>0.2</v>
      </c>
      <c r="L66" s="32">
        <v>15</v>
      </c>
      <c r="M66" s="33">
        <v>2.7E-2</v>
      </c>
      <c r="N66" s="33">
        <v>9.6066666666666606E-2</v>
      </c>
      <c r="O66" s="33">
        <v>0.35126666666666601</v>
      </c>
      <c r="P66" s="33">
        <v>3.3733333333333303E-2</v>
      </c>
      <c r="Q66" s="27">
        <v>90.692826652267001</v>
      </c>
      <c r="R66" s="27">
        <v>4.8456830754807501E-2</v>
      </c>
      <c r="S66" s="32">
        <v>6</v>
      </c>
      <c r="T66" s="25" t="s">
        <v>114</v>
      </c>
    </row>
    <row r="67" spans="1:20" s="3" customFormat="1" ht="15.5">
      <c r="A67" s="25" t="s">
        <v>124</v>
      </c>
      <c r="B67" s="25" t="s">
        <v>47</v>
      </c>
      <c r="C67" s="25" t="s">
        <v>112</v>
      </c>
      <c r="D67" s="25" t="s">
        <v>28</v>
      </c>
      <c r="E67" s="26">
        <v>64</v>
      </c>
      <c r="F67" s="25" t="s">
        <v>117</v>
      </c>
      <c r="G67" s="27">
        <v>89.85</v>
      </c>
      <c r="H67" s="27">
        <v>90.116666666666603</v>
      </c>
      <c r="I67" s="27">
        <v>2.07181665270463</v>
      </c>
      <c r="J67" s="27">
        <v>93.1</v>
      </c>
      <c r="K67" s="33">
        <v>0.5</v>
      </c>
      <c r="L67" s="32">
        <v>12</v>
      </c>
      <c r="M67" s="33">
        <v>3.6666666666666597E-2</v>
      </c>
      <c r="N67" s="33">
        <v>0.1225</v>
      </c>
      <c r="O67" s="33">
        <v>0.3175</v>
      </c>
      <c r="P67" s="33">
        <v>6.1666666666666599E-2</v>
      </c>
      <c r="Q67" s="27">
        <v>90.7</v>
      </c>
      <c r="R67" s="27">
        <v>0.141421356237309</v>
      </c>
      <c r="S67" s="32">
        <v>6</v>
      </c>
      <c r="T67" s="25" t="s">
        <v>114</v>
      </c>
    </row>
    <row r="68" spans="1:20" s="3" customFormat="1" ht="15.5">
      <c r="A68" s="25" t="s">
        <v>125</v>
      </c>
      <c r="B68" s="25" t="s">
        <v>47</v>
      </c>
      <c r="C68" s="25" t="s">
        <v>112</v>
      </c>
      <c r="D68" s="25" t="s">
        <v>28</v>
      </c>
      <c r="E68" s="26">
        <v>75</v>
      </c>
      <c r="F68" s="25" t="s">
        <v>117</v>
      </c>
      <c r="G68" s="27">
        <v>91.4</v>
      </c>
      <c r="H68" s="27">
        <v>90.957142857142799</v>
      </c>
      <c r="I68" s="27">
        <v>2.0201729879143699</v>
      </c>
      <c r="J68" s="27">
        <v>93.2</v>
      </c>
      <c r="K68" s="33">
        <v>0.35714285714285698</v>
      </c>
      <c r="L68" s="32">
        <v>14</v>
      </c>
      <c r="M68" s="33">
        <v>2.35714285714285E-2</v>
      </c>
      <c r="N68" s="33">
        <v>0.112857142857142</v>
      </c>
      <c r="O68" s="33">
        <v>0.29857142857142799</v>
      </c>
      <c r="P68" s="33">
        <v>2.35714285714285E-2</v>
      </c>
      <c r="Q68" s="27">
        <v>90.858333333333306</v>
      </c>
      <c r="R68" s="27">
        <v>0.116450015288131</v>
      </c>
      <c r="S68" s="32">
        <v>12</v>
      </c>
      <c r="T68" s="25" t="s">
        <v>114</v>
      </c>
    </row>
    <row r="69" spans="1:20" ht="15.5">
      <c r="A69" s="25" t="s">
        <v>126</v>
      </c>
      <c r="B69" s="25" t="s">
        <v>47</v>
      </c>
      <c r="C69" s="25" t="s">
        <v>112</v>
      </c>
      <c r="D69" s="25" t="s">
        <v>28</v>
      </c>
      <c r="E69" s="26">
        <v>64</v>
      </c>
      <c r="F69" s="25" t="s">
        <v>119</v>
      </c>
      <c r="G69" s="27">
        <v>91.920234369798195</v>
      </c>
      <c r="H69" s="27">
        <v>91.862681894628494</v>
      </c>
      <c r="I69" s="27">
        <v>0.89957160722502005</v>
      </c>
      <c r="J69" s="27">
        <v>93.427682892351697</v>
      </c>
      <c r="K69" s="33">
        <v>0</v>
      </c>
      <c r="L69" s="32">
        <v>15</v>
      </c>
      <c r="M69" s="33">
        <v>3.6933333333333297E-2</v>
      </c>
      <c r="N69" s="33">
        <v>8.0999999999999905E-2</v>
      </c>
      <c r="O69" s="33">
        <v>0.34733333333333299</v>
      </c>
      <c r="P69" s="33">
        <v>3.6333333333333301E-2</v>
      </c>
      <c r="Q69" s="27">
        <v>91.092891830103994</v>
      </c>
      <c r="R69" s="27">
        <v>8.0990397040396803E-2</v>
      </c>
      <c r="S69" s="32">
        <v>6</v>
      </c>
      <c r="T69" s="25" t="s">
        <v>114</v>
      </c>
    </row>
    <row r="70" spans="1:20" s="6" customFormat="1" ht="15.5">
      <c r="A70" s="25" t="s">
        <v>127</v>
      </c>
      <c r="B70" s="25" t="s">
        <v>47</v>
      </c>
      <c r="C70" s="25" t="s">
        <v>112</v>
      </c>
      <c r="D70" s="25" t="s">
        <v>28</v>
      </c>
      <c r="E70" s="26">
        <v>53</v>
      </c>
      <c r="F70" s="25" t="s">
        <v>113</v>
      </c>
      <c r="G70" s="27">
        <v>91.4</v>
      </c>
      <c r="H70" s="27">
        <v>91.4941176470588</v>
      </c>
      <c r="I70" s="27">
        <v>1.0126296928446501</v>
      </c>
      <c r="J70" s="27">
        <v>92.8</v>
      </c>
      <c r="K70" s="33">
        <v>0.14705882352941099</v>
      </c>
      <c r="L70" s="32">
        <v>34</v>
      </c>
      <c r="M70" s="33">
        <v>3.79411764705882E-2</v>
      </c>
      <c r="N70" s="33">
        <v>0.108529411764705</v>
      </c>
      <c r="O70" s="33">
        <v>0.35588235294117598</v>
      </c>
      <c r="P70" s="33">
        <v>2.64705882352941E-2</v>
      </c>
      <c r="Q70" s="27">
        <v>91.0692307692307</v>
      </c>
      <c r="R70" s="27">
        <v>0.13774744634423899</v>
      </c>
      <c r="S70" s="32">
        <v>13</v>
      </c>
      <c r="T70" s="25" t="s">
        <v>114</v>
      </c>
    </row>
    <row r="71" spans="1:20" ht="15.5">
      <c r="A71" s="25" t="s">
        <v>128</v>
      </c>
      <c r="B71" s="25" t="s">
        <v>47</v>
      </c>
      <c r="C71" s="25" t="s">
        <v>112</v>
      </c>
      <c r="D71" s="25" t="s">
        <v>28</v>
      </c>
      <c r="E71" s="26">
        <v>59</v>
      </c>
      <c r="F71" s="25" t="s">
        <v>113</v>
      </c>
      <c r="G71" s="27">
        <v>90.920949864566197</v>
      </c>
      <c r="H71" s="27">
        <v>90.397424125212495</v>
      </c>
      <c r="I71" s="27">
        <v>1.7571992170111701</v>
      </c>
      <c r="J71" s="27">
        <v>93.2317682317682</v>
      </c>
      <c r="K71" s="33">
        <v>0.33333333333333298</v>
      </c>
      <c r="L71" s="32">
        <v>15</v>
      </c>
      <c r="M71" s="33">
        <v>3.4000000000000002E-2</v>
      </c>
      <c r="N71" s="33">
        <v>9.5133333333333306E-2</v>
      </c>
      <c r="O71" s="33">
        <v>0.319533333333333</v>
      </c>
      <c r="P71" s="33">
        <v>4.3266666666666599E-2</v>
      </c>
      <c r="Q71" s="27">
        <v>91.113069259857696</v>
      </c>
      <c r="R71" s="27">
        <v>0.15212303387321499</v>
      </c>
      <c r="S71" s="32">
        <v>14</v>
      </c>
      <c r="T71" s="25" t="s">
        <v>114</v>
      </c>
    </row>
    <row r="72" spans="1:20" ht="15.5">
      <c r="A72" s="25" t="s">
        <v>129</v>
      </c>
      <c r="B72" s="25" t="s">
        <v>47</v>
      </c>
      <c r="C72" s="25" t="s">
        <v>112</v>
      </c>
      <c r="D72" s="25" t="s">
        <v>28</v>
      </c>
      <c r="E72" s="26">
        <v>48</v>
      </c>
      <c r="F72" s="25" t="s">
        <v>117</v>
      </c>
      <c r="G72" s="27">
        <v>90.8</v>
      </c>
      <c r="H72" s="27">
        <v>90.7916666666666</v>
      </c>
      <c r="I72" s="27">
        <v>0.242930342928073</v>
      </c>
      <c r="J72" s="27">
        <v>91.1</v>
      </c>
      <c r="K72" s="33">
        <v>0</v>
      </c>
      <c r="L72" s="32">
        <v>12</v>
      </c>
      <c r="M72" s="33">
        <v>3.5000000000000003E-2</v>
      </c>
      <c r="N72" s="33">
        <v>0.111666666666666</v>
      </c>
      <c r="O72" s="33">
        <v>0.39</v>
      </c>
      <c r="P72" s="33">
        <v>4.2500000000000003E-2</v>
      </c>
      <c r="Q72" s="27">
        <v>90.8</v>
      </c>
      <c r="R72" s="27">
        <v>0.56568542494923602</v>
      </c>
      <c r="S72" s="32">
        <v>2</v>
      </c>
      <c r="T72" s="25" t="s">
        <v>114</v>
      </c>
    </row>
    <row r="73" spans="1:20" ht="15.5">
      <c r="A73" s="25" t="s">
        <v>130</v>
      </c>
      <c r="B73" s="25" t="s">
        <v>47</v>
      </c>
      <c r="C73" s="25" t="s">
        <v>112</v>
      </c>
      <c r="D73" s="25" t="s">
        <v>28</v>
      </c>
      <c r="E73" s="25"/>
      <c r="F73" s="25"/>
      <c r="G73" s="27">
        <v>91.6</v>
      </c>
      <c r="H73" s="27">
        <v>91.570967741935405</v>
      </c>
      <c r="I73" s="27">
        <v>0.58605662319557394</v>
      </c>
      <c r="J73" s="27">
        <v>92.7</v>
      </c>
      <c r="K73" s="33">
        <v>0</v>
      </c>
      <c r="L73" s="32">
        <v>31</v>
      </c>
      <c r="M73" s="33">
        <v>3.0322580645161201E-2</v>
      </c>
      <c r="N73" s="33">
        <v>0.108387096774193</v>
      </c>
      <c r="O73" s="33">
        <v>0.35774193548387001</v>
      </c>
      <c r="P73" s="33">
        <v>2.8064516129032199E-2</v>
      </c>
      <c r="Q73" s="27">
        <v>91.22</v>
      </c>
      <c r="R73" s="27">
        <v>8.3666002653402793E-2</v>
      </c>
      <c r="S73" s="32">
        <v>5</v>
      </c>
      <c r="T73" s="25" t="s">
        <v>114</v>
      </c>
    </row>
    <row r="74" spans="1:20" ht="15.5">
      <c r="A74" s="25" t="s">
        <v>131</v>
      </c>
      <c r="B74" s="25" t="s">
        <v>47</v>
      </c>
      <c r="C74" s="25" t="s">
        <v>112</v>
      </c>
      <c r="D74" s="25" t="s">
        <v>28</v>
      </c>
      <c r="E74" s="26">
        <v>69</v>
      </c>
      <c r="F74" s="25" t="s">
        <v>119</v>
      </c>
      <c r="G74" s="27">
        <v>92.016691237100503</v>
      </c>
      <c r="H74" s="27">
        <v>92.118248896099999</v>
      </c>
      <c r="I74" s="27">
        <v>0.57929680697285402</v>
      </c>
      <c r="J74" s="27">
        <v>92.9959891490671</v>
      </c>
      <c r="K74" s="33">
        <v>0</v>
      </c>
      <c r="L74" s="32">
        <v>13</v>
      </c>
      <c r="M74" s="33">
        <v>3.2076923076923003E-2</v>
      </c>
      <c r="N74" s="33">
        <v>7.4769230769230699E-2</v>
      </c>
      <c r="O74" s="33">
        <v>0.36938461538461498</v>
      </c>
      <c r="P74" s="33">
        <v>2.5692307692307698E-2</v>
      </c>
      <c r="Q74" s="27">
        <v>91.292996618141203</v>
      </c>
      <c r="R74" s="27">
        <v>0.21097485134034499</v>
      </c>
      <c r="S74" s="32">
        <v>6</v>
      </c>
      <c r="T74" s="25" t="s">
        <v>114</v>
      </c>
    </row>
    <row r="75" spans="1:20" ht="15.5">
      <c r="A75" s="25" t="s">
        <v>132</v>
      </c>
      <c r="B75" s="25" t="s">
        <v>47</v>
      </c>
      <c r="C75" s="25" t="s">
        <v>112</v>
      </c>
      <c r="D75" s="25" t="s">
        <v>28</v>
      </c>
      <c r="E75" s="26">
        <v>47</v>
      </c>
      <c r="F75" s="25" t="s">
        <v>113</v>
      </c>
      <c r="G75" s="27">
        <v>90.986685726633496</v>
      </c>
      <c r="H75" s="27">
        <v>91.266309946617795</v>
      </c>
      <c r="I75" s="27">
        <v>0.85616827103301096</v>
      </c>
      <c r="J75" s="27">
        <v>93.072609013074896</v>
      </c>
      <c r="K75" s="33">
        <v>0</v>
      </c>
      <c r="L75" s="32">
        <v>15</v>
      </c>
      <c r="M75" s="33">
        <v>3.07333333333333E-2</v>
      </c>
      <c r="N75" s="33">
        <v>9.4466666666666602E-2</v>
      </c>
      <c r="O75" s="33">
        <v>0.33639999999999998</v>
      </c>
      <c r="P75" s="33">
        <v>3.4666666666666603E-2</v>
      </c>
      <c r="Q75" s="27">
        <v>91.539593306987797</v>
      </c>
      <c r="R75" s="27">
        <v>0.25879405986752602</v>
      </c>
      <c r="S75" s="32">
        <v>8</v>
      </c>
      <c r="T75" s="25" t="s">
        <v>114</v>
      </c>
    </row>
    <row r="76" spans="1:20" s="3" customFormat="1" ht="15.5">
      <c r="A76" s="25" t="s">
        <v>133</v>
      </c>
      <c r="B76" s="25" t="s">
        <v>47</v>
      </c>
      <c r="C76" s="25" t="s">
        <v>112</v>
      </c>
      <c r="D76" s="25" t="s">
        <v>28</v>
      </c>
      <c r="E76" s="26">
        <v>48</v>
      </c>
      <c r="F76" s="26" t="s">
        <v>134</v>
      </c>
      <c r="G76" s="27">
        <v>91.519749498246995</v>
      </c>
      <c r="H76" s="27">
        <v>91.386987733499694</v>
      </c>
      <c r="I76" s="27">
        <v>0.70036110796495799</v>
      </c>
      <c r="J76" s="27">
        <v>92.406573239906507</v>
      </c>
      <c r="K76" s="33">
        <v>0</v>
      </c>
      <c r="L76" s="32">
        <v>13</v>
      </c>
      <c r="M76" s="33">
        <v>2.8923076923076899E-2</v>
      </c>
      <c r="N76" s="33">
        <v>9.7076923076923005E-2</v>
      </c>
      <c r="O76" s="33">
        <v>0.345076923076923</v>
      </c>
      <c r="P76" s="33">
        <v>2.2846153846153801E-2</v>
      </c>
      <c r="Q76" s="27">
        <v>91.564266597965201</v>
      </c>
      <c r="R76" s="27">
        <v>0.22081042418664801</v>
      </c>
      <c r="S76" s="32">
        <v>8</v>
      </c>
      <c r="T76" s="25" t="s">
        <v>114</v>
      </c>
    </row>
    <row r="77" spans="1:20" s="3" customFormat="1" ht="15.5">
      <c r="A77" s="25" t="s">
        <v>135</v>
      </c>
      <c r="B77" s="25" t="s">
        <v>47</v>
      </c>
      <c r="C77" s="25" t="s">
        <v>112</v>
      </c>
      <c r="D77" s="25" t="s">
        <v>28</v>
      </c>
      <c r="E77" s="26">
        <v>49</v>
      </c>
      <c r="F77" s="25" t="s">
        <v>119</v>
      </c>
      <c r="G77" s="27">
        <v>91.755199760586507</v>
      </c>
      <c r="H77" s="27">
        <v>91.809932539509106</v>
      </c>
      <c r="I77" s="27">
        <v>0.94046999699175304</v>
      </c>
      <c r="J77" s="27">
        <v>92.981013604425101</v>
      </c>
      <c r="K77" s="33">
        <v>6.6666666666666596E-2</v>
      </c>
      <c r="L77" s="32">
        <v>15</v>
      </c>
      <c r="M77" s="33">
        <v>3.32E-2</v>
      </c>
      <c r="N77" s="33">
        <v>8.9666666666666603E-2</v>
      </c>
      <c r="O77" s="33">
        <v>0.35046666666666598</v>
      </c>
      <c r="P77" s="33">
        <v>2.98666666666666E-2</v>
      </c>
      <c r="Q77" s="27">
        <v>91.806362810539497</v>
      </c>
      <c r="R77" s="27">
        <v>0.19409682413530499</v>
      </c>
      <c r="S77" s="32">
        <v>9</v>
      </c>
      <c r="T77" s="25" t="s">
        <v>114</v>
      </c>
    </row>
    <row r="78" spans="1:20" ht="15.5">
      <c r="A78" s="25" t="s">
        <v>136</v>
      </c>
      <c r="B78" s="25" t="s">
        <v>47</v>
      </c>
      <c r="C78" s="25" t="s">
        <v>112</v>
      </c>
      <c r="D78" s="25" t="s">
        <v>28</v>
      </c>
      <c r="E78" s="25">
        <v>52</v>
      </c>
      <c r="F78" s="26" t="s">
        <v>119</v>
      </c>
      <c r="G78" s="27">
        <v>91.886543034483793</v>
      </c>
      <c r="H78" s="27">
        <v>91.8410767450831</v>
      </c>
      <c r="I78" s="27">
        <v>1.20211981064463</v>
      </c>
      <c r="J78" s="27">
        <v>94.1</v>
      </c>
      <c r="K78" s="33">
        <f t="shared" ref="K78:K83" si="0">1/L78</f>
        <v>3.03030303030303E-2</v>
      </c>
      <c r="L78" s="32">
        <v>33</v>
      </c>
      <c r="M78" s="33">
        <v>3.5384615384615403E-2</v>
      </c>
      <c r="N78" s="33">
        <v>0.11454545454545501</v>
      </c>
      <c r="O78" s="33">
        <v>0.350909090909091</v>
      </c>
      <c r="P78" s="33">
        <v>3.7931034482758599E-2</v>
      </c>
      <c r="Q78" s="27">
        <v>91.553699458125607</v>
      </c>
      <c r="R78" s="27">
        <v>0.213626424940833</v>
      </c>
      <c r="S78" s="32">
        <v>43</v>
      </c>
      <c r="T78" s="25" t="s">
        <v>70</v>
      </c>
    </row>
    <row r="79" spans="1:20" ht="15.5">
      <c r="A79" s="25" t="s">
        <v>137</v>
      </c>
      <c r="B79" s="25" t="s">
        <v>47</v>
      </c>
      <c r="C79" s="25" t="s">
        <v>112</v>
      </c>
      <c r="D79" s="25" t="s">
        <v>28</v>
      </c>
      <c r="E79" s="25">
        <v>53</v>
      </c>
      <c r="F79" s="26" t="s">
        <v>119</v>
      </c>
      <c r="G79" s="27">
        <v>91.591407024484795</v>
      </c>
      <c r="H79" s="27">
        <v>91.141100718980795</v>
      </c>
      <c r="I79" s="27">
        <v>1.64750746660057</v>
      </c>
      <c r="J79" s="27">
        <v>93.1</v>
      </c>
      <c r="K79" s="33">
        <f>5/L79</f>
        <v>0.15625</v>
      </c>
      <c r="L79" s="32">
        <v>32</v>
      </c>
      <c r="M79" s="33">
        <v>4.3571428571428601E-2</v>
      </c>
      <c r="N79" s="33">
        <v>0.12625</v>
      </c>
      <c r="O79" s="33">
        <v>0.37093749999999998</v>
      </c>
      <c r="P79" s="33">
        <v>4.45161290322581E-2</v>
      </c>
      <c r="Q79" s="27">
        <v>91.494970639745105</v>
      </c>
      <c r="R79" s="27">
        <v>0.32384934298076701</v>
      </c>
      <c r="S79" s="32">
        <v>21</v>
      </c>
      <c r="T79" s="25" t="s">
        <v>70</v>
      </c>
    </row>
    <row r="80" spans="1:20" s="3" customFormat="1" ht="15.5">
      <c r="A80" s="25" t="s">
        <v>138</v>
      </c>
      <c r="B80" s="25" t="s">
        <v>47</v>
      </c>
      <c r="C80" s="25" t="s">
        <v>112</v>
      </c>
      <c r="D80" s="25" t="s">
        <v>28</v>
      </c>
      <c r="E80" s="25">
        <v>53</v>
      </c>
      <c r="F80" s="26" t="s">
        <v>119</v>
      </c>
      <c r="G80" s="27">
        <v>91.190309340274297</v>
      </c>
      <c r="H80" s="27">
        <v>91.141100718980795</v>
      </c>
      <c r="I80" s="27">
        <v>1.6474007664600601</v>
      </c>
      <c r="J80" s="27">
        <v>93.4</v>
      </c>
      <c r="K80" s="33">
        <f>10/L80</f>
        <v>0.175438596491228</v>
      </c>
      <c r="L80" s="32">
        <v>57</v>
      </c>
      <c r="M80" s="33"/>
      <c r="N80" s="33">
        <v>0.10858421052631601</v>
      </c>
      <c r="O80" s="33">
        <v>0.34011929824561399</v>
      </c>
      <c r="P80" s="33">
        <v>3.4456140350877199E-2</v>
      </c>
      <c r="Q80" s="27">
        <v>91.550610615710198</v>
      </c>
      <c r="R80" s="27">
        <v>0.140247189280543</v>
      </c>
      <c r="S80" s="25">
        <v>33</v>
      </c>
      <c r="T80" s="25" t="s">
        <v>139</v>
      </c>
    </row>
    <row r="81" spans="1:20" s="3" customFormat="1" ht="15.5">
      <c r="A81" s="25" t="s">
        <v>140</v>
      </c>
      <c r="B81" s="25" t="s">
        <v>47</v>
      </c>
      <c r="C81" s="25" t="s">
        <v>112</v>
      </c>
      <c r="D81" s="25" t="s">
        <v>28</v>
      </c>
      <c r="E81" s="25">
        <v>49</v>
      </c>
      <c r="F81" s="26" t="s">
        <v>119</v>
      </c>
      <c r="G81" s="27">
        <v>91.5</v>
      </c>
      <c r="H81" s="27">
        <v>91.543478260869506</v>
      </c>
      <c r="I81" s="27">
        <v>0.93847445331074897</v>
      </c>
      <c r="J81" s="27">
        <v>94.2</v>
      </c>
      <c r="K81" s="33">
        <f t="shared" si="0"/>
        <v>2.2222222222222199E-2</v>
      </c>
      <c r="L81" s="32">
        <v>45</v>
      </c>
      <c r="M81" s="33"/>
      <c r="N81" s="33">
        <v>0.107826086956522</v>
      </c>
      <c r="O81" s="33">
        <v>0.36717391304347802</v>
      </c>
      <c r="P81" s="33">
        <v>3.4565217391304401E-2</v>
      </c>
      <c r="Q81" s="27">
        <v>91.662962962962993</v>
      </c>
      <c r="R81" s="27">
        <v>0.17130303367053901</v>
      </c>
      <c r="S81" s="32">
        <v>27</v>
      </c>
      <c r="T81" s="25" t="s">
        <v>139</v>
      </c>
    </row>
    <row r="82" spans="1:20" s="3" customFormat="1" ht="15.5">
      <c r="A82" s="25" t="s">
        <v>141</v>
      </c>
      <c r="B82" s="25" t="s">
        <v>47</v>
      </c>
      <c r="C82" s="25" t="s">
        <v>112</v>
      </c>
      <c r="D82" s="25" t="s">
        <v>28</v>
      </c>
      <c r="E82" s="25">
        <v>56</v>
      </c>
      <c r="F82" s="26" t="s">
        <v>119</v>
      </c>
      <c r="G82" s="27">
        <v>91.278343904157893</v>
      </c>
      <c r="H82" s="27">
        <v>91.266247199967694</v>
      </c>
      <c r="I82" s="27">
        <v>0.913318123211044</v>
      </c>
      <c r="J82" s="27">
        <v>93</v>
      </c>
      <c r="K82" s="33">
        <f>6/L82</f>
        <v>0.06</v>
      </c>
      <c r="L82" s="32">
        <v>100</v>
      </c>
      <c r="M82" s="33">
        <v>3.3565999999999999E-2</v>
      </c>
      <c r="N82" s="33">
        <v>0.111524</v>
      </c>
      <c r="O82" s="33">
        <v>0.355238</v>
      </c>
      <c r="P82" s="33">
        <v>4.3508999999999999E-2</v>
      </c>
      <c r="Q82" s="27">
        <v>91.124172959199299</v>
      </c>
      <c r="R82" s="27">
        <v>0.182961720597311</v>
      </c>
      <c r="S82" s="32">
        <v>57</v>
      </c>
      <c r="T82" s="25" t="s">
        <v>142</v>
      </c>
    </row>
    <row r="83" spans="1:20" s="8" customFormat="1" ht="15.5">
      <c r="A83" s="25" t="s">
        <v>143</v>
      </c>
      <c r="B83" s="25" t="s">
        <v>47</v>
      </c>
      <c r="C83" s="25" t="s">
        <v>112</v>
      </c>
      <c r="D83" s="25" t="s">
        <v>28</v>
      </c>
      <c r="E83" s="25">
        <v>56</v>
      </c>
      <c r="F83" s="26" t="s">
        <v>119</v>
      </c>
      <c r="G83" s="27">
        <v>91.226305998290499</v>
      </c>
      <c r="H83" s="27">
        <v>91.278095624054401</v>
      </c>
      <c r="I83" s="27">
        <v>0.86007449285700699</v>
      </c>
      <c r="J83" s="27">
        <v>93.5</v>
      </c>
      <c r="K83" s="33">
        <f t="shared" si="0"/>
        <v>2.5641025641025599E-2</v>
      </c>
      <c r="L83" s="32">
        <v>39</v>
      </c>
      <c r="M83" s="33"/>
      <c r="N83" s="33">
        <v>0.111671794871795</v>
      </c>
      <c r="O83" s="33">
        <v>0.33923589743589699</v>
      </c>
      <c r="P83" s="33">
        <v>5.0641025641025697E-2</v>
      </c>
      <c r="Q83" s="27">
        <v>91.1923147343566</v>
      </c>
      <c r="R83" s="27">
        <v>0.18067825415849301</v>
      </c>
      <c r="S83" s="25">
        <v>24</v>
      </c>
      <c r="T83" s="25" t="s">
        <v>142</v>
      </c>
    </row>
    <row r="84" spans="1:20" s="3" customFormat="1" ht="15.5">
      <c r="A84" s="25" t="s">
        <v>144</v>
      </c>
      <c r="B84" s="25" t="s">
        <v>47</v>
      </c>
      <c r="C84" s="25" t="s">
        <v>112</v>
      </c>
      <c r="D84" s="25" t="s">
        <v>28</v>
      </c>
      <c r="E84" s="25">
        <v>56</v>
      </c>
      <c r="F84" s="26" t="s">
        <v>119</v>
      </c>
      <c r="G84" s="27">
        <v>91.205673758865203</v>
      </c>
      <c r="H84" s="27">
        <v>91.215929923033102</v>
      </c>
      <c r="I84" s="27">
        <v>0.788172541018204</v>
      </c>
      <c r="J84" s="27">
        <v>93</v>
      </c>
      <c r="K84" s="33">
        <v>0</v>
      </c>
      <c r="L84" s="32">
        <v>15</v>
      </c>
      <c r="M84" s="33"/>
      <c r="N84" s="33">
        <v>0.11577333333333301</v>
      </c>
      <c r="O84" s="33">
        <v>0.37014666666666701</v>
      </c>
      <c r="P84" s="33">
        <v>5.9713333333333299E-2</v>
      </c>
      <c r="Q84" s="27">
        <v>91.148966831799001</v>
      </c>
      <c r="R84" s="27">
        <v>0.30229371828161899</v>
      </c>
      <c r="S84" s="25">
        <v>16</v>
      </c>
      <c r="T84" s="33" t="s">
        <v>142</v>
      </c>
    </row>
    <row r="85" spans="1:20" s="3" customFormat="1" ht="15.5">
      <c r="A85" s="24"/>
      <c r="B85" s="25"/>
      <c r="C85" s="25"/>
      <c r="D85" s="25"/>
      <c r="E85" s="25"/>
      <c r="F85" s="26"/>
      <c r="G85" s="27"/>
      <c r="H85" s="27"/>
      <c r="I85" s="27"/>
      <c r="J85" s="27"/>
      <c r="K85" s="33"/>
      <c r="L85" s="32"/>
      <c r="M85" s="33"/>
      <c r="N85" s="33"/>
      <c r="O85" s="33"/>
      <c r="P85" s="33"/>
      <c r="Q85" s="27"/>
      <c r="R85" s="27"/>
      <c r="S85" s="25"/>
      <c r="T85" s="33"/>
    </row>
    <row r="86" spans="1:20" s="9" customFormat="1" ht="15.5">
      <c r="A86" s="24" t="s">
        <v>145</v>
      </c>
      <c r="B86" s="25"/>
      <c r="C86" s="25"/>
      <c r="D86" s="25"/>
      <c r="E86" s="25"/>
      <c r="F86" s="26"/>
      <c r="G86" s="27"/>
      <c r="H86" s="27"/>
      <c r="I86" s="27"/>
      <c r="J86" s="27"/>
      <c r="K86" s="33"/>
      <c r="L86" s="32"/>
      <c r="M86" s="33"/>
      <c r="N86" s="33"/>
      <c r="O86" s="33"/>
      <c r="P86" s="33"/>
      <c r="Q86" s="27"/>
      <c r="R86" s="27"/>
      <c r="S86" s="25"/>
      <c r="T86" s="33"/>
    </row>
    <row r="87" spans="1:20" s="9" customFormat="1" ht="15.5">
      <c r="A87" s="25" t="s">
        <v>146</v>
      </c>
      <c r="B87" s="25" t="s">
        <v>47</v>
      </c>
      <c r="C87" s="25" t="s">
        <v>112</v>
      </c>
      <c r="D87" s="25" t="s">
        <v>28</v>
      </c>
      <c r="E87" s="25">
        <v>173</v>
      </c>
      <c r="F87" s="26" t="s">
        <v>147</v>
      </c>
      <c r="G87" s="27">
        <v>92.337699999999998</v>
      </c>
      <c r="H87" s="27">
        <v>92.226463157894699</v>
      </c>
      <c r="I87" s="27">
        <v>0.40948531680435302</v>
      </c>
      <c r="J87" s="27">
        <v>92.9</v>
      </c>
      <c r="K87" s="33">
        <v>0</v>
      </c>
      <c r="L87" s="32">
        <v>19</v>
      </c>
      <c r="M87" s="34"/>
      <c r="N87" s="34">
        <v>0.102329684210526</v>
      </c>
      <c r="O87" s="34">
        <v>0.38414894736842098</v>
      </c>
      <c r="P87" s="34">
        <v>2.7612736842105301E-2</v>
      </c>
      <c r="Q87" s="27">
        <v>90.4760947368421</v>
      </c>
      <c r="R87" s="27">
        <v>0.12238074228354601</v>
      </c>
      <c r="S87" s="32">
        <v>19</v>
      </c>
      <c r="T87" s="25" t="s">
        <v>66</v>
      </c>
    </row>
    <row r="88" spans="1:20" s="6" customFormat="1" ht="15.5">
      <c r="A88" s="25" t="s">
        <v>148</v>
      </c>
      <c r="B88" s="25" t="s">
        <v>47</v>
      </c>
      <c r="C88" s="25" t="s">
        <v>112</v>
      </c>
      <c r="D88" s="25" t="s">
        <v>28</v>
      </c>
      <c r="E88" s="25">
        <v>173</v>
      </c>
      <c r="F88" s="26" t="s">
        <v>147</v>
      </c>
      <c r="G88" s="27">
        <v>91.503664383293895</v>
      </c>
      <c r="H88" s="27">
        <v>91.056099829656503</v>
      </c>
      <c r="I88" s="27">
        <v>1.4592765678702</v>
      </c>
      <c r="J88" s="27">
        <v>92.8</v>
      </c>
      <c r="K88" s="33">
        <f>6/L88</f>
        <v>0.22222222222222199</v>
      </c>
      <c r="L88" s="32">
        <v>27</v>
      </c>
      <c r="M88" s="33">
        <v>3.4814814814814798E-2</v>
      </c>
      <c r="N88" s="33">
        <v>0.117407407407407</v>
      </c>
      <c r="O88" s="33">
        <v>0.32888888888888901</v>
      </c>
      <c r="P88" s="33">
        <v>3.1481481481481499E-2</v>
      </c>
      <c r="Q88" s="27">
        <v>89.599094561477699</v>
      </c>
      <c r="R88" s="27">
        <v>0.30320681667646299</v>
      </c>
      <c r="S88" s="32">
        <v>6</v>
      </c>
      <c r="T88" s="25" t="s">
        <v>66</v>
      </c>
    </row>
    <row r="89" spans="1:20" s="9" customFormat="1" ht="15.5">
      <c r="A89" s="25" t="s">
        <v>149</v>
      </c>
      <c r="B89" s="25" t="s">
        <v>47</v>
      </c>
      <c r="C89" s="25" t="s">
        <v>112</v>
      </c>
      <c r="D89" s="25" t="s">
        <v>28</v>
      </c>
      <c r="E89" s="25">
        <v>640</v>
      </c>
      <c r="F89" s="26" t="s">
        <v>150</v>
      </c>
      <c r="G89" s="27">
        <v>92.3948032341344</v>
      </c>
      <c r="H89" s="27">
        <v>92.326537240771302</v>
      </c>
      <c r="I89" s="27">
        <v>1.22671450110805</v>
      </c>
      <c r="J89" s="27">
        <v>95.1</v>
      </c>
      <c r="K89" s="33">
        <f>30/L89</f>
        <v>3.2223415682062301E-2</v>
      </c>
      <c r="L89" s="32">
        <v>931</v>
      </c>
      <c r="M89" s="34"/>
      <c r="N89" s="33">
        <v>0.108012889366273</v>
      </c>
      <c r="O89" s="33">
        <v>0.34167503123971099</v>
      </c>
      <c r="P89" s="33">
        <v>4.6476906552094903E-2</v>
      </c>
      <c r="Q89" s="27">
        <v>92.495583072881502</v>
      </c>
      <c r="R89" s="27">
        <v>0.45174246071491603</v>
      </c>
      <c r="S89" s="32">
        <v>10</v>
      </c>
      <c r="T89" s="25" t="s">
        <v>151</v>
      </c>
    </row>
    <row r="90" spans="1:20" s="4" customFormat="1" ht="15.5">
      <c r="A90" s="25" t="s">
        <v>152</v>
      </c>
      <c r="B90" s="25" t="s">
        <v>47</v>
      </c>
      <c r="C90" s="25" t="s">
        <v>153</v>
      </c>
      <c r="D90" s="25" t="s">
        <v>24</v>
      </c>
      <c r="E90" s="25">
        <v>100</v>
      </c>
      <c r="F90" s="26" t="s">
        <v>154</v>
      </c>
      <c r="G90" s="27">
        <v>92.2393</v>
      </c>
      <c r="H90" s="27">
        <v>91.350366666666702</v>
      </c>
      <c r="I90" s="27">
        <v>2.1217085758775598</v>
      </c>
      <c r="J90" s="27">
        <v>93.1</v>
      </c>
      <c r="K90" s="33">
        <f>3/L90</f>
        <v>0.2</v>
      </c>
      <c r="L90" s="32">
        <v>15</v>
      </c>
      <c r="M90" s="34"/>
      <c r="N90" s="34">
        <v>0.11546086666666699</v>
      </c>
      <c r="O90" s="34">
        <v>0.35999046666666701</v>
      </c>
      <c r="P90" s="34">
        <v>2.9363199999999999E-2</v>
      </c>
      <c r="Q90" s="27">
        <v>89.577749999999995</v>
      </c>
      <c r="R90" s="27">
        <v>0.123795959608481</v>
      </c>
      <c r="S90" s="32">
        <v>14</v>
      </c>
      <c r="T90" s="25" t="s">
        <v>66</v>
      </c>
    </row>
    <row r="91" spans="1:20" s="6" customFormat="1" ht="15.5">
      <c r="A91" s="25" t="s">
        <v>155</v>
      </c>
      <c r="B91" s="25" t="s">
        <v>47</v>
      </c>
      <c r="C91" s="25" t="s">
        <v>153</v>
      </c>
      <c r="D91" s="25" t="s">
        <v>24</v>
      </c>
      <c r="E91" s="25">
        <v>100</v>
      </c>
      <c r="F91" s="26" t="s">
        <v>154</v>
      </c>
      <c r="G91" s="27">
        <v>91.717100000000002</v>
      </c>
      <c r="H91" s="27">
        <v>91.028094999999993</v>
      </c>
      <c r="I91" s="27">
        <v>2.0078883677490902</v>
      </c>
      <c r="J91" s="27">
        <v>92.8</v>
      </c>
      <c r="K91" s="33">
        <f>4/L91</f>
        <v>0.2</v>
      </c>
      <c r="L91" s="32">
        <v>20</v>
      </c>
      <c r="M91" s="34"/>
      <c r="N91" s="34">
        <v>0.124281</v>
      </c>
      <c r="O91" s="34">
        <v>0.33375969999999999</v>
      </c>
      <c r="P91" s="34">
        <v>4.5903699999999999E-2</v>
      </c>
      <c r="Q91" s="27">
        <v>88.308066666666605</v>
      </c>
      <c r="R91" s="27">
        <v>0.16720388751461501</v>
      </c>
      <c r="S91" s="32">
        <v>18</v>
      </c>
      <c r="T91" s="25" t="s">
        <v>66</v>
      </c>
    </row>
    <row r="92" spans="1:20" s="6" customFormat="1" ht="15.5">
      <c r="A92" s="25" t="s">
        <v>156</v>
      </c>
      <c r="B92" s="25" t="s">
        <v>47</v>
      </c>
      <c r="C92" s="25" t="s">
        <v>157</v>
      </c>
      <c r="D92" s="25" t="s">
        <v>24</v>
      </c>
      <c r="E92" s="25">
        <v>186</v>
      </c>
      <c r="F92" s="26" t="s">
        <v>158</v>
      </c>
      <c r="G92" s="27">
        <v>90.596800000000002</v>
      </c>
      <c r="H92" s="27">
        <v>90.380316666666701</v>
      </c>
      <c r="I92" s="27">
        <v>1.34119948067754</v>
      </c>
      <c r="J92" s="27">
        <v>92.5</v>
      </c>
      <c r="K92" s="33">
        <f>2/L92</f>
        <v>0.16666666666666699</v>
      </c>
      <c r="L92" s="32">
        <v>12</v>
      </c>
      <c r="M92" s="34"/>
      <c r="N92" s="34">
        <v>0.121758583333333</v>
      </c>
      <c r="O92" s="34">
        <v>0.33513575000000001</v>
      </c>
      <c r="P92" s="34">
        <v>7.7089416666666702E-2</v>
      </c>
      <c r="Q92" s="27">
        <v>89.706450000000004</v>
      </c>
      <c r="R92" s="27">
        <v>5.8336309447887397E-2</v>
      </c>
      <c r="S92" s="32">
        <v>2</v>
      </c>
      <c r="T92" s="25" t="s">
        <v>66</v>
      </c>
    </row>
    <row r="93" spans="1:20" ht="15.5">
      <c r="A93" s="24"/>
      <c r="B93" s="25"/>
      <c r="C93" s="25"/>
      <c r="D93" s="25"/>
      <c r="E93" s="25"/>
      <c r="F93" s="26"/>
      <c r="G93" s="27"/>
      <c r="H93" s="27"/>
      <c r="I93" s="27"/>
      <c r="J93" s="27"/>
      <c r="K93" s="27"/>
      <c r="L93" s="32"/>
      <c r="M93" s="27"/>
      <c r="N93" s="27"/>
      <c r="O93" s="27"/>
      <c r="P93" s="27"/>
      <c r="Q93" s="27"/>
      <c r="R93" s="27"/>
      <c r="S93" s="32"/>
      <c r="T93" s="25"/>
    </row>
    <row r="94" spans="1:20" ht="15.5">
      <c r="A94" s="24" t="s">
        <v>159</v>
      </c>
      <c r="B94" s="25"/>
      <c r="C94" s="25"/>
      <c r="D94" s="25"/>
      <c r="E94" s="25"/>
      <c r="F94" s="26"/>
      <c r="G94" s="27"/>
      <c r="H94" s="27"/>
      <c r="I94" s="27"/>
      <c r="J94" s="27"/>
      <c r="K94" s="27"/>
      <c r="L94" s="32"/>
      <c r="M94" s="27"/>
      <c r="N94" s="27"/>
      <c r="O94" s="27"/>
      <c r="P94" s="27"/>
      <c r="Q94" s="27"/>
      <c r="R94" s="27"/>
      <c r="S94" s="32"/>
      <c r="T94" s="25"/>
    </row>
    <row r="95" spans="1:20" s="9" customFormat="1" ht="15.5">
      <c r="A95" s="25" t="s">
        <v>160</v>
      </c>
      <c r="B95" s="25" t="s">
        <v>47</v>
      </c>
      <c r="C95" s="25" t="s">
        <v>159</v>
      </c>
      <c r="D95" s="25" t="s">
        <v>28</v>
      </c>
      <c r="E95" s="25">
        <v>347</v>
      </c>
      <c r="F95" s="26" t="s">
        <v>161</v>
      </c>
      <c r="G95" s="27">
        <v>92.4</v>
      </c>
      <c r="H95" s="27">
        <v>91.5326086956522</v>
      </c>
      <c r="I95" s="27">
        <v>2.1572401259012102</v>
      </c>
      <c r="J95" s="27">
        <v>94.4</v>
      </c>
      <c r="K95" s="33">
        <f>34/L95</f>
        <v>0.184782608695652</v>
      </c>
      <c r="L95" s="32">
        <v>184</v>
      </c>
      <c r="M95" s="33">
        <v>4.4239130434782503E-2</v>
      </c>
      <c r="N95" s="33">
        <v>0.10467391304347801</v>
      </c>
      <c r="O95" s="33">
        <v>0.36081521739130401</v>
      </c>
      <c r="P95" s="33">
        <v>2.5706521739130302E-2</v>
      </c>
      <c r="Q95" s="27">
        <v>88.989505368593598</v>
      </c>
      <c r="R95" s="27">
        <v>0.20712978322278</v>
      </c>
      <c r="S95" s="32">
        <v>75</v>
      </c>
      <c r="T95" s="25" t="s">
        <v>162</v>
      </c>
    </row>
    <row r="96" spans="1:20" s="9" customFormat="1" ht="15.5">
      <c r="A96" s="25" t="s">
        <v>163</v>
      </c>
      <c r="B96" s="25" t="s">
        <v>47</v>
      </c>
      <c r="C96" s="25" t="s">
        <v>159</v>
      </c>
      <c r="D96" s="25" t="s">
        <v>28</v>
      </c>
      <c r="E96" s="29">
        <v>360</v>
      </c>
      <c r="F96" s="28" t="s">
        <v>164</v>
      </c>
      <c r="G96" s="27">
        <v>92.267111590705497</v>
      </c>
      <c r="H96" s="27">
        <v>91.761034061743203</v>
      </c>
      <c r="I96" s="27">
        <v>1.7121503748525999</v>
      </c>
      <c r="J96" s="27">
        <v>93.759618236267301</v>
      </c>
      <c r="K96" s="33">
        <v>0.04</v>
      </c>
      <c r="L96" s="32">
        <v>30</v>
      </c>
      <c r="M96" s="33">
        <v>1.8366666666666701E-2</v>
      </c>
      <c r="N96" s="33">
        <v>8.9800000000000005E-2</v>
      </c>
      <c r="O96" s="33">
        <v>0.35743333333333299</v>
      </c>
      <c r="P96" s="33">
        <v>1.7600000000000001E-2</v>
      </c>
      <c r="Q96" s="27">
        <v>89.034189646401003</v>
      </c>
      <c r="R96" s="27">
        <v>0.20782583895596801</v>
      </c>
      <c r="S96" s="32">
        <v>19</v>
      </c>
      <c r="T96" s="33" t="s">
        <v>82</v>
      </c>
    </row>
    <row r="97" spans="1:20" s="3" customFormat="1" ht="15.5">
      <c r="A97" s="25" t="s">
        <v>165</v>
      </c>
      <c r="B97" s="25" t="s">
        <v>47</v>
      </c>
      <c r="C97" s="25" t="s">
        <v>159</v>
      </c>
      <c r="D97" s="25" t="s">
        <v>24</v>
      </c>
      <c r="E97" s="25">
        <v>152</v>
      </c>
      <c r="F97" s="26" t="s">
        <v>166</v>
      </c>
      <c r="G97" s="27">
        <v>92.076098919034806</v>
      </c>
      <c r="H97" s="27">
        <v>91.517024747643404</v>
      </c>
      <c r="I97" s="27">
        <v>1.50982319488036</v>
      </c>
      <c r="J97" s="27">
        <v>93.211633358941995</v>
      </c>
      <c r="K97" s="33">
        <v>4.3478260869565202E-2</v>
      </c>
      <c r="L97" s="32">
        <v>23</v>
      </c>
      <c r="M97" s="33">
        <v>1.15217391304348E-2</v>
      </c>
      <c r="N97" s="33">
        <v>0.102347826086957</v>
      </c>
      <c r="O97" s="33">
        <v>0.37117391304347802</v>
      </c>
      <c r="P97" s="33">
        <v>1.4E-2</v>
      </c>
      <c r="Q97" s="27">
        <v>87.224852097796401</v>
      </c>
      <c r="R97" s="27">
        <v>0.48599619246384101</v>
      </c>
      <c r="S97" s="25">
        <v>5</v>
      </c>
      <c r="T97" s="33" t="s">
        <v>82</v>
      </c>
    </row>
    <row r="98" spans="1:20" ht="15.5">
      <c r="A98" s="25" t="s">
        <v>167</v>
      </c>
      <c r="B98" s="25" t="s">
        <v>47</v>
      </c>
      <c r="C98" s="25" t="s">
        <v>159</v>
      </c>
      <c r="D98" s="25" t="s">
        <v>28</v>
      </c>
      <c r="E98" s="25">
        <v>376</v>
      </c>
      <c r="F98" s="26" t="s">
        <v>168</v>
      </c>
      <c r="G98" s="27"/>
      <c r="H98" s="27">
        <f>(91.8*22+92.9*83+92.9*16)/(22+83+16)</f>
        <v>92.7</v>
      </c>
      <c r="I98" s="27">
        <v>0.4</v>
      </c>
      <c r="J98" s="27">
        <v>93.5</v>
      </c>
      <c r="K98" s="33"/>
      <c r="L98" s="32">
        <f>22+83+16</f>
        <v>121</v>
      </c>
      <c r="M98" s="33"/>
      <c r="N98" s="33">
        <v>0.103011085571939</v>
      </c>
      <c r="O98" s="33">
        <v>0.357316244526729</v>
      </c>
      <c r="P98" s="33">
        <v>2.2116957605985001E-2</v>
      </c>
      <c r="Q98" s="27">
        <v>90.5</v>
      </c>
      <c r="R98" s="27">
        <v>0.2</v>
      </c>
      <c r="S98" s="32">
        <v>10</v>
      </c>
      <c r="T98" s="25" t="s">
        <v>169</v>
      </c>
    </row>
    <row r="99" spans="1:20" ht="15.5">
      <c r="A99" s="25" t="s">
        <v>170</v>
      </c>
      <c r="B99" s="25" t="s">
        <v>171</v>
      </c>
      <c r="C99" s="25" t="s">
        <v>159</v>
      </c>
      <c r="D99" s="25" t="s">
        <v>28</v>
      </c>
      <c r="E99" s="25">
        <v>380</v>
      </c>
      <c r="F99" s="26" t="s">
        <v>168</v>
      </c>
      <c r="G99" s="27">
        <v>92.13</v>
      </c>
      <c r="H99" s="27">
        <f>(91.7*51+92.1*35+92.1*14)/100</f>
        <v>91.896000000000001</v>
      </c>
      <c r="I99" s="27">
        <v>0.8</v>
      </c>
      <c r="J99" s="27">
        <v>93</v>
      </c>
      <c r="K99" s="33"/>
      <c r="L99" s="32">
        <f>51+35+14</f>
        <v>100</v>
      </c>
      <c r="M99" s="33"/>
      <c r="N99" s="33">
        <v>0.104333707317073</v>
      </c>
      <c r="O99" s="33">
        <v>0.356821666098807</v>
      </c>
      <c r="P99" s="33">
        <v>2.3770451371571098E-2</v>
      </c>
      <c r="Q99" s="27">
        <v>90.8</v>
      </c>
      <c r="R99" s="27">
        <v>0.4</v>
      </c>
      <c r="S99" s="32">
        <v>20</v>
      </c>
      <c r="T99" s="25" t="s">
        <v>169</v>
      </c>
    </row>
    <row r="100" spans="1:20" ht="15.5">
      <c r="A100" s="24"/>
      <c r="B100" s="25"/>
      <c r="C100" s="25"/>
      <c r="D100" s="25"/>
      <c r="E100" s="25"/>
      <c r="F100" s="26"/>
      <c r="G100" s="27"/>
      <c r="H100" s="27"/>
      <c r="I100" s="27"/>
      <c r="J100" s="27"/>
      <c r="K100" s="27"/>
      <c r="L100" s="32"/>
      <c r="M100" s="27"/>
      <c r="N100" s="27"/>
      <c r="O100" s="27"/>
      <c r="P100" s="27"/>
      <c r="Q100" s="27"/>
      <c r="R100" s="27"/>
      <c r="S100" s="32"/>
      <c r="T100" s="25"/>
    </row>
    <row r="101" spans="1:20" s="9" customFormat="1" ht="15.5">
      <c r="A101" s="24" t="s">
        <v>172</v>
      </c>
      <c r="B101" s="25"/>
      <c r="C101" s="25"/>
      <c r="D101" s="25"/>
      <c r="E101" s="25"/>
      <c r="F101" s="26"/>
      <c r="G101" s="27"/>
      <c r="H101" s="27"/>
      <c r="I101" s="27"/>
      <c r="J101" s="27"/>
      <c r="K101" s="27"/>
      <c r="L101" s="32"/>
      <c r="M101" s="27"/>
      <c r="N101" s="27"/>
      <c r="O101" s="27"/>
      <c r="P101" s="27"/>
      <c r="Q101" s="27"/>
      <c r="R101" s="27"/>
      <c r="S101" s="32"/>
      <c r="T101" s="25"/>
    </row>
    <row r="102" spans="1:20" s="9" customFormat="1" ht="15.5">
      <c r="A102" s="25" t="s">
        <v>173</v>
      </c>
      <c r="B102" s="25" t="s">
        <v>47</v>
      </c>
      <c r="C102" s="25" t="s">
        <v>172</v>
      </c>
      <c r="D102" s="25" t="s">
        <v>24</v>
      </c>
      <c r="E102" s="25">
        <v>559</v>
      </c>
      <c r="F102" s="26" t="s">
        <v>174</v>
      </c>
      <c r="G102" s="27">
        <v>90.430532631005903</v>
      </c>
      <c r="H102" s="27">
        <v>89.986534508919505</v>
      </c>
      <c r="I102" s="27">
        <v>2.2848707215725099</v>
      </c>
      <c r="J102" s="27">
        <v>93.6</v>
      </c>
      <c r="K102" s="33">
        <f>142/L102</f>
        <v>0.440993788819876</v>
      </c>
      <c r="L102" s="32">
        <v>322</v>
      </c>
      <c r="M102" s="33">
        <v>4.89190031152648E-2</v>
      </c>
      <c r="N102" s="33">
        <v>0.121754658385093</v>
      </c>
      <c r="O102" s="33">
        <v>0.32302484472049697</v>
      </c>
      <c r="P102" s="33">
        <v>5.4133540372670798E-2</v>
      </c>
      <c r="Q102" s="27">
        <v>88.618635814755805</v>
      </c>
      <c r="R102" s="27">
        <v>0.27153012337263599</v>
      </c>
      <c r="S102" s="25">
        <v>184</v>
      </c>
      <c r="T102" s="33" t="s">
        <v>175</v>
      </c>
    </row>
    <row r="103" spans="1:20" s="9" customFormat="1" ht="15.5">
      <c r="A103" s="25" t="s">
        <v>176</v>
      </c>
      <c r="B103" s="25" t="s">
        <v>177</v>
      </c>
      <c r="C103" s="25" t="s">
        <v>172</v>
      </c>
      <c r="D103" s="25" t="s">
        <v>24</v>
      </c>
      <c r="E103" s="25">
        <v>560</v>
      </c>
      <c r="F103" s="26" t="s">
        <v>178</v>
      </c>
      <c r="G103" s="27">
        <v>90.878500000000003</v>
      </c>
      <c r="H103" s="27">
        <v>89.056255436483099</v>
      </c>
      <c r="I103" s="27">
        <v>3.3172291991857099</v>
      </c>
      <c r="J103" s="27">
        <v>93.5</v>
      </c>
      <c r="K103" s="33">
        <f>22/L103</f>
        <v>0.407407407407407</v>
      </c>
      <c r="L103" s="32">
        <v>54</v>
      </c>
      <c r="M103" s="33">
        <v>3.5096153846153798E-2</v>
      </c>
      <c r="N103" s="33">
        <v>0.13387037037037</v>
      </c>
      <c r="O103" s="33">
        <v>0.29498148148148201</v>
      </c>
      <c r="P103" s="33">
        <v>5.4351851851851901E-2</v>
      </c>
      <c r="Q103" s="27">
        <v>88.121762035215596</v>
      </c>
      <c r="R103" s="27">
        <v>0.49313346247019302</v>
      </c>
      <c r="S103" s="32">
        <v>39</v>
      </c>
      <c r="T103" s="25" t="s">
        <v>179</v>
      </c>
    </row>
    <row r="104" spans="1:20" s="9" customFormat="1" ht="15.5">
      <c r="A104" s="24"/>
      <c r="B104" s="25"/>
      <c r="C104" s="25"/>
      <c r="D104" s="25"/>
      <c r="E104" s="25"/>
      <c r="F104" s="26"/>
      <c r="G104" s="27"/>
      <c r="H104" s="27"/>
      <c r="I104" s="27"/>
      <c r="J104" s="27"/>
      <c r="K104" s="33"/>
      <c r="L104" s="32"/>
      <c r="M104" s="33"/>
      <c r="N104" s="33"/>
      <c r="O104" s="33"/>
      <c r="P104" s="33"/>
      <c r="Q104" s="27"/>
      <c r="R104" s="27"/>
      <c r="S104" s="32"/>
      <c r="T104" s="25"/>
    </row>
    <row r="105" spans="1:20" s="9" customFormat="1" ht="15.5">
      <c r="A105" s="24" t="s">
        <v>180</v>
      </c>
      <c r="B105" s="25"/>
      <c r="C105" s="25"/>
      <c r="D105" s="25"/>
      <c r="E105" s="25"/>
      <c r="F105" s="26"/>
      <c r="G105" s="27"/>
      <c r="H105" s="27"/>
      <c r="I105" s="27"/>
      <c r="J105" s="27"/>
      <c r="K105" s="33"/>
      <c r="L105" s="32"/>
      <c r="M105" s="33"/>
      <c r="N105" s="33"/>
      <c r="O105" s="33"/>
      <c r="P105" s="33"/>
      <c r="Q105" s="27"/>
      <c r="R105" s="27"/>
      <c r="S105" s="32"/>
      <c r="T105" s="25"/>
    </row>
    <row r="106" spans="1:20" s="9" customFormat="1" ht="15.5">
      <c r="A106" s="25" t="s">
        <v>181</v>
      </c>
      <c r="B106" s="25" t="s">
        <v>47</v>
      </c>
      <c r="C106" s="25" t="s">
        <v>182</v>
      </c>
      <c r="D106" s="25" t="s">
        <v>24</v>
      </c>
      <c r="E106" s="25">
        <v>621</v>
      </c>
      <c r="F106" s="26" t="s">
        <v>183</v>
      </c>
      <c r="G106" s="27">
        <v>90.8</v>
      </c>
      <c r="H106" s="27">
        <v>90.600999999999999</v>
      </c>
      <c r="I106" s="27">
        <v>1.054</v>
      </c>
      <c r="J106" s="27">
        <v>92.5</v>
      </c>
      <c r="K106" s="37">
        <f>11/L106</f>
        <v>0.150684931506849</v>
      </c>
      <c r="L106" s="32">
        <v>73</v>
      </c>
      <c r="M106" s="33">
        <v>4.9730000000000003E-2</v>
      </c>
      <c r="N106" s="33">
        <v>0.12514</v>
      </c>
      <c r="O106" s="33">
        <v>0.25469999999999998</v>
      </c>
      <c r="P106" s="33">
        <v>6.7210000000000006E-2</v>
      </c>
      <c r="Q106" s="27">
        <v>89.897999999999996</v>
      </c>
      <c r="R106" s="27">
        <v>0.20100000000000001</v>
      </c>
      <c r="S106" s="25">
        <v>21</v>
      </c>
      <c r="T106" s="33" t="s">
        <v>184</v>
      </c>
    </row>
    <row r="107" spans="1:20" s="9" customFormat="1" ht="15.5">
      <c r="A107" s="25" t="s">
        <v>185</v>
      </c>
      <c r="B107" s="25" t="s">
        <v>47</v>
      </c>
      <c r="C107" s="25" t="s">
        <v>182</v>
      </c>
      <c r="D107" s="25" t="s">
        <v>24</v>
      </c>
      <c r="E107" s="25">
        <v>605</v>
      </c>
      <c r="F107" s="26" t="s">
        <v>183</v>
      </c>
      <c r="G107" s="27">
        <v>90.8</v>
      </c>
      <c r="H107" s="27">
        <v>89.902000000000001</v>
      </c>
      <c r="I107" s="27">
        <v>2.323</v>
      </c>
      <c r="J107" s="27">
        <v>93.1</v>
      </c>
      <c r="K107" s="37">
        <f>19/L106</f>
        <v>0.26027397260273999</v>
      </c>
      <c r="L107" s="32">
        <v>51</v>
      </c>
      <c r="M107" s="33">
        <v>3.2489999999999998E-2</v>
      </c>
      <c r="N107" s="33">
        <v>0.12435</v>
      </c>
      <c r="O107" s="33">
        <v>0.3407</v>
      </c>
      <c r="P107" s="33">
        <v>4.045E-2</v>
      </c>
      <c r="Q107" s="27">
        <v>89.257999999999996</v>
      </c>
      <c r="R107" s="27">
        <v>0.45100000000000001</v>
      </c>
      <c r="S107" s="25">
        <v>19</v>
      </c>
      <c r="T107" s="33" t="s">
        <v>184</v>
      </c>
    </row>
    <row r="108" spans="1:20" ht="15.5">
      <c r="A108" s="25" t="s">
        <v>186</v>
      </c>
      <c r="B108" s="25" t="s">
        <v>47</v>
      </c>
      <c r="C108" s="25" t="s">
        <v>182</v>
      </c>
      <c r="D108" s="25" t="s">
        <v>24</v>
      </c>
      <c r="E108" s="25">
        <v>603</v>
      </c>
      <c r="F108" s="26" t="s">
        <v>183</v>
      </c>
      <c r="G108" s="27">
        <v>89</v>
      </c>
      <c r="H108" s="27">
        <v>88.798000000000002</v>
      </c>
      <c r="I108" s="27">
        <v>2.8460000000000001</v>
      </c>
      <c r="J108" s="27">
        <v>93.2</v>
      </c>
      <c r="K108" s="37">
        <f>40/L108</f>
        <v>0.396039603960396</v>
      </c>
      <c r="L108" s="32">
        <v>101</v>
      </c>
      <c r="M108" s="33">
        <v>2.1850000000000001E-2</v>
      </c>
      <c r="N108" s="33">
        <v>0.13053000000000001</v>
      </c>
      <c r="O108" s="33">
        <v>0.27129999999999999</v>
      </c>
      <c r="P108" s="33">
        <v>3.7780000000000001E-2</v>
      </c>
      <c r="Q108" s="27">
        <v>88.828000000000003</v>
      </c>
      <c r="R108" s="27">
        <v>0.20200000000000001</v>
      </c>
      <c r="S108" s="25">
        <v>36</v>
      </c>
      <c r="T108" s="33" t="s">
        <v>184</v>
      </c>
    </row>
    <row r="109" spans="1:20" ht="15.5">
      <c r="A109" s="25" t="s">
        <v>187</v>
      </c>
      <c r="B109" s="25" t="s">
        <v>47</v>
      </c>
      <c r="C109" s="25" t="s">
        <v>182</v>
      </c>
      <c r="D109" s="25" t="s">
        <v>24</v>
      </c>
      <c r="E109" s="25">
        <v>585</v>
      </c>
      <c r="F109" s="26" t="s">
        <v>183</v>
      </c>
      <c r="G109" s="27">
        <v>89.2</v>
      </c>
      <c r="H109" s="27">
        <v>88.938000000000002</v>
      </c>
      <c r="I109" s="27">
        <v>2.786</v>
      </c>
      <c r="J109" s="27">
        <v>92.7</v>
      </c>
      <c r="K109" s="37">
        <f>21/L109</f>
        <v>0.56756756756756799</v>
      </c>
      <c r="L109" s="32">
        <v>37</v>
      </c>
      <c r="M109" s="33">
        <v>3.0079999999999999E-2</v>
      </c>
      <c r="N109" s="33">
        <v>0.12504999999999999</v>
      </c>
      <c r="O109" s="33">
        <v>0.1739</v>
      </c>
      <c r="P109" s="33">
        <v>3.1919999999999997E-2</v>
      </c>
      <c r="Q109" s="27">
        <v>88.305999999999997</v>
      </c>
      <c r="R109" s="27">
        <v>0.31900000000000001</v>
      </c>
      <c r="S109" s="25">
        <v>15</v>
      </c>
      <c r="T109" s="33" t="s">
        <v>184</v>
      </c>
    </row>
    <row r="110" spans="1:20" ht="15.5">
      <c r="A110" s="25" t="s">
        <v>188</v>
      </c>
      <c r="B110" s="25" t="s">
        <v>189</v>
      </c>
      <c r="C110" s="25" t="s">
        <v>182</v>
      </c>
      <c r="D110" s="25" t="s">
        <v>28</v>
      </c>
      <c r="E110" s="25">
        <v>1203</v>
      </c>
      <c r="F110" s="26" t="s">
        <v>183</v>
      </c>
      <c r="G110" s="27">
        <v>91.6</v>
      </c>
      <c r="H110" s="27">
        <v>87.8</v>
      </c>
      <c r="I110" s="27">
        <v>4.9000000000000004</v>
      </c>
      <c r="J110" s="27">
        <v>92.6</v>
      </c>
      <c r="K110" s="27">
        <v>0.44</v>
      </c>
      <c r="L110" s="32">
        <v>43</v>
      </c>
      <c r="M110" s="27">
        <v>1.5076923076923101E-2</v>
      </c>
      <c r="N110" s="27">
        <v>0.128744186046512</v>
      </c>
      <c r="O110" s="27">
        <v>0.25265116279069799</v>
      </c>
      <c r="P110" s="27">
        <v>3.65116279069767E-2</v>
      </c>
      <c r="Q110" s="27">
        <v>88.467671781785</v>
      </c>
      <c r="R110" s="27">
        <v>0.32023711818787698</v>
      </c>
      <c r="S110" s="32">
        <v>7</v>
      </c>
      <c r="T110" s="25" t="s">
        <v>190</v>
      </c>
    </row>
    <row r="111" spans="1:20" ht="15.5">
      <c r="A111" s="24"/>
      <c r="B111" s="25"/>
      <c r="C111" s="25"/>
      <c r="D111" s="25"/>
      <c r="E111" s="25"/>
      <c r="F111" s="26"/>
      <c r="G111" s="27"/>
      <c r="H111" s="27"/>
      <c r="I111" s="27"/>
      <c r="J111" s="27"/>
      <c r="K111" s="27"/>
      <c r="L111" s="32"/>
      <c r="M111" s="27"/>
      <c r="N111" s="27"/>
      <c r="O111" s="27"/>
      <c r="P111" s="27"/>
      <c r="Q111" s="27"/>
      <c r="R111" s="27"/>
      <c r="S111" s="32"/>
      <c r="T111" s="25"/>
    </row>
    <row r="112" spans="1:20" ht="15.5">
      <c r="A112" s="24" t="s">
        <v>191</v>
      </c>
      <c r="B112" s="25"/>
      <c r="C112" s="25"/>
      <c r="D112" s="25"/>
      <c r="E112" s="25"/>
      <c r="F112" s="26"/>
      <c r="G112" s="27"/>
      <c r="H112" s="27"/>
      <c r="I112" s="27"/>
      <c r="J112" s="27"/>
      <c r="K112" s="27"/>
      <c r="L112" s="32"/>
      <c r="M112" s="27"/>
      <c r="N112" s="27"/>
      <c r="O112" s="27"/>
      <c r="P112" s="27"/>
      <c r="Q112" s="27"/>
      <c r="R112" s="27"/>
      <c r="S112" s="32"/>
      <c r="T112" s="25"/>
    </row>
    <row r="113" spans="1:20" ht="15.5">
      <c r="A113" s="25" t="s">
        <v>192</v>
      </c>
      <c r="B113" s="25" t="s">
        <v>22</v>
      </c>
      <c r="C113" s="25" t="s">
        <v>191</v>
      </c>
      <c r="D113" s="25" t="s">
        <v>28</v>
      </c>
      <c r="E113" s="32">
        <v>1102.5</v>
      </c>
      <c r="F113" s="26" t="s">
        <v>193</v>
      </c>
      <c r="G113" s="27">
        <v>91.0595736863079</v>
      </c>
      <c r="H113" s="27">
        <v>88.991868724749395</v>
      </c>
      <c r="I113" s="27">
        <v>3.6</v>
      </c>
      <c r="J113" s="27">
        <v>93.139742399309696</v>
      </c>
      <c r="K113" s="33">
        <v>0.46</v>
      </c>
      <c r="L113" s="32">
        <v>23</v>
      </c>
      <c r="M113" s="33">
        <v>4.6454545454545498E-2</v>
      </c>
      <c r="N113" s="33">
        <v>0.105695652173913</v>
      </c>
      <c r="O113" s="33">
        <v>0.315565217391304</v>
      </c>
      <c r="P113" s="33">
        <v>0.1115</v>
      </c>
      <c r="Q113" s="27">
        <v>89.330815740410102</v>
      </c>
      <c r="R113" s="27">
        <v>0.44546425858068001</v>
      </c>
      <c r="S113" s="32">
        <v>7</v>
      </c>
      <c r="T113" s="25" t="s">
        <v>194</v>
      </c>
    </row>
    <row r="114" spans="1:20" ht="15.5">
      <c r="A114" s="25" t="s">
        <v>195</v>
      </c>
      <c r="B114" s="25" t="s">
        <v>47</v>
      </c>
      <c r="C114" s="25" t="s">
        <v>191</v>
      </c>
      <c r="D114" s="25" t="s">
        <v>28</v>
      </c>
      <c r="E114" s="32">
        <v>1102.5</v>
      </c>
      <c r="F114" s="26" t="s">
        <v>193</v>
      </c>
      <c r="G114" s="27">
        <v>88.073021888303501</v>
      </c>
      <c r="H114" s="27">
        <v>88.443067101561397</v>
      </c>
      <c r="I114" s="27">
        <v>2.7688843363101001</v>
      </c>
      <c r="J114" s="27">
        <v>93.4</v>
      </c>
      <c r="K114" s="33">
        <v>0.58823529411764697</v>
      </c>
      <c r="L114" s="32">
        <v>17</v>
      </c>
      <c r="M114" s="33">
        <v>2.7511764705882302E-2</v>
      </c>
      <c r="N114" s="33">
        <v>0.121317647058824</v>
      </c>
      <c r="O114" s="33">
        <v>0.28461764705882397</v>
      </c>
      <c r="P114" s="33">
        <v>5.0782352941176501E-2</v>
      </c>
      <c r="Q114" s="27">
        <v>88.070422180045995</v>
      </c>
      <c r="R114" s="27">
        <v>0.121476870163945</v>
      </c>
      <c r="S114" s="32">
        <v>4</v>
      </c>
      <c r="T114" s="25" t="s">
        <v>196</v>
      </c>
    </row>
    <row r="115" spans="1:20" ht="15.5">
      <c r="A115" s="25" t="s">
        <v>197</v>
      </c>
      <c r="B115" s="25" t="s">
        <v>22</v>
      </c>
      <c r="C115" s="25" t="s">
        <v>191</v>
      </c>
      <c r="D115" s="25" t="s">
        <v>28</v>
      </c>
      <c r="E115" s="32">
        <v>1102.5</v>
      </c>
      <c r="F115" s="26" t="s">
        <v>193</v>
      </c>
      <c r="G115" s="27">
        <v>92.413673849386001</v>
      </c>
      <c r="H115" s="27">
        <v>90.513232328867204</v>
      </c>
      <c r="I115" s="27">
        <v>3.3998318073416902</v>
      </c>
      <c r="J115" s="27">
        <v>93.5</v>
      </c>
      <c r="K115" s="33">
        <v>0.3</v>
      </c>
      <c r="L115" s="32">
        <v>20</v>
      </c>
      <c r="M115" s="33">
        <v>3.8804999999999999E-2</v>
      </c>
      <c r="N115" s="33">
        <v>0.102705</v>
      </c>
      <c r="O115" s="33">
        <v>0.32850499999999999</v>
      </c>
      <c r="P115" s="33">
        <v>3.7885000000000002E-2</v>
      </c>
      <c r="Q115" s="27">
        <v>87.873112960516593</v>
      </c>
      <c r="R115" s="27">
        <v>1.00288108055795</v>
      </c>
      <c r="S115" s="32">
        <v>16</v>
      </c>
      <c r="T115" s="25" t="s">
        <v>196</v>
      </c>
    </row>
    <row r="116" spans="1:20" ht="15.5">
      <c r="A116" s="25" t="s">
        <v>198</v>
      </c>
      <c r="B116" s="25" t="s">
        <v>22</v>
      </c>
      <c r="C116" s="25" t="s">
        <v>191</v>
      </c>
      <c r="D116" s="25" t="s">
        <v>28</v>
      </c>
      <c r="E116" s="32">
        <v>1102.5</v>
      </c>
      <c r="F116" s="26" t="s">
        <v>193</v>
      </c>
      <c r="G116" s="27">
        <v>89.1983668497965</v>
      </c>
      <c r="H116" s="27">
        <v>88.357363121524699</v>
      </c>
      <c r="I116" s="27">
        <v>4.55380535859471</v>
      </c>
      <c r="J116" s="27">
        <v>94.476170528341299</v>
      </c>
      <c r="K116" s="33">
        <v>0.55000000000000004</v>
      </c>
      <c r="L116" s="32">
        <v>11</v>
      </c>
      <c r="M116" s="33">
        <v>3.6890909090909099E-2</v>
      </c>
      <c r="N116" s="33">
        <v>0.1172</v>
      </c>
      <c r="O116" s="33">
        <v>0.32392727272727301</v>
      </c>
      <c r="P116" s="33">
        <v>7.1172727272727304E-2</v>
      </c>
      <c r="Q116" s="27">
        <v>84.855779151135195</v>
      </c>
      <c r="R116" s="27">
        <v>1.4881900802506001</v>
      </c>
      <c r="S116" s="32">
        <v>9</v>
      </c>
      <c r="T116" s="25" t="s">
        <v>199</v>
      </c>
    </row>
    <row r="117" spans="1:20" ht="15.5">
      <c r="A117" s="25" t="s">
        <v>200</v>
      </c>
      <c r="B117" s="25" t="s">
        <v>47</v>
      </c>
      <c r="C117" s="25" t="s">
        <v>191</v>
      </c>
      <c r="D117" s="25" t="s">
        <v>28</v>
      </c>
      <c r="E117" s="32">
        <v>1102.5</v>
      </c>
      <c r="F117" s="26" t="s">
        <v>193</v>
      </c>
      <c r="G117" s="27">
        <v>91.339349999999996</v>
      </c>
      <c r="H117" s="27">
        <v>90.204200537937894</v>
      </c>
      <c r="I117" s="27">
        <v>2.8296885289363898</v>
      </c>
      <c r="J117" s="27">
        <v>93.977901593670296</v>
      </c>
      <c r="K117" s="33">
        <v>0.35185185185185203</v>
      </c>
      <c r="L117" s="32">
        <v>54</v>
      </c>
      <c r="M117" s="33">
        <v>4.6862745098039199E-2</v>
      </c>
      <c r="N117" s="33">
        <v>9.5222222222222194E-2</v>
      </c>
      <c r="O117" s="33">
        <v>0.339055555555555</v>
      </c>
      <c r="P117" s="33">
        <v>7.22857142857143E-2</v>
      </c>
      <c r="Q117" s="27">
        <v>89.405850791517395</v>
      </c>
      <c r="R117" s="27">
        <v>0.237429095995707</v>
      </c>
      <c r="S117" s="32">
        <v>6</v>
      </c>
      <c r="T117" s="25" t="s">
        <v>66</v>
      </c>
    </row>
    <row r="118" spans="1:20" s="9" customFormat="1" ht="15.5">
      <c r="A118" s="25" t="s">
        <v>201</v>
      </c>
      <c r="B118" s="25" t="s">
        <v>22</v>
      </c>
      <c r="C118" s="25" t="s">
        <v>191</v>
      </c>
      <c r="D118" s="25" t="s">
        <v>28</v>
      </c>
      <c r="E118" s="32">
        <v>1102.5</v>
      </c>
      <c r="F118" s="26" t="s">
        <v>193</v>
      </c>
      <c r="G118" s="27">
        <v>89.570801244338099</v>
      </c>
      <c r="H118" s="27">
        <v>88.5352044474579</v>
      </c>
      <c r="I118" s="27">
        <v>3.5277809500033199</v>
      </c>
      <c r="J118" s="27">
        <v>93.990437307543104</v>
      </c>
      <c r="K118" s="33">
        <v>0.59</v>
      </c>
      <c r="L118" s="32">
        <v>17</v>
      </c>
      <c r="M118" s="33">
        <v>6.6147058823529406E-2</v>
      </c>
      <c r="N118" s="33">
        <v>0.118152941176471</v>
      </c>
      <c r="O118" s="33">
        <v>0.33847058823529402</v>
      </c>
      <c r="P118" s="33">
        <v>7.7247058823529405E-2</v>
      </c>
      <c r="Q118" s="27">
        <v>87.535304212559197</v>
      </c>
      <c r="R118" s="27">
        <v>1.3266306069367999</v>
      </c>
      <c r="S118" s="32">
        <v>9</v>
      </c>
      <c r="T118" s="25" t="s">
        <v>199</v>
      </c>
    </row>
    <row r="119" spans="1:20" ht="15.5">
      <c r="A119" s="25" t="s">
        <v>202</v>
      </c>
      <c r="B119" s="25" t="s">
        <v>47</v>
      </c>
      <c r="C119" s="25" t="s">
        <v>191</v>
      </c>
      <c r="D119" s="25" t="s">
        <v>28</v>
      </c>
      <c r="E119" s="32">
        <v>1102.5</v>
      </c>
      <c r="F119" s="26" t="s">
        <v>193</v>
      </c>
      <c r="G119" s="27">
        <v>85</v>
      </c>
      <c r="H119" s="27">
        <v>87.7777777777778</v>
      </c>
      <c r="I119" s="27">
        <v>4.3811464760316401</v>
      </c>
      <c r="J119" s="27">
        <v>93</v>
      </c>
      <c r="K119" s="33">
        <v>0.56000000000000005</v>
      </c>
      <c r="L119" s="32">
        <v>9</v>
      </c>
      <c r="M119" s="33">
        <v>4.33333333333333E-2</v>
      </c>
      <c r="N119" s="33">
        <v>0.11777777777777799</v>
      </c>
      <c r="O119" s="33">
        <v>0.35</v>
      </c>
      <c r="P119" s="33">
        <v>9.3333333333333296E-2</v>
      </c>
      <c r="Q119" s="27">
        <v>86.822020261156993</v>
      </c>
      <c r="R119" s="27">
        <v>0.35392637848097303</v>
      </c>
      <c r="S119" s="32">
        <v>2</v>
      </c>
      <c r="T119" s="25" t="s">
        <v>203</v>
      </c>
    </row>
    <row r="120" spans="1:20" ht="15.5">
      <c r="A120" s="25" t="s">
        <v>204</v>
      </c>
      <c r="B120" s="25" t="s">
        <v>22</v>
      </c>
      <c r="C120" s="25" t="s">
        <v>191</v>
      </c>
      <c r="D120" s="25" t="s">
        <v>28</v>
      </c>
      <c r="E120" s="32">
        <v>62.3</v>
      </c>
      <c r="F120" s="26" t="s">
        <v>205</v>
      </c>
      <c r="G120" s="27">
        <v>88.908834418414102</v>
      </c>
      <c r="H120" s="27">
        <v>89.759941336098706</v>
      </c>
      <c r="I120" s="27">
        <v>2.2585776878116102</v>
      </c>
      <c r="J120" s="27">
        <v>92.9244782016589</v>
      </c>
      <c r="K120" s="33">
        <v>0.53</v>
      </c>
      <c r="L120" s="32">
        <v>15</v>
      </c>
      <c r="M120" s="33">
        <v>2.44333333333333E-2</v>
      </c>
      <c r="N120" s="33">
        <v>0.100173333333333</v>
      </c>
      <c r="O120" s="33">
        <v>0.35816666666666702</v>
      </c>
      <c r="P120" s="33">
        <v>4.7160000000000001E-2</v>
      </c>
      <c r="Q120" s="27">
        <v>90.355938058837395</v>
      </c>
      <c r="R120" s="27">
        <v>0.91198255418878604</v>
      </c>
      <c r="S120" s="32">
        <v>17</v>
      </c>
      <c r="T120" s="25" t="s">
        <v>199</v>
      </c>
    </row>
    <row r="121" spans="1:20" ht="15.5">
      <c r="A121" s="25" t="s">
        <v>206</v>
      </c>
      <c r="B121" s="25" t="s">
        <v>22</v>
      </c>
      <c r="C121" s="25" t="s">
        <v>191</v>
      </c>
      <c r="D121" s="25" t="s">
        <v>28</v>
      </c>
      <c r="E121" s="32">
        <v>65</v>
      </c>
      <c r="F121" s="26" t="s">
        <v>205</v>
      </c>
      <c r="G121" s="27">
        <v>92.171330795567897</v>
      </c>
      <c r="H121" s="27">
        <v>91.858808325987994</v>
      </c>
      <c r="I121" s="27">
        <v>0.98036134484455695</v>
      </c>
      <c r="J121" s="27">
        <v>92.769967452710802</v>
      </c>
      <c r="K121" s="33">
        <v>0</v>
      </c>
      <c r="L121" s="32">
        <v>6</v>
      </c>
      <c r="M121" s="33">
        <v>2.62333333333333E-2</v>
      </c>
      <c r="N121" s="33">
        <v>9.1366666666666693E-2</v>
      </c>
      <c r="O121" s="33">
        <v>0.34839999999999999</v>
      </c>
      <c r="P121" s="33">
        <v>2.29833333333333E-2</v>
      </c>
      <c r="Q121" s="27">
        <v>88.925974766721396</v>
      </c>
      <c r="R121" s="27">
        <v>0.58804608441911699</v>
      </c>
      <c r="S121" s="32">
        <v>5</v>
      </c>
      <c r="T121" s="25" t="s">
        <v>199</v>
      </c>
    </row>
    <row r="122" spans="1:20" s="3" customFormat="1" ht="15.5">
      <c r="A122" s="24"/>
      <c r="B122" s="25"/>
      <c r="C122" s="25"/>
      <c r="D122" s="25"/>
      <c r="E122" s="32"/>
      <c r="F122" s="26"/>
      <c r="G122" s="27"/>
      <c r="H122" s="27"/>
      <c r="I122" s="27"/>
      <c r="J122" s="27"/>
      <c r="K122" s="33"/>
      <c r="L122" s="32"/>
      <c r="M122" s="33"/>
      <c r="N122" s="33"/>
      <c r="O122" s="33"/>
      <c r="P122" s="33"/>
      <c r="Q122" s="27"/>
      <c r="R122" s="27"/>
      <c r="S122" s="32"/>
      <c r="T122" s="25"/>
    </row>
    <row r="123" spans="1:20" s="3" customFormat="1" ht="15.5">
      <c r="A123" s="24" t="s">
        <v>207</v>
      </c>
      <c r="B123" s="25"/>
      <c r="C123" s="25"/>
      <c r="D123" s="25"/>
      <c r="E123" s="32"/>
      <c r="F123" s="26"/>
      <c r="G123" s="27"/>
      <c r="H123" s="27"/>
      <c r="I123" s="27"/>
      <c r="J123" s="27"/>
      <c r="K123" s="33"/>
      <c r="L123" s="32"/>
      <c r="M123" s="33"/>
      <c r="N123" s="33"/>
      <c r="O123" s="33"/>
      <c r="P123" s="33"/>
      <c r="Q123" s="27"/>
      <c r="R123" s="27"/>
      <c r="S123" s="32"/>
      <c r="T123" s="25"/>
    </row>
    <row r="124" spans="1:20" s="3" customFormat="1" ht="15.5">
      <c r="A124" s="25" t="s">
        <v>208</v>
      </c>
      <c r="B124" s="25" t="s">
        <v>22</v>
      </c>
      <c r="C124" s="25" t="s">
        <v>209</v>
      </c>
      <c r="D124" s="25" t="s">
        <v>24</v>
      </c>
      <c r="E124" s="32">
        <v>22</v>
      </c>
      <c r="F124" s="26" t="s">
        <v>210</v>
      </c>
      <c r="G124" s="27">
        <v>90.968743675730906</v>
      </c>
      <c r="H124" s="27">
        <v>90.9293678872112</v>
      </c>
      <c r="I124" s="27">
        <v>0.40765535920108398</v>
      </c>
      <c r="J124" s="27">
        <v>91.523803507248203</v>
      </c>
      <c r="K124" s="33">
        <v>0</v>
      </c>
      <c r="L124" s="32">
        <v>9</v>
      </c>
      <c r="M124" s="33">
        <v>2.8888888888888901E-2</v>
      </c>
      <c r="N124" s="33">
        <v>0.10666666666666701</v>
      </c>
      <c r="O124" s="33">
        <v>0.405555555555556</v>
      </c>
      <c r="P124" s="33">
        <v>6.22222222222222E-2</v>
      </c>
      <c r="Q124" s="27">
        <v>91.186499967446395</v>
      </c>
      <c r="R124" s="27">
        <v>0.65625671307352196</v>
      </c>
      <c r="S124" s="32">
        <v>48</v>
      </c>
      <c r="T124" s="25" t="s">
        <v>211</v>
      </c>
    </row>
    <row r="125" spans="1:20" s="3" customFormat="1" ht="15.5">
      <c r="A125" s="25" t="s">
        <v>212</v>
      </c>
      <c r="B125" s="25" t="s">
        <v>22</v>
      </c>
      <c r="C125" s="25" t="s">
        <v>209</v>
      </c>
      <c r="D125" s="25" t="s">
        <v>24</v>
      </c>
      <c r="E125" s="32">
        <v>22</v>
      </c>
      <c r="F125" s="26" t="s">
        <v>210</v>
      </c>
      <c r="G125" s="27">
        <v>91.203205748589696</v>
      </c>
      <c r="H125" s="27">
        <v>91.239786741700499</v>
      </c>
      <c r="I125" s="27">
        <v>0.54795527595279603</v>
      </c>
      <c r="J125" s="27">
        <v>92.5553574339243</v>
      </c>
      <c r="K125" s="33">
        <v>0</v>
      </c>
      <c r="L125" s="32">
        <v>26</v>
      </c>
      <c r="M125" s="33">
        <v>4.2307692307692303E-2</v>
      </c>
      <c r="N125" s="33">
        <v>0.104615384615385</v>
      </c>
      <c r="O125" s="33">
        <v>0.41923076923076902</v>
      </c>
      <c r="P125" s="33">
        <v>5.1153846153846202E-2</v>
      </c>
      <c r="Q125" s="27">
        <v>91.177697322766605</v>
      </c>
      <c r="R125" s="27">
        <v>0.73142547956394299</v>
      </c>
      <c r="S125" s="32">
        <v>50</v>
      </c>
      <c r="T125" s="25" t="s">
        <v>211</v>
      </c>
    </row>
    <row r="126" spans="1:20" s="3" customFormat="1" ht="15.5">
      <c r="A126" s="25" t="s">
        <v>213</v>
      </c>
      <c r="B126" s="25" t="s">
        <v>22</v>
      </c>
      <c r="C126" s="25" t="s">
        <v>209</v>
      </c>
      <c r="D126" s="25" t="s">
        <v>24</v>
      </c>
      <c r="E126" s="32">
        <v>22</v>
      </c>
      <c r="F126" s="26" t="s">
        <v>210</v>
      </c>
      <c r="G126" s="27">
        <v>91.364612154322302</v>
      </c>
      <c r="H126" s="27">
        <v>91.095025539121806</v>
      </c>
      <c r="I126" s="27">
        <v>0.78506221822298095</v>
      </c>
      <c r="J126" s="27">
        <v>92.514241319185203</v>
      </c>
      <c r="K126" s="33">
        <v>0.15</v>
      </c>
      <c r="L126" s="32">
        <v>33</v>
      </c>
      <c r="M126" s="33">
        <v>3.5454545454545502E-2</v>
      </c>
      <c r="N126" s="33">
        <v>0.102424242424242</v>
      </c>
      <c r="O126" s="33">
        <v>0.40636363636363598</v>
      </c>
      <c r="P126" s="33">
        <v>0.05</v>
      </c>
      <c r="Q126" s="27">
        <v>91.887925151144103</v>
      </c>
      <c r="R126" s="27">
        <v>0.66755050687723005</v>
      </c>
      <c r="S126" s="32">
        <v>63</v>
      </c>
      <c r="T126" s="25" t="s">
        <v>211</v>
      </c>
    </row>
    <row r="127" spans="1:20" ht="15.5">
      <c r="A127" s="25" t="s">
        <v>214</v>
      </c>
      <c r="B127" s="25" t="s">
        <v>22</v>
      </c>
      <c r="C127" s="25" t="s">
        <v>209</v>
      </c>
      <c r="D127" s="25" t="s">
        <v>24</v>
      </c>
      <c r="E127" s="32">
        <v>22</v>
      </c>
      <c r="F127" s="26" t="s">
        <v>210</v>
      </c>
      <c r="G127" s="27">
        <v>91.224334993054697</v>
      </c>
      <c r="H127" s="27">
        <v>91.230683292784306</v>
      </c>
      <c r="I127" s="27">
        <v>0.28715751326455302</v>
      </c>
      <c r="J127" s="27">
        <v>91.870701526888993</v>
      </c>
      <c r="K127" s="33">
        <v>0</v>
      </c>
      <c r="L127" s="32">
        <v>16</v>
      </c>
      <c r="M127" s="33">
        <v>2.8750000000000001E-2</v>
      </c>
      <c r="N127" s="33">
        <v>0.105625</v>
      </c>
      <c r="O127" s="33">
        <v>0.40625</v>
      </c>
      <c r="P127" s="33">
        <v>4.4374999999999998E-2</v>
      </c>
      <c r="Q127" s="27">
        <v>91.057573350798904</v>
      </c>
      <c r="R127" s="27">
        <v>0.62844373339419901</v>
      </c>
      <c r="S127" s="32">
        <v>50</v>
      </c>
      <c r="T127" s="25" t="s">
        <v>211</v>
      </c>
    </row>
    <row r="128" spans="1:20" ht="15.5">
      <c r="A128" s="25" t="s">
        <v>215</v>
      </c>
      <c r="B128" s="25" t="s">
        <v>22</v>
      </c>
      <c r="C128" s="25" t="s">
        <v>209</v>
      </c>
      <c r="D128" s="25" t="s">
        <v>24</v>
      </c>
      <c r="E128" s="32"/>
      <c r="F128" s="26"/>
      <c r="G128" s="27">
        <v>92.387285018078899</v>
      </c>
      <c r="H128" s="27">
        <v>92.145352584879504</v>
      </c>
      <c r="I128" s="27">
        <v>0.52511350021343295</v>
      </c>
      <c r="J128" s="27">
        <v>92.915034186064403</v>
      </c>
      <c r="K128" s="33">
        <v>0</v>
      </c>
      <c r="L128" s="32">
        <v>9</v>
      </c>
      <c r="M128" s="33">
        <v>6.6666666666666697E-3</v>
      </c>
      <c r="N128" s="33">
        <v>0.10222222222222201</v>
      </c>
      <c r="O128" s="33">
        <v>0.40111111111111097</v>
      </c>
      <c r="P128" s="33">
        <v>3.3333333333333298E-2</v>
      </c>
      <c r="Q128" s="27">
        <v>91.783280995858902</v>
      </c>
      <c r="R128" s="27">
        <v>0.38725785283472902</v>
      </c>
      <c r="S128" s="32">
        <v>41</v>
      </c>
      <c r="T128" s="25" t="s">
        <v>211</v>
      </c>
    </row>
    <row r="129" spans="1:20" ht="15.5">
      <c r="A129" s="16"/>
      <c r="B129" s="17"/>
      <c r="C129" s="17"/>
      <c r="D129" s="17"/>
      <c r="E129" s="17"/>
      <c r="F129" s="18"/>
      <c r="G129" s="38"/>
      <c r="H129" s="39"/>
      <c r="I129" s="38"/>
      <c r="J129" s="38"/>
      <c r="K129" s="38"/>
      <c r="L129" s="30"/>
      <c r="M129" s="38"/>
      <c r="N129" s="38"/>
      <c r="O129" s="38"/>
      <c r="P129" s="38"/>
      <c r="Q129" s="39"/>
      <c r="R129" s="38"/>
      <c r="S129" s="30"/>
      <c r="T129" s="40"/>
    </row>
    <row r="130" spans="1:20" ht="15.5">
      <c r="A130" s="16"/>
      <c r="B130" s="17"/>
      <c r="C130" s="17"/>
      <c r="D130" s="17"/>
      <c r="E130" s="35"/>
      <c r="F130" s="18"/>
      <c r="G130" s="38"/>
      <c r="H130" s="39"/>
      <c r="I130" s="38"/>
      <c r="J130" s="38"/>
      <c r="K130" s="30"/>
      <c r="L130" s="30"/>
      <c r="M130" s="19"/>
      <c r="N130" s="19"/>
      <c r="O130" s="19"/>
      <c r="P130" s="19"/>
      <c r="Q130" s="39"/>
      <c r="R130" s="38"/>
      <c r="S130" s="30"/>
      <c r="T130" s="36"/>
    </row>
  </sheetData>
  <mergeCells count="2">
    <mergeCell ref="G2:J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2024-11-22T02:27:26Z</dcterms:created>
  <dcterms:modified xsi:type="dcterms:W3CDTF">2026-03-24T08:55:10Z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EE057EABF25948BE8C11D0E7F90B75C6_11</vt:lpwstr>
  </property>
  <property fmtid="{D5CDD505-2E9C-101B-9397-08002B2CF9AE}" pid="3" name="KSOProductBuildVer">
    <vt:lpwstr>2052-12.1.0.18608</vt:lpwstr>
  </property>
</Properties>
</file>