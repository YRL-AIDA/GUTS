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10 summary version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1" l="1"/>
  <c r="F27" i="1"/>
  <c r="D27" i="1"/>
  <c r="G26" i="1"/>
  <c r="F26" i="1"/>
  <c r="E26" i="1"/>
  <c r="D26" i="1"/>
  <c r="B26" i="1"/>
  <c r="H25" i="1"/>
  <c r="G25" i="1"/>
  <c r="F25" i="1"/>
  <c r="E25" i="1"/>
  <c r="D25" i="1"/>
  <c r="C25" i="1"/>
  <c r="C27" i="1" s="1"/>
  <c r="B25" i="1"/>
  <c r="B27" i="1" s="1"/>
  <c r="I24" i="1"/>
  <c r="I23" i="1"/>
  <c r="I22" i="1"/>
  <c r="I21" i="1"/>
  <c r="I20" i="1"/>
  <c r="I19" i="1"/>
  <c r="I17" i="1"/>
  <c r="I16" i="1"/>
  <c r="I15" i="1"/>
  <c r="I14" i="1"/>
  <c r="I13" i="1"/>
  <c r="I12" i="1"/>
  <c r="I11" i="1"/>
  <c r="I10" i="1"/>
  <c r="I9" i="1"/>
  <c r="I8" i="1"/>
  <c r="F28" i="1" l="1"/>
  <c r="I25" i="1"/>
  <c r="C26" i="1"/>
  <c r="H27" i="1"/>
  <c r="C28" i="1"/>
  <c r="H26" i="1"/>
  <c r="D28" i="1" l="1"/>
  <c r="I26" i="1"/>
  <c r="E28" i="1"/>
  <c r="B28" i="1"/>
  <c r="I27" i="1"/>
  <c r="I28" i="1"/>
  <c r="H28" i="1"/>
  <c r="G28" i="1"/>
</calcChain>
</file>

<file path=xl/sharedStrings.xml><?xml version="1.0" encoding="utf-8"?>
<sst xmlns="http://schemas.openxmlformats.org/spreadsheetml/2006/main" count="80" uniqueCount="40">
  <si>
    <t>Table 10 Scientific procedures (toxicology) by species of animal and type of legislation</t>
  </si>
  <si>
    <t>Summary version</t>
  </si>
  <si>
    <t>Note. For numbers of procedures by purpose, see full table available on the website</t>
  </si>
  <si>
    <t>Great Britain 2011</t>
  </si>
  <si>
    <t>Number of procedures</t>
  </si>
  <si>
    <t>Species of animal</t>
  </si>
  <si>
    <t>UK requirements only</t>
  </si>
  <si>
    <t>One EU country only (not UK)</t>
  </si>
  <si>
    <t>EU requirements, incl. European Pharmacopoeia</t>
  </si>
  <si>
    <t xml:space="preserve">Requirements of (non-EU) Council of Europe </t>
  </si>
  <si>
    <t>Requirements of other countries</t>
  </si>
  <si>
    <t>Any combination of legislative requirements</t>
  </si>
  <si>
    <t>Non-legislative purposes</t>
  </si>
  <si>
    <t>Total</t>
  </si>
  <si>
    <t>Mammal</t>
  </si>
  <si>
    <t xml:space="preserve">  Mouse</t>
  </si>
  <si>
    <t xml:space="preserve">  Rat</t>
  </si>
  <si>
    <t>-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</si>
  <si>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</si>
  <si>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</si>
  <si>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</si>
  <si>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</si>
  <si>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</si>
  <si>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</si>
  <si>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</si>
  <si>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Pigs, sheep &amp; all other ungulates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</si>
  <si>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</si>
  <si>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</si>
  <si>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</si>
  <si>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</si>
  <si>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</si>
  <si>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 / Amphibian</t>
  </si>
  <si>
    <t>Fish</t>
  </si>
  <si>
    <t xml:space="preserve">Total </t>
  </si>
  <si>
    <t>Increase on 2010</t>
  </si>
  <si>
    <t>Percentage change from 2010</t>
  </si>
  <si>
    <t>N/A</t>
  </si>
  <si>
    <t>Percentage of total for 2011</t>
  </si>
  <si>
    <t>2010 Totals</t>
  </si>
  <si>
    <t>N/A =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</si>
</sst>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_-;\-* #,##0_-;_-* &quot;-&quot;_-;_-@_-"/>
    <numFmt numFmtId="165" formatCode="#,##0_ ;[Red]\-#,##0\ "/>
    <numFmt numFmtId="166" formatCode="0%;[Red]\-0%"/>
    <numFmt numFmtId="167" formatCode="0.0%"/>
    <numFmt numFmtId="168" formatCode="0.0%;[Red]\-0.0%"/>
  </numFmts>
  <fonts count="11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4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4" fillId="0" borderId="0" xfId="0" applyFont="1"/>
    <xf numFmtId="0" fontId="4" fillId="0" borderId="0" xfId="0" applyFont="1" applyBorder="1"/>
    <xf numFmtId="0" fontId="6" fillId="0" borderId="0" xfId="2" applyFont="1"/>
    <xf numFmtId="0" fontId="5" fillId="0" borderId="0" xfId="0" applyFont="1" applyBorder="1"/>
    <xf numFmtId="0" fontId="6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top"/>
    </xf>
    <xf numFmtId="0" fontId="5" fillId="0" borderId="4" xfId="0" applyFont="1" applyBorder="1"/>
    <xf numFmtId="0" fontId="7" fillId="0" borderId="5" xfId="0" applyFont="1" applyFill="1" applyBorder="1" applyAlignment="1">
      <alignment horizontal="right" vertical="top" wrapText="1"/>
    </xf>
    <xf numFmtId="0" fontId="8" fillId="0" borderId="5" xfId="0" applyFont="1" applyFill="1" applyBorder="1" applyAlignment="1">
      <alignment horizontal="right" vertical="top"/>
    </xf>
    <xf numFmtId="0" fontId="6" fillId="3" borderId="5" xfId="0" applyFont="1" applyFill="1" applyBorder="1" applyAlignment="1"/>
    <xf numFmtId="164" fontId="6" fillId="3" borderId="5" xfId="0" applyNumberFormat="1" applyFont="1" applyFill="1" applyBorder="1" applyAlignment="1">
      <alignment horizontal="right"/>
    </xf>
    <xf numFmtId="164" fontId="5" fillId="3" borderId="5" xfId="0" applyNumberFormat="1" applyFont="1" applyFill="1" applyBorder="1" applyAlignment="1">
      <alignment horizontal="right"/>
    </xf>
    <xf numFmtId="0" fontId="9" fillId="0" borderId="0" xfId="0" applyFont="1" applyAlignment="1"/>
    <xf numFmtId="0" fontId="6" fillId="0" borderId="5" xfId="0" applyFont="1" applyBorder="1" applyAlignment="1"/>
    <xf numFmtId="164" fontId="6" fillId="0" borderId="5" xfId="0" applyNumberFormat="1" applyFont="1" applyFill="1" applyBorder="1" applyAlignment="1">
      <alignment horizontal="right"/>
    </xf>
    <xf numFmtId="164" fontId="5" fillId="0" borderId="5" xfId="0" applyNumberFormat="1" applyFont="1" applyFill="1" applyBorder="1" applyAlignment="1">
      <alignment horizontal="right"/>
    </xf>
    <xf numFmtId="0" fontId="6" fillId="0" borderId="5" xfId="0" applyFont="1" applyFill="1" applyBorder="1" applyAlignment="1"/>
    <xf numFmtId="0" fontId="6" fillId="0" borderId="5" xfId="0" applyFont="1" applyBorder="1" applyAlignment="1">
      <alignment wrapText="1"/>
    </xf>
    <xf numFmtId="0" fontId="5" fillId="3" borderId="5" xfId="0" applyFont="1" applyFill="1" applyBorder="1" applyAlignment="1"/>
    <xf numFmtId="0" fontId="6" fillId="0" borderId="5" xfId="0" applyFont="1" applyFill="1" applyBorder="1"/>
    <xf numFmtId="0" fontId="0" fillId="0" borderId="0" xfId="0" applyFill="1"/>
    <xf numFmtId="0" fontId="6" fillId="3" borderId="5" xfId="0" applyFont="1" applyFill="1" applyBorder="1"/>
    <xf numFmtId="0" fontId="5" fillId="0" borderId="5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164" fontId="6" fillId="3" borderId="6" xfId="0" applyNumberFormat="1" applyFont="1" applyFill="1" applyBorder="1" applyAlignment="1">
      <alignment horizontal="right"/>
    </xf>
    <xf numFmtId="164" fontId="5" fillId="3" borderId="6" xfId="0" applyNumberFormat="1" applyFont="1" applyFill="1" applyBorder="1" applyAlignment="1">
      <alignment horizontal="right"/>
    </xf>
    <xf numFmtId="164" fontId="5" fillId="2" borderId="6" xfId="0" applyNumberFormat="1" applyFont="1" applyFill="1" applyBorder="1"/>
    <xf numFmtId="164" fontId="5" fillId="2" borderId="2" xfId="0" applyNumberFormat="1" applyFont="1" applyFill="1" applyBorder="1"/>
    <xf numFmtId="165" fontId="6" fillId="0" borderId="2" xfId="0" applyNumberFormat="1" applyFont="1" applyFill="1" applyBorder="1" applyAlignment="1">
      <alignment horizontal="right" vertical="center"/>
    </xf>
    <xf numFmtId="166" fontId="10" fillId="0" borderId="2" xfId="0" applyNumberFormat="1" applyFont="1" applyFill="1" applyBorder="1" applyAlignment="1">
      <alignment horizontal="right" vertical="center"/>
    </xf>
    <xf numFmtId="164" fontId="6" fillId="0" borderId="0" xfId="0" applyNumberFormat="1" applyFont="1" applyAlignment="1">
      <alignment horizontal="right"/>
    </xf>
    <xf numFmtId="9" fontId="6" fillId="0" borderId="2" xfId="1" applyNumberFormat="1" applyFont="1" applyBorder="1" applyAlignment="1">
      <alignment horizontal="right" vertical="center"/>
    </xf>
    <xf numFmtId="167" fontId="6" fillId="0" borderId="2" xfId="1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left"/>
    </xf>
    <xf numFmtId="165" fontId="6" fillId="0" borderId="7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top"/>
    </xf>
    <xf numFmtId="0" fontId="9" fillId="0" borderId="0" xfId="0" applyFont="1"/>
    <xf numFmtId="0" fontId="9" fillId="0" borderId="0" xfId="0" applyFont="1" applyFill="1"/>
    <xf numFmtId="168" fontId="0" fillId="0" borderId="0" xfId="0" applyNumberFormat="1"/>
    <xf numFmtId="0" fontId="2" fillId="4" borderId="0" xfId="0" applyFont="1" applyFill="1" applyBorder="1" applyAlignment="1">
      <alignment vertical="top"/>
    </xf>
    <xf numFmtId="0" fontId="5" fillId="4" borderId="0" xfId="0" applyFont="1" applyFill="1"/>
    <xf numFmtId="0" fontId="6" fillId="4" borderId="0" xfId="2" applyFont="1" applyFill="1"/>
    <xf numFmtId="164" fontId="6" fillId="4" borderId="0" xfId="0" applyNumberFormat="1" applyFont="1" applyFill="1"/>
    <xf numFmtId="0" fontId="5" fillId="5" borderId="0" xfId="0" applyFont="1" applyFill="1" applyBorder="1" applyAlignment="1">
      <alignment horizontal="right"/>
    </xf>
    <xf numFmtId="0" fontId="5" fillId="5" borderId="1" xfId="0" applyFont="1" applyFill="1" applyBorder="1" applyAlignment="1">
      <alignment vertical="top"/>
    </xf>
    <xf numFmtId="0" fontId="5" fillId="6" borderId="1" xfId="0" applyFont="1" applyFill="1" applyBorder="1" applyAlignment="1"/>
    <xf numFmtId="0" fontId="6" fillId="6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left"/>
    </xf>
    <xf numFmtId="0" fontId="5" fillId="0" borderId="0" xfId="0" applyFont="1" applyFill="1"/>
    <xf numFmtId="0" fontId="5" fillId="0" borderId="0" xfId="0" applyFont="1" applyFill="1" applyBorder="1" applyAlignment="1">
      <alignment horizontal="right"/>
    </xf>
  </cellXfs>
  <cellStyles count="3">
    <cellStyle name="Normal_newtab3 (4)_1" xfId="2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L66"/>
  <sheetViews>
    <sheetView tabSelected="1" zoomScale="55" zoomScaleNormal="55" workbookViewId="0"/>
  </sheetViews>
  <sheetFormatPr defaultRowHeight="12.5"/>
  <cols>
    <col min="1" max="1" width="40.08984375" customWidth="1"/>
    <col min="2" max="2" width="24" customWidth="1"/>
    <col min="3" max="9" width="19.36328125" customWidth="1"/>
    <col min="12" max="12" width="10.36328125" bestFit="1" customWidth="1"/>
    <col min="257" max="257" width="40.08984375" customWidth="1"/>
    <col min="258" max="258" width="24" customWidth="1"/>
    <col min="259" max="265" width="19.36328125" customWidth="1"/>
    <col min="268" max="268" width="10.36328125" bestFit="1" customWidth="1"/>
    <col min="513" max="513" width="40.08984375" customWidth="1"/>
    <col min="514" max="514" width="24" customWidth="1"/>
    <col min="515" max="521" width="19.36328125" customWidth="1"/>
    <col min="524" max="524" width="10.36328125" bestFit="1" customWidth="1"/>
    <col min="769" max="769" width="40.08984375" customWidth="1"/>
    <col min="770" max="770" width="24" customWidth="1"/>
    <col min="771" max="777" width="19.36328125" customWidth="1"/>
    <col min="780" max="780" width="10.36328125" bestFit="1" customWidth="1"/>
    <col min="1025" max="1025" width="40.08984375" customWidth="1"/>
    <col min="1026" max="1026" width="24" customWidth="1"/>
    <col min="1027" max="1033" width="19.36328125" customWidth="1"/>
    <col min="1036" max="1036" width="10.36328125" bestFit="1" customWidth="1"/>
    <col min="1281" max="1281" width="40.08984375" customWidth="1"/>
    <col min="1282" max="1282" width="24" customWidth="1"/>
    <col min="1283" max="1289" width="19.36328125" customWidth="1"/>
    <col min="1292" max="1292" width="10.36328125" bestFit="1" customWidth="1"/>
    <col min="1537" max="1537" width="40.08984375" customWidth="1"/>
    <col min="1538" max="1538" width="24" customWidth="1"/>
    <col min="1539" max="1545" width="19.36328125" customWidth="1"/>
    <col min="1548" max="1548" width="10.36328125" bestFit="1" customWidth="1"/>
    <col min="1793" max="1793" width="40.08984375" customWidth="1"/>
    <col min="1794" max="1794" width="24" customWidth="1"/>
    <col min="1795" max="1801" width="19.36328125" customWidth="1"/>
    <col min="1804" max="1804" width="10.36328125" bestFit="1" customWidth="1"/>
    <col min="2049" max="2049" width="40.08984375" customWidth="1"/>
    <col min="2050" max="2050" width="24" customWidth="1"/>
    <col min="2051" max="2057" width="19.36328125" customWidth="1"/>
    <col min="2060" max="2060" width="10.36328125" bestFit="1" customWidth="1"/>
    <col min="2305" max="2305" width="40.08984375" customWidth="1"/>
    <col min="2306" max="2306" width="24" customWidth="1"/>
    <col min="2307" max="2313" width="19.36328125" customWidth="1"/>
    <col min="2316" max="2316" width="10.36328125" bestFit="1" customWidth="1"/>
    <col min="2561" max="2561" width="40.08984375" customWidth="1"/>
    <col min="2562" max="2562" width="24" customWidth="1"/>
    <col min="2563" max="2569" width="19.36328125" customWidth="1"/>
    <col min="2572" max="2572" width="10.36328125" bestFit="1" customWidth="1"/>
    <col min="2817" max="2817" width="40.08984375" customWidth="1"/>
    <col min="2818" max="2818" width="24" customWidth="1"/>
    <col min="2819" max="2825" width="19.36328125" customWidth="1"/>
    <col min="2828" max="2828" width="10.36328125" bestFit="1" customWidth="1"/>
    <col min="3073" max="3073" width="40.08984375" customWidth="1"/>
    <col min="3074" max="3074" width="24" customWidth="1"/>
    <col min="3075" max="3081" width="19.36328125" customWidth="1"/>
    <col min="3084" max="3084" width="10.36328125" bestFit="1" customWidth="1"/>
    <col min="3329" max="3329" width="40.08984375" customWidth="1"/>
    <col min="3330" max="3330" width="24" customWidth="1"/>
    <col min="3331" max="3337" width="19.36328125" customWidth="1"/>
    <col min="3340" max="3340" width="10.36328125" bestFit="1" customWidth="1"/>
    <col min="3585" max="3585" width="40.08984375" customWidth="1"/>
    <col min="3586" max="3586" width="24" customWidth="1"/>
    <col min="3587" max="3593" width="19.36328125" customWidth="1"/>
    <col min="3596" max="3596" width="10.36328125" bestFit="1" customWidth="1"/>
    <col min="3841" max="3841" width="40.08984375" customWidth="1"/>
    <col min="3842" max="3842" width="24" customWidth="1"/>
    <col min="3843" max="3849" width="19.36328125" customWidth="1"/>
    <col min="3852" max="3852" width="10.36328125" bestFit="1" customWidth="1"/>
    <col min="4097" max="4097" width="40.08984375" customWidth="1"/>
    <col min="4098" max="4098" width="24" customWidth="1"/>
    <col min="4099" max="4105" width="19.36328125" customWidth="1"/>
    <col min="4108" max="4108" width="10.36328125" bestFit="1" customWidth="1"/>
    <col min="4353" max="4353" width="40.08984375" customWidth="1"/>
    <col min="4354" max="4354" width="24" customWidth="1"/>
    <col min="4355" max="4361" width="19.36328125" customWidth="1"/>
    <col min="4364" max="4364" width="10.36328125" bestFit="1" customWidth="1"/>
    <col min="4609" max="4609" width="40.08984375" customWidth="1"/>
    <col min="4610" max="4610" width="24" customWidth="1"/>
    <col min="4611" max="4617" width="19.36328125" customWidth="1"/>
    <col min="4620" max="4620" width="10.36328125" bestFit="1" customWidth="1"/>
    <col min="4865" max="4865" width="40.08984375" customWidth="1"/>
    <col min="4866" max="4866" width="24" customWidth="1"/>
    <col min="4867" max="4873" width="19.36328125" customWidth="1"/>
    <col min="4876" max="4876" width="10.36328125" bestFit="1" customWidth="1"/>
    <col min="5121" max="5121" width="40.08984375" customWidth="1"/>
    <col min="5122" max="5122" width="24" customWidth="1"/>
    <col min="5123" max="5129" width="19.36328125" customWidth="1"/>
    <col min="5132" max="5132" width="10.36328125" bestFit="1" customWidth="1"/>
    <col min="5377" max="5377" width="40.08984375" customWidth="1"/>
    <col min="5378" max="5378" width="24" customWidth="1"/>
    <col min="5379" max="5385" width="19.36328125" customWidth="1"/>
    <col min="5388" max="5388" width="10.36328125" bestFit="1" customWidth="1"/>
    <col min="5633" max="5633" width="40.08984375" customWidth="1"/>
    <col min="5634" max="5634" width="24" customWidth="1"/>
    <col min="5635" max="5641" width="19.36328125" customWidth="1"/>
    <col min="5644" max="5644" width="10.36328125" bestFit="1" customWidth="1"/>
    <col min="5889" max="5889" width="40.08984375" customWidth="1"/>
    <col min="5890" max="5890" width="24" customWidth="1"/>
    <col min="5891" max="5897" width="19.36328125" customWidth="1"/>
    <col min="5900" max="5900" width="10.36328125" bestFit="1" customWidth="1"/>
    <col min="6145" max="6145" width="40.08984375" customWidth="1"/>
    <col min="6146" max="6146" width="24" customWidth="1"/>
    <col min="6147" max="6153" width="19.36328125" customWidth="1"/>
    <col min="6156" max="6156" width="10.36328125" bestFit="1" customWidth="1"/>
    <col min="6401" max="6401" width="40.08984375" customWidth="1"/>
    <col min="6402" max="6402" width="24" customWidth="1"/>
    <col min="6403" max="6409" width="19.36328125" customWidth="1"/>
    <col min="6412" max="6412" width="10.36328125" bestFit="1" customWidth="1"/>
    <col min="6657" max="6657" width="40.08984375" customWidth="1"/>
    <col min="6658" max="6658" width="24" customWidth="1"/>
    <col min="6659" max="6665" width="19.36328125" customWidth="1"/>
    <col min="6668" max="6668" width="10.36328125" bestFit="1" customWidth="1"/>
    <col min="6913" max="6913" width="40.08984375" customWidth="1"/>
    <col min="6914" max="6914" width="24" customWidth="1"/>
    <col min="6915" max="6921" width="19.36328125" customWidth="1"/>
    <col min="6924" max="6924" width="10.36328125" bestFit="1" customWidth="1"/>
    <col min="7169" max="7169" width="40.08984375" customWidth="1"/>
    <col min="7170" max="7170" width="24" customWidth="1"/>
    <col min="7171" max="7177" width="19.36328125" customWidth="1"/>
    <col min="7180" max="7180" width="10.36328125" bestFit="1" customWidth="1"/>
    <col min="7425" max="7425" width="40.08984375" customWidth="1"/>
    <col min="7426" max="7426" width="24" customWidth="1"/>
    <col min="7427" max="7433" width="19.36328125" customWidth="1"/>
    <col min="7436" max="7436" width="10.36328125" bestFit="1" customWidth="1"/>
    <col min="7681" max="7681" width="40.08984375" customWidth="1"/>
    <col min="7682" max="7682" width="24" customWidth="1"/>
    <col min="7683" max="7689" width="19.36328125" customWidth="1"/>
    <col min="7692" max="7692" width="10.36328125" bestFit="1" customWidth="1"/>
    <col min="7937" max="7937" width="40.08984375" customWidth="1"/>
    <col min="7938" max="7938" width="24" customWidth="1"/>
    <col min="7939" max="7945" width="19.36328125" customWidth="1"/>
    <col min="7948" max="7948" width="10.36328125" bestFit="1" customWidth="1"/>
    <col min="8193" max="8193" width="40.08984375" customWidth="1"/>
    <col min="8194" max="8194" width="24" customWidth="1"/>
    <col min="8195" max="8201" width="19.36328125" customWidth="1"/>
    <col min="8204" max="8204" width="10.36328125" bestFit="1" customWidth="1"/>
    <col min="8449" max="8449" width="40.08984375" customWidth="1"/>
    <col min="8450" max="8450" width="24" customWidth="1"/>
    <col min="8451" max="8457" width="19.36328125" customWidth="1"/>
    <col min="8460" max="8460" width="10.36328125" bestFit="1" customWidth="1"/>
    <col min="8705" max="8705" width="40.08984375" customWidth="1"/>
    <col min="8706" max="8706" width="24" customWidth="1"/>
    <col min="8707" max="8713" width="19.36328125" customWidth="1"/>
    <col min="8716" max="8716" width="10.36328125" bestFit="1" customWidth="1"/>
    <col min="8961" max="8961" width="40.08984375" customWidth="1"/>
    <col min="8962" max="8962" width="24" customWidth="1"/>
    <col min="8963" max="8969" width="19.36328125" customWidth="1"/>
    <col min="8972" max="8972" width="10.36328125" bestFit="1" customWidth="1"/>
    <col min="9217" max="9217" width="40.08984375" customWidth="1"/>
    <col min="9218" max="9218" width="24" customWidth="1"/>
    <col min="9219" max="9225" width="19.36328125" customWidth="1"/>
    <col min="9228" max="9228" width="10.36328125" bestFit="1" customWidth="1"/>
    <col min="9473" max="9473" width="40.08984375" customWidth="1"/>
    <col min="9474" max="9474" width="24" customWidth="1"/>
    <col min="9475" max="9481" width="19.36328125" customWidth="1"/>
    <col min="9484" max="9484" width="10.36328125" bestFit="1" customWidth="1"/>
    <col min="9729" max="9729" width="40.08984375" customWidth="1"/>
    <col min="9730" max="9730" width="24" customWidth="1"/>
    <col min="9731" max="9737" width="19.36328125" customWidth="1"/>
    <col min="9740" max="9740" width="10.36328125" bestFit="1" customWidth="1"/>
    <col min="9985" max="9985" width="40.08984375" customWidth="1"/>
    <col min="9986" max="9986" width="24" customWidth="1"/>
    <col min="9987" max="9993" width="19.36328125" customWidth="1"/>
    <col min="9996" max="9996" width="10.36328125" bestFit="1" customWidth="1"/>
    <col min="10241" max="10241" width="40.08984375" customWidth="1"/>
    <col min="10242" max="10242" width="24" customWidth="1"/>
    <col min="10243" max="10249" width="19.36328125" customWidth="1"/>
    <col min="10252" max="10252" width="10.36328125" bestFit="1" customWidth="1"/>
    <col min="10497" max="10497" width="40.08984375" customWidth="1"/>
    <col min="10498" max="10498" width="24" customWidth="1"/>
    <col min="10499" max="10505" width="19.36328125" customWidth="1"/>
    <col min="10508" max="10508" width="10.36328125" bestFit="1" customWidth="1"/>
    <col min="10753" max="10753" width="40.08984375" customWidth="1"/>
    <col min="10754" max="10754" width="24" customWidth="1"/>
    <col min="10755" max="10761" width="19.36328125" customWidth="1"/>
    <col min="10764" max="10764" width="10.36328125" bestFit="1" customWidth="1"/>
    <col min="11009" max="11009" width="40.08984375" customWidth="1"/>
    <col min="11010" max="11010" width="24" customWidth="1"/>
    <col min="11011" max="11017" width="19.36328125" customWidth="1"/>
    <col min="11020" max="11020" width="10.36328125" bestFit="1" customWidth="1"/>
    <col min="11265" max="11265" width="40.08984375" customWidth="1"/>
    <col min="11266" max="11266" width="24" customWidth="1"/>
    <col min="11267" max="11273" width="19.36328125" customWidth="1"/>
    <col min="11276" max="11276" width="10.36328125" bestFit="1" customWidth="1"/>
    <col min="11521" max="11521" width="40.08984375" customWidth="1"/>
    <col min="11522" max="11522" width="24" customWidth="1"/>
    <col min="11523" max="11529" width="19.36328125" customWidth="1"/>
    <col min="11532" max="11532" width="10.36328125" bestFit="1" customWidth="1"/>
    <col min="11777" max="11777" width="40.08984375" customWidth="1"/>
    <col min="11778" max="11778" width="24" customWidth="1"/>
    <col min="11779" max="11785" width="19.36328125" customWidth="1"/>
    <col min="11788" max="11788" width="10.36328125" bestFit="1" customWidth="1"/>
    <col min="12033" max="12033" width="40.08984375" customWidth="1"/>
    <col min="12034" max="12034" width="24" customWidth="1"/>
    <col min="12035" max="12041" width="19.36328125" customWidth="1"/>
    <col min="12044" max="12044" width="10.36328125" bestFit="1" customWidth="1"/>
    <col min="12289" max="12289" width="40.08984375" customWidth="1"/>
    <col min="12290" max="12290" width="24" customWidth="1"/>
    <col min="12291" max="12297" width="19.36328125" customWidth="1"/>
    <col min="12300" max="12300" width="10.36328125" bestFit="1" customWidth="1"/>
    <col min="12545" max="12545" width="40.08984375" customWidth="1"/>
    <col min="12546" max="12546" width="24" customWidth="1"/>
    <col min="12547" max="12553" width="19.36328125" customWidth="1"/>
    <col min="12556" max="12556" width="10.36328125" bestFit="1" customWidth="1"/>
    <col min="12801" max="12801" width="40.08984375" customWidth="1"/>
    <col min="12802" max="12802" width="24" customWidth="1"/>
    <col min="12803" max="12809" width="19.36328125" customWidth="1"/>
    <col min="12812" max="12812" width="10.36328125" bestFit="1" customWidth="1"/>
    <col min="13057" max="13057" width="40.08984375" customWidth="1"/>
    <col min="13058" max="13058" width="24" customWidth="1"/>
    <col min="13059" max="13065" width="19.36328125" customWidth="1"/>
    <col min="13068" max="13068" width="10.36328125" bestFit="1" customWidth="1"/>
    <col min="13313" max="13313" width="40.08984375" customWidth="1"/>
    <col min="13314" max="13314" width="24" customWidth="1"/>
    <col min="13315" max="13321" width="19.36328125" customWidth="1"/>
    <col min="13324" max="13324" width="10.36328125" bestFit="1" customWidth="1"/>
    <col min="13569" max="13569" width="40.08984375" customWidth="1"/>
    <col min="13570" max="13570" width="24" customWidth="1"/>
    <col min="13571" max="13577" width="19.36328125" customWidth="1"/>
    <col min="13580" max="13580" width="10.36328125" bestFit="1" customWidth="1"/>
    <col min="13825" max="13825" width="40.08984375" customWidth="1"/>
    <col min="13826" max="13826" width="24" customWidth="1"/>
    <col min="13827" max="13833" width="19.36328125" customWidth="1"/>
    <col min="13836" max="13836" width="10.36328125" bestFit="1" customWidth="1"/>
    <col min="14081" max="14081" width="40.08984375" customWidth="1"/>
    <col min="14082" max="14082" width="24" customWidth="1"/>
    <col min="14083" max="14089" width="19.36328125" customWidth="1"/>
    <col min="14092" max="14092" width="10.36328125" bestFit="1" customWidth="1"/>
    <col min="14337" max="14337" width="40.08984375" customWidth="1"/>
    <col min="14338" max="14338" width="24" customWidth="1"/>
    <col min="14339" max="14345" width="19.36328125" customWidth="1"/>
    <col min="14348" max="14348" width="10.36328125" bestFit="1" customWidth="1"/>
    <col min="14593" max="14593" width="40.08984375" customWidth="1"/>
    <col min="14594" max="14594" width="24" customWidth="1"/>
    <col min="14595" max="14601" width="19.36328125" customWidth="1"/>
    <col min="14604" max="14604" width="10.36328125" bestFit="1" customWidth="1"/>
    <col min="14849" max="14849" width="40.08984375" customWidth="1"/>
    <col min="14850" max="14850" width="24" customWidth="1"/>
    <col min="14851" max="14857" width="19.36328125" customWidth="1"/>
    <col min="14860" max="14860" width="10.36328125" bestFit="1" customWidth="1"/>
    <col min="15105" max="15105" width="40.08984375" customWidth="1"/>
    <col min="15106" max="15106" width="24" customWidth="1"/>
    <col min="15107" max="15113" width="19.36328125" customWidth="1"/>
    <col min="15116" max="15116" width="10.36328125" bestFit="1" customWidth="1"/>
    <col min="15361" max="15361" width="40.08984375" customWidth="1"/>
    <col min="15362" max="15362" width="24" customWidth="1"/>
    <col min="15363" max="15369" width="19.36328125" customWidth="1"/>
    <col min="15372" max="15372" width="10.36328125" bestFit="1" customWidth="1"/>
    <col min="15617" max="15617" width="40.08984375" customWidth="1"/>
    <col min="15618" max="15618" width="24" customWidth="1"/>
    <col min="15619" max="15625" width="19.36328125" customWidth="1"/>
    <col min="15628" max="15628" width="10.36328125" bestFit="1" customWidth="1"/>
    <col min="15873" max="15873" width="40.08984375" customWidth="1"/>
    <col min="15874" max="15874" width="24" customWidth="1"/>
    <col min="15875" max="15881" width="19.36328125" customWidth="1"/>
    <col min="15884" max="15884" width="10.36328125" bestFit="1" customWidth="1"/>
    <col min="16129" max="16129" width="40.08984375" customWidth="1"/>
    <col min="16130" max="16130" width="24" customWidth="1"/>
    <col min="16131" max="16137" width="19.36328125" customWidth="1"/>
    <col min="16140" max="16140" width="10.36328125" bestFit="1" customWidth="1"/>
  </cols>
  <sheetData>
    <row r="1" spans="1:11" ht="20">
      <c r="A1" s="46" t="s">
        <v>0</v>
      </c>
      <c r="B1" s="1"/>
      <c r="C1" s="1"/>
      <c r="D1" s="1"/>
      <c r="E1" s="1"/>
      <c r="F1" s="1"/>
      <c r="G1" s="2"/>
      <c r="H1" s="1"/>
      <c r="I1" s="1"/>
    </row>
    <row r="2" spans="1:11" ht="20">
      <c r="A2" s="47" t="s">
        <v>1</v>
      </c>
      <c r="B2" s="1"/>
      <c r="C2" s="1"/>
      <c r="D2" s="1"/>
      <c r="E2" s="1"/>
      <c r="F2" s="1"/>
      <c r="G2" s="2"/>
      <c r="H2" s="1"/>
      <c r="I2" s="1"/>
    </row>
    <row r="3" spans="1:11" ht="20">
      <c r="A3" s="48" t="s">
        <v>2</v>
      </c>
      <c r="B3" s="1"/>
      <c r="C3" s="1"/>
      <c r="D3" s="1"/>
      <c r="E3" s="1"/>
      <c r="F3" s="1"/>
      <c r="G3" s="2"/>
      <c r="H3" s="1"/>
      <c r="I3" s="1"/>
    </row>
    <row r="4" spans="1:11" ht="20">
      <c r="A4" s="3"/>
      <c r="B4" s="1"/>
      <c r="C4" s="1"/>
      <c r="D4" s="1"/>
      <c r="E4" s="1"/>
      <c r="F4" s="1"/>
      <c r="G4" s="2"/>
      <c r="H4" s="1"/>
      <c r="I4" s="1"/>
    </row>
    <row r="5" spans="1:11" ht="18">
      <c r="A5" s="4" t="s">
        <v>3</v>
      </c>
      <c r="B5" s="55"/>
      <c r="C5" s="55"/>
      <c r="D5" s="55"/>
      <c r="E5" s="55"/>
      <c r="F5" s="55"/>
      <c r="G5" s="56"/>
      <c r="H5" s="55"/>
      <c r="I5" s="50" t="s">
        <v>4</v>
      </c>
    </row>
    <row r="6" spans="1:11" ht="70">
      <c r="A6" s="51" t="s">
        <v>5</v>
      </c>
      <c r="B6" s="5" t="s">
        <v>6</v>
      </c>
      <c r="C6" s="6" t="s">
        <v>7</v>
      </c>
      <c r="D6" s="7" t="s">
        <v>8</v>
      </c>
      <c r="E6" s="6" t="s">
        <v>9</v>
      </c>
      <c r="F6" s="7" t="s">
        <v>10</v>
      </c>
      <c r="G6" s="8" t="s">
        <v>11</v>
      </c>
      <c r="H6" s="7" t="s">
        <v>12</v>
      </c>
      <c r="I6" s="9" t="s">
        <v>13</v>
      </c>
    </row>
    <row r="7" spans="1:11" ht="18">
      <c r="A7" s="10" t="s">
        <v>14</v>
      </c>
      <c r="B7" s="11"/>
      <c r="C7" s="11"/>
      <c r="D7" s="11"/>
      <c r="E7" s="11"/>
      <c r="F7" s="11"/>
      <c r="G7" s="11"/>
      <c r="H7" s="11"/>
      <c r="I7" s="12"/>
    </row>
    <row r="8" spans="1:11" ht="18">
      <c r="A8" s="13" t="s">
        <v>15</v>
      </c>
      <c r="B8" s="14">
        <v>1493</v>
      </c>
      <c r="C8" s="14">
        <v>0</v>
      </c>
      <c r="D8" s="14">
        <v>8042</v>
      </c>
      <c r="E8" s="14">
        <v>46</v>
      </c>
      <c r="F8" s="14">
        <v>580</v>
      </c>
      <c r="G8" s="14">
        <v>151163</v>
      </c>
      <c r="H8" s="14">
        <v>6292</v>
      </c>
      <c r="I8" s="15">
        <f>SUM(B8:H8)</f>
        <v>167616</v>
      </c>
      <c r="K8" s="16"/>
    </row>
    <row r="9" spans="1:11" ht="18">
      <c r="A9" s="17" t="s">
        <v>16</v>
      </c>
      <c r="B9" s="18">
        <v>434</v>
      </c>
      <c r="C9" s="18">
        <v>27</v>
      </c>
      <c r="D9" s="18">
        <v>900</v>
      </c>
      <c r="E9" s="18" t="s">
        <v>17</v>
      </c>
      <c r="F9" s="18">
        <v>272</v>
      </c>
      <c r="G9" s="18">
        <v>104462</v>
      </c>
      <c r="H9" s="18">
        <v>6102</v>
      </c>
      <c r="I9" s="19">
        <f t="shared" ref="I9:I24" si="0">SUM(B9:H9)</f>
        <v>112197</v>
      </c>
    </row>
    <row r="10" spans="1:11" ht="18">
      <c r="A10" s="13" t="s">
        <v>18</v>
      </c>
      <c r="B10" s="14">
        <v>128</v>
      </c>
      <c r="C10" s="14" t="s">
        <v>17</v>
      </c>
      <c r="D10" s="14">
        <v>717</v>
      </c>
      <c r="E10" s="14" t="s">
        <v>17</v>
      </c>
      <c r="F10" s="14">
        <v>221</v>
      </c>
      <c r="G10" s="14">
        <v>6414</v>
      </c>
      <c r="H10" s="14">
        <v>387</v>
      </c>
      <c r="I10" s="15">
        <f t="shared" si="0"/>
        <v>7867</v>
      </c>
    </row>
    <row r="11" spans="1:11" ht="18">
      <c r="A11" s="17" t="s">
        <v>19</v>
      </c>
      <c r="B11" s="18">
        <v>240</v>
      </c>
      <c r="C11" s="18" t="s">
        <v>17</v>
      </c>
      <c r="D11" s="18">
        <v>2511</v>
      </c>
      <c r="E11" s="18" t="s">
        <v>17</v>
      </c>
      <c r="F11" s="18">
        <v>39</v>
      </c>
      <c r="G11" s="18">
        <v>7169</v>
      </c>
      <c r="H11" s="18">
        <v>258</v>
      </c>
      <c r="I11" s="19">
        <f t="shared" si="0"/>
        <v>10217</v>
      </c>
    </row>
    <row r="12" spans="1:11" ht="18">
      <c r="A12" s="13" t="s">
        <v>20</v>
      </c>
      <c r="B12" s="14">
        <v>0</v>
      </c>
      <c r="C12" s="14">
        <v>0</v>
      </c>
      <c r="D12" s="14">
        <v>15</v>
      </c>
      <c r="E12" s="14">
        <v>0</v>
      </c>
      <c r="F12" s="14">
        <v>0</v>
      </c>
      <c r="G12" s="14">
        <v>2</v>
      </c>
      <c r="H12" s="14">
        <v>0</v>
      </c>
      <c r="I12" s="15">
        <f t="shared" si="0"/>
        <v>17</v>
      </c>
    </row>
    <row r="13" spans="1:11" ht="18">
      <c r="A13" s="17" t="s">
        <v>21</v>
      </c>
      <c r="B13" s="18">
        <v>0</v>
      </c>
      <c r="C13" s="18">
        <v>0</v>
      </c>
      <c r="D13" s="18">
        <v>35</v>
      </c>
      <c r="E13" s="18">
        <v>0</v>
      </c>
      <c r="F13" s="18">
        <v>0</v>
      </c>
      <c r="G13" s="18">
        <v>3299</v>
      </c>
      <c r="H13" s="18">
        <v>307</v>
      </c>
      <c r="I13" s="19">
        <f t="shared" si="0"/>
        <v>3641</v>
      </c>
    </row>
    <row r="14" spans="1:11" ht="18">
      <c r="A14" s="13" t="s">
        <v>22</v>
      </c>
      <c r="B14" s="14" t="s">
        <v>17</v>
      </c>
      <c r="C14" s="14" t="s">
        <v>17</v>
      </c>
      <c r="D14" s="14" t="s">
        <v>17</v>
      </c>
      <c r="E14" s="14" t="s">
        <v>17</v>
      </c>
      <c r="F14" s="14" t="s">
        <v>17</v>
      </c>
      <c r="G14" s="14">
        <v>26</v>
      </c>
      <c r="H14" s="14" t="s">
        <v>17</v>
      </c>
      <c r="I14" s="15">
        <f t="shared" si="0"/>
        <v>26</v>
      </c>
    </row>
    <row r="15" spans="1:11" ht="18">
      <c r="A15" s="20" t="s">
        <v>23</v>
      </c>
      <c r="B15" s="18">
        <v>38</v>
      </c>
      <c r="C15" s="18" t="s">
        <v>17</v>
      </c>
      <c r="D15" s="18" t="s">
        <v>17</v>
      </c>
      <c r="E15" s="18" t="s">
        <v>17</v>
      </c>
      <c r="F15" s="18" t="s">
        <v>17</v>
      </c>
      <c r="G15" s="18" t="s">
        <v>17</v>
      </c>
      <c r="H15" s="18">
        <v>0</v>
      </c>
      <c r="I15" s="19">
        <f t="shared" si="0"/>
        <v>38</v>
      </c>
    </row>
    <row r="16" spans="1:11" ht="18">
      <c r="A16" s="13" t="s">
        <v>24</v>
      </c>
      <c r="B16" s="14">
        <v>0</v>
      </c>
      <c r="C16" s="14">
        <v>0</v>
      </c>
      <c r="D16" s="14">
        <v>72</v>
      </c>
      <c r="E16" s="14">
        <v>0</v>
      </c>
      <c r="F16" s="14">
        <v>0</v>
      </c>
      <c r="G16" s="14">
        <v>0</v>
      </c>
      <c r="H16" s="14">
        <v>0</v>
      </c>
      <c r="I16" s="15">
        <f t="shared" si="0"/>
        <v>72</v>
      </c>
    </row>
    <row r="17" spans="1:9" ht="35.5">
      <c r="A17" s="21" t="s">
        <v>25</v>
      </c>
      <c r="B17" s="18">
        <v>80</v>
      </c>
      <c r="C17" s="18">
        <v>0</v>
      </c>
      <c r="D17" s="18">
        <v>1539</v>
      </c>
      <c r="E17" s="18">
        <v>0</v>
      </c>
      <c r="F17" s="18">
        <v>111</v>
      </c>
      <c r="G17" s="18">
        <v>1591</v>
      </c>
      <c r="H17" s="18">
        <v>26</v>
      </c>
      <c r="I17" s="19">
        <f t="shared" si="0"/>
        <v>3347</v>
      </c>
    </row>
    <row r="18" spans="1:9" ht="18">
      <c r="A18" s="22" t="s">
        <v>26</v>
      </c>
      <c r="B18" s="14"/>
      <c r="C18" s="14"/>
      <c r="D18" s="14"/>
      <c r="E18" s="14"/>
      <c r="F18" s="14"/>
      <c r="G18" s="14"/>
      <c r="H18" s="14"/>
      <c r="I18" s="15"/>
    </row>
    <row r="19" spans="1:9" s="24" customFormat="1" ht="18">
      <c r="A19" s="23" t="s">
        <v>27</v>
      </c>
      <c r="B19" s="18" t="s">
        <v>17</v>
      </c>
      <c r="C19" s="18" t="s">
        <v>17</v>
      </c>
      <c r="D19" s="18" t="s">
        <v>17</v>
      </c>
      <c r="E19" s="18" t="s">
        <v>17</v>
      </c>
      <c r="F19" s="18" t="s">
        <v>17</v>
      </c>
      <c r="G19" s="18">
        <v>96</v>
      </c>
      <c r="H19" s="18">
        <v>13</v>
      </c>
      <c r="I19" s="19">
        <f t="shared" si="0"/>
        <v>109</v>
      </c>
    </row>
    <row r="20" spans="1:9" ht="18">
      <c r="A20" s="25" t="s">
        <v>28</v>
      </c>
      <c r="B20" s="14" t="s">
        <v>17</v>
      </c>
      <c r="C20" s="14" t="s">
        <v>17</v>
      </c>
      <c r="D20" s="14" t="s">
        <v>17</v>
      </c>
      <c r="E20" s="14" t="s">
        <v>17</v>
      </c>
      <c r="F20" s="14" t="s">
        <v>17</v>
      </c>
      <c r="G20" s="14">
        <v>1549</v>
      </c>
      <c r="H20" s="14">
        <v>9</v>
      </c>
      <c r="I20" s="15">
        <f t="shared" si="0"/>
        <v>1558</v>
      </c>
    </row>
    <row r="21" spans="1:9" s="24" customFormat="1" ht="18">
      <c r="A21" s="26" t="s">
        <v>29</v>
      </c>
      <c r="B21" s="18">
        <v>0</v>
      </c>
      <c r="C21" s="18" t="s">
        <v>17</v>
      </c>
      <c r="D21" s="18" t="s">
        <v>17</v>
      </c>
      <c r="E21" s="18" t="s">
        <v>17</v>
      </c>
      <c r="F21" s="18" t="s">
        <v>17</v>
      </c>
      <c r="G21" s="18" t="s">
        <v>17</v>
      </c>
      <c r="H21" s="18" t="s">
        <v>17</v>
      </c>
      <c r="I21" s="19">
        <f t="shared" si="0"/>
        <v>0</v>
      </c>
    </row>
    <row r="22" spans="1:9" ht="18">
      <c r="A22" s="27" t="s">
        <v>30</v>
      </c>
      <c r="B22" s="14" t="s">
        <v>17</v>
      </c>
      <c r="C22" s="14">
        <v>1535</v>
      </c>
      <c r="D22" s="14">
        <v>2281</v>
      </c>
      <c r="E22" s="14" t="s">
        <v>17</v>
      </c>
      <c r="F22" s="14" t="s">
        <v>17</v>
      </c>
      <c r="G22" s="14">
        <v>11572</v>
      </c>
      <c r="H22" s="14">
        <v>264</v>
      </c>
      <c r="I22" s="15">
        <f t="shared" si="0"/>
        <v>15652</v>
      </c>
    </row>
    <row r="23" spans="1:9" s="24" customFormat="1" ht="18">
      <c r="A23" s="26" t="s">
        <v>31</v>
      </c>
      <c r="B23" s="18">
        <v>0</v>
      </c>
      <c r="C23" s="18" t="s">
        <v>17</v>
      </c>
      <c r="D23" s="18" t="s">
        <v>17</v>
      </c>
      <c r="E23" s="18" t="s">
        <v>17</v>
      </c>
      <c r="F23" s="18" t="s">
        <v>17</v>
      </c>
      <c r="G23" s="18">
        <v>419</v>
      </c>
      <c r="H23" s="18">
        <v>0</v>
      </c>
      <c r="I23" s="19">
        <f t="shared" si="0"/>
        <v>419</v>
      </c>
    </row>
    <row r="24" spans="1:9" ht="18">
      <c r="A24" s="28" t="s">
        <v>32</v>
      </c>
      <c r="B24" s="29">
        <v>858</v>
      </c>
      <c r="C24" s="29" t="s">
        <v>17</v>
      </c>
      <c r="D24" s="29">
        <v>11290</v>
      </c>
      <c r="E24" s="29" t="s">
        <v>17</v>
      </c>
      <c r="F24" s="29">
        <v>1317</v>
      </c>
      <c r="G24" s="29">
        <v>10859</v>
      </c>
      <c r="H24" s="29">
        <v>52026</v>
      </c>
      <c r="I24" s="30">
        <f t="shared" si="0"/>
        <v>76350</v>
      </c>
    </row>
    <row r="25" spans="1:9" ht="18">
      <c r="A25" s="52" t="s">
        <v>33</v>
      </c>
      <c r="B25" s="31">
        <f>SUM(B8:B24)</f>
        <v>3271</v>
      </c>
      <c r="C25" s="31">
        <f t="shared" ref="C25:H25" si="1">SUM(C8:C24)</f>
        <v>1562</v>
      </c>
      <c r="D25" s="31">
        <f t="shared" si="1"/>
        <v>27402</v>
      </c>
      <c r="E25" s="31">
        <f t="shared" si="1"/>
        <v>46</v>
      </c>
      <c r="F25" s="31">
        <f t="shared" si="1"/>
        <v>2540</v>
      </c>
      <c r="G25" s="31">
        <f t="shared" si="1"/>
        <v>298621</v>
      </c>
      <c r="H25" s="31">
        <f t="shared" si="1"/>
        <v>65684</v>
      </c>
      <c r="I25" s="32">
        <f>SUM(B25:H25)</f>
        <v>399126</v>
      </c>
    </row>
    <row r="26" spans="1:9" ht="17.5">
      <c r="A26" s="53" t="s">
        <v>34</v>
      </c>
      <c r="B26" s="33">
        <f t="shared" ref="B26:I26" si="2">(B25-B29)</f>
        <v>124</v>
      </c>
      <c r="C26" s="33">
        <f t="shared" si="2"/>
        <v>1548</v>
      </c>
      <c r="D26" s="33">
        <f t="shared" si="2"/>
        <v>-479</v>
      </c>
      <c r="E26" s="33">
        <f t="shared" si="2"/>
        <v>-15</v>
      </c>
      <c r="F26" s="33">
        <f t="shared" si="2"/>
        <v>-2003</v>
      </c>
      <c r="G26" s="33">
        <f t="shared" si="2"/>
        <v>17589</v>
      </c>
      <c r="H26" s="33">
        <f t="shared" si="2"/>
        <v>-8832</v>
      </c>
      <c r="I26" s="33">
        <f t="shared" si="2"/>
        <v>7932</v>
      </c>
    </row>
    <row r="27" spans="1:9" ht="17.5">
      <c r="A27" s="53" t="s">
        <v>35</v>
      </c>
      <c r="B27" s="34">
        <f t="shared" ref="B27:I27" si="3">(B25-B29)/ABS(B29)</f>
        <v>3.9402605656180492E-2</v>
      </c>
      <c r="C27" s="34">
        <f t="shared" si="3"/>
        <v>110.57142857142857</v>
      </c>
      <c r="D27" s="34">
        <f t="shared" si="3"/>
        <v>-1.718015853089918E-2</v>
      </c>
      <c r="E27" s="35" t="s">
        <v>36</v>
      </c>
      <c r="F27" s="34">
        <f t="shared" si="3"/>
        <v>-0.44089808496588156</v>
      </c>
      <c r="G27" s="34">
        <f t="shared" si="3"/>
        <v>6.2587178684277947E-2</v>
      </c>
      <c r="H27" s="34">
        <f t="shared" si="3"/>
        <v>-0.11852488056256374</v>
      </c>
      <c r="I27" s="34">
        <f t="shared" si="3"/>
        <v>2.0276384607125875E-2</v>
      </c>
    </row>
    <row r="28" spans="1:9" ht="17.5">
      <c r="A28" s="53" t="s">
        <v>37</v>
      </c>
      <c r="B28" s="36">
        <f>B25/$I25</f>
        <v>8.1954069642168146E-3</v>
      </c>
      <c r="C28" s="37">
        <f t="shared" ref="C28:I28" si="4">C25/$I25</f>
        <v>3.9135511091735438E-3</v>
      </c>
      <c r="D28" s="36">
        <f t="shared" si="4"/>
        <v>6.8655011199470845E-2</v>
      </c>
      <c r="E28" s="36">
        <f t="shared" si="4"/>
        <v>1.1525182523814534E-4</v>
      </c>
      <c r="F28" s="36">
        <f t="shared" si="4"/>
        <v>6.3639051327149827E-3</v>
      </c>
      <c r="G28" s="36">
        <f t="shared" si="4"/>
        <v>0.74818728922696087</v>
      </c>
      <c r="H28" s="36">
        <f t="shared" si="4"/>
        <v>0.16456958454222476</v>
      </c>
      <c r="I28" s="36">
        <f t="shared" si="4"/>
        <v>1</v>
      </c>
    </row>
    <row r="29" spans="1:9" ht="17.5">
      <c r="A29" s="54" t="s">
        <v>38</v>
      </c>
      <c r="B29" s="33">
        <v>3147</v>
      </c>
      <c r="C29" s="33">
        <v>14</v>
      </c>
      <c r="D29" s="33">
        <v>27881</v>
      </c>
      <c r="E29" s="33">
        <v>61</v>
      </c>
      <c r="F29" s="33">
        <v>4543</v>
      </c>
      <c r="G29" s="33">
        <v>281032</v>
      </c>
      <c r="H29" s="33">
        <v>74516</v>
      </c>
      <c r="I29" s="33">
        <v>391194</v>
      </c>
    </row>
    <row r="30" spans="1:9" ht="17.5">
      <c r="A30" s="38"/>
      <c r="B30" s="39"/>
      <c r="C30" s="39"/>
      <c r="D30" s="39"/>
      <c r="E30" s="39"/>
      <c r="F30" s="39"/>
      <c r="G30" s="39"/>
      <c r="H30" s="39"/>
      <c r="I30" s="39"/>
    </row>
    <row r="31" spans="1:9" s="24" customFormat="1" ht="18">
      <c r="A31" s="49" t="s">
        <v>39</v>
      </c>
      <c r="B31" s="40"/>
      <c r="C31" s="40"/>
      <c r="D31" s="40"/>
      <c r="E31" s="40"/>
      <c r="F31" s="40"/>
      <c r="G31" s="41"/>
      <c r="H31" s="40"/>
      <c r="I31" s="42"/>
    </row>
    <row r="34" spans="11:11" ht="13">
      <c r="K34" s="43"/>
    </row>
    <row r="35" spans="11:11" ht="13">
      <c r="K35" s="43"/>
    </row>
    <row r="36" spans="11:11" ht="13">
      <c r="K36" s="43"/>
    </row>
    <row r="37" spans="11:11" ht="13">
      <c r="K37" s="43"/>
    </row>
    <row r="38" spans="11:11" ht="13">
      <c r="K38" s="43"/>
    </row>
    <row r="39" spans="11:11" ht="13">
      <c r="K39" s="44"/>
    </row>
    <row r="40" spans="11:11" ht="13">
      <c r="K40" s="43"/>
    </row>
    <row r="41" spans="11:11" ht="13">
      <c r="K41" s="44"/>
    </row>
    <row r="66" spans="12:12">
      <c r="L66" s="45"/>
    </row>
  </sheetData>
  <phoneticPr fontId="3" type="noConversion"/>
  <pageMargins left="0.75" right="0.75" top="1" bottom="1" header="0.5" footer="0.5"/>
  <pageSetup paperSize="9" scale="6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Table10 summary version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2024-11-20T08:29:38Z</dcterms:created>
  <dcterms:modified xsi:type="dcterms:W3CDTF">2026-06-16T23:14:33Z</dcterms:modified>
</cp:coreProperties>
</file>