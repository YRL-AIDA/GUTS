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<sst xmlns="http://schemas.openxmlformats.org/spreadsheetml/2006/main" count="43" uniqueCount="7">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</sst>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zoomScale="55" zoomScaleNormal="55" workbookViewId="0">
      <selection activeCell="F23" sqref="F23"/>
    </sheetView>
  </sheetViews>
  <sheetFormatPr defaultColWidth="9.81640625" defaultRowHeight="14.5"/>
  <cols>
    <col min="1" max="1" width="9.81640625" style="2"/>
    <col min="2" max="2" width="15.90625" style="2" customWidth="1"/>
    <col min="3" max="5" width="9.81640625" style="2" customWidth="1"/>
    <col min="6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3" t="s">
        <v>3</v>
      </c>
    </row>
    <row r="2" spans="1:28">
      <c r="A2" s="2">
        <v>92</v>
      </c>
      <c r="B2" s="2">
        <v>4</v>
      </c>
      <c r="C2" s="2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2">
        <f t="shared" ref="AB2:AB37" si="0">SUM(D2:AA2)</f>
        <v>46</v>
      </c>
    </row>
    <row r="3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2">
        <f t="shared" si="0"/>
        <v>34</v>
      </c>
    </row>
    <row r="4" spans="1:28">
      <c r="A4" s="2">
        <v>94</v>
      </c>
      <c r="B4" s="2">
        <v>4</v>
      </c>
      <c r="C4" s="2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2">
        <f t="shared" si="0"/>
        <v>48</v>
      </c>
    </row>
    <row r="5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2">
        <f t="shared" si="0"/>
        <v>38</v>
      </c>
    </row>
    <row r="6" spans="1:28">
      <c r="A6" s="2">
        <v>96</v>
      </c>
      <c r="B6" s="2">
        <v>4</v>
      </c>
      <c r="C6" s="2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2">
        <f t="shared" si="0"/>
        <v>37</v>
      </c>
    </row>
    <row r="7" spans="1:28">
      <c r="A7" s="2">
        <v>97</v>
      </c>
      <c r="B7" s="2">
        <v>4</v>
      </c>
      <c r="C7" s="2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2">
        <f t="shared" si="0"/>
        <v>48</v>
      </c>
    </row>
    <row r="8" spans="1:28">
      <c r="A8" s="2">
        <v>98</v>
      </c>
      <c r="B8" s="2">
        <v>4</v>
      </c>
      <c r="C8" s="2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2">
        <f t="shared" si="0"/>
        <v>25</v>
      </c>
    </row>
    <row r="9" spans="1:28">
      <c r="A9" s="2">
        <v>99</v>
      </c>
      <c r="B9" s="2">
        <v>4</v>
      </c>
      <c r="C9" s="2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2">
        <f t="shared" si="0"/>
        <v>73</v>
      </c>
    </row>
    <row r="10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57</v>
      </c>
    </row>
    <row r="11" spans="1:28">
      <c r="A11" s="2">
        <v>101</v>
      </c>
      <c r="B11" s="2">
        <v>4</v>
      </c>
      <c r="C11" s="2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2">
        <f t="shared" si="0"/>
        <v>12</v>
      </c>
    </row>
    <row r="12" spans="1:28">
      <c r="A12" s="2">
        <v>103</v>
      </c>
      <c r="B12" s="2">
        <v>2</v>
      </c>
      <c r="C12" s="2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2">
        <f t="shared" si="0"/>
        <v>33</v>
      </c>
    </row>
    <row r="13" spans="1:28">
      <c r="A13" s="2">
        <v>104</v>
      </c>
      <c r="B13" s="2">
        <v>2</v>
      </c>
      <c r="C13" s="2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2">
        <f t="shared" si="0"/>
        <v>42</v>
      </c>
    </row>
    <row r="14" spans="1:28">
      <c r="A14" s="2">
        <v>105</v>
      </c>
      <c r="B14" s="2">
        <v>2</v>
      </c>
      <c r="C14" s="2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2">
        <f t="shared" si="0"/>
        <v>20</v>
      </c>
    </row>
    <row r="15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2">
        <f t="shared" si="0"/>
        <v>8</v>
      </c>
    </row>
    <row r="16" spans="1:28">
      <c r="A16" s="2">
        <v>108</v>
      </c>
      <c r="B16" s="2">
        <v>2</v>
      </c>
      <c r="C16" s="2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2">
        <f t="shared" si="0"/>
        <v>7</v>
      </c>
    </row>
    <row r="17" spans="1:28">
      <c r="A17" s="2">
        <v>130</v>
      </c>
      <c r="B17" s="2">
        <v>1</v>
      </c>
      <c r="C17" s="2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2">
        <f t="shared" si="0"/>
        <v>32</v>
      </c>
    </row>
    <row r="18" spans="1:28">
      <c r="A18" s="2">
        <v>132</v>
      </c>
      <c r="B18" s="2">
        <v>1</v>
      </c>
      <c r="C18" s="2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2">
        <f t="shared" si="0"/>
        <v>39</v>
      </c>
    </row>
    <row r="19" spans="1:28">
      <c r="A19" s="2">
        <v>133</v>
      </c>
      <c r="B19" s="2">
        <v>1</v>
      </c>
      <c r="C19" s="2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2">
        <f t="shared" si="0"/>
        <v>33</v>
      </c>
    </row>
    <row r="20" spans="1:28">
      <c r="A20" s="2">
        <v>135</v>
      </c>
      <c r="B20" s="2">
        <v>1</v>
      </c>
      <c r="C20" s="2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f t="shared" si="0"/>
        <v>35</v>
      </c>
    </row>
    <row r="2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2">
        <f t="shared" si="0"/>
        <v>39</v>
      </c>
    </row>
    <row r="22" spans="1:28">
      <c r="A22" s="2">
        <v>137</v>
      </c>
      <c r="B22" s="2">
        <v>1</v>
      </c>
      <c r="C22" s="2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f t="shared" si="0"/>
        <v>27</v>
      </c>
    </row>
    <row r="23" spans="1:28">
      <c r="A23" s="2">
        <v>138</v>
      </c>
      <c r="B23" s="2">
        <v>1</v>
      </c>
      <c r="C23" s="2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2">
        <f t="shared" si="0"/>
        <v>51</v>
      </c>
    </row>
    <row r="24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2">
        <f t="shared" si="0"/>
        <v>34</v>
      </c>
    </row>
    <row r="25" spans="1:28">
      <c r="A25" s="2">
        <v>141</v>
      </c>
      <c r="B25" s="2">
        <v>3</v>
      </c>
      <c r="C25" s="2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2">
        <f t="shared" si="0"/>
        <v>27</v>
      </c>
    </row>
    <row r="26" spans="1:28">
      <c r="A26" s="2">
        <v>142</v>
      </c>
      <c r="B26" s="2">
        <v>3</v>
      </c>
      <c r="C26" s="2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2">
        <f t="shared" si="0"/>
        <v>40</v>
      </c>
    </row>
    <row r="27" spans="1:28">
      <c r="A27" s="2">
        <v>143</v>
      </c>
      <c r="B27" s="2">
        <v>3</v>
      </c>
      <c r="C27" s="2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8</v>
      </c>
    </row>
    <row r="28" spans="1:28">
      <c r="A28" s="2">
        <v>144</v>
      </c>
      <c r="B28" s="2">
        <v>3</v>
      </c>
      <c r="C28" s="2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2">
        <f t="shared" si="0"/>
        <v>11</v>
      </c>
    </row>
    <row r="29" spans="1:28">
      <c r="A29" s="2">
        <v>145</v>
      </c>
      <c r="B29" s="2">
        <v>3</v>
      </c>
      <c r="C29" s="2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2">
        <f t="shared" si="0"/>
        <v>44</v>
      </c>
    </row>
    <row r="30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-2</v>
      </c>
    </row>
    <row r="31" spans="1:28">
      <c r="A31" s="2">
        <v>147</v>
      </c>
      <c r="B31" s="2">
        <v>3</v>
      </c>
      <c r="C31" s="2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2">
        <f t="shared" si="0"/>
        <v>43</v>
      </c>
    </row>
    <row r="32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2">
        <f t="shared" si="0"/>
        <v>46</v>
      </c>
    </row>
    <row r="33" spans="1:28">
      <c r="A33" s="2">
        <v>149</v>
      </c>
      <c r="B33" s="2">
        <v>5</v>
      </c>
      <c r="C33" s="2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2">
        <f t="shared" si="0"/>
        <v>49</v>
      </c>
    </row>
    <row r="34" spans="1:28">
      <c r="A34" s="2">
        <v>150</v>
      </c>
      <c r="B34" s="2">
        <v>5</v>
      </c>
      <c r="C34" s="2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2">
        <f t="shared" si="0"/>
        <v>27</v>
      </c>
    </row>
    <row r="35" spans="1:28">
      <c r="A35" s="2">
        <v>151</v>
      </c>
      <c r="B35" s="2">
        <v>5</v>
      </c>
      <c r="C35" s="2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f t="shared" si="0"/>
        <v>16</v>
      </c>
    </row>
    <row r="36" spans="1:28">
      <c r="A36" s="2">
        <v>152</v>
      </c>
      <c r="B36" s="2">
        <v>5</v>
      </c>
      <c r="C36" s="2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2">
        <f t="shared" si="0"/>
        <v>38</v>
      </c>
    </row>
    <row r="37" spans="1:28">
      <c r="A37" s="2">
        <v>154</v>
      </c>
      <c r="B37" s="2">
        <v>5</v>
      </c>
      <c r="C37" s="2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2">
        <f t="shared" si="0"/>
        <v>52</v>
      </c>
    </row>
    <row r="38" spans="1:28">
      <c r="C38" s="4" t="s">
        <v>6</v>
      </c>
      <c r="D38" s="2">
        <f t="shared" ref="D38:AA38" si="1">AVERAGE(D2:D37)</f>
        <v>0.80555555555555602</v>
      </c>
      <c r="E38" s="2">
        <f t="shared" si="1"/>
        <v>1.7222222222222201</v>
      </c>
      <c r="F38" s="2">
        <f t="shared" si="1"/>
        <v>1.25</v>
      </c>
      <c r="G38" s="2">
        <f t="shared" si="1"/>
        <v>1.8611111111111101</v>
      </c>
      <c r="H38" s="2">
        <f t="shared" si="1"/>
        <v>3.0833333333333299</v>
      </c>
      <c r="I38" s="2">
        <f t="shared" si="1"/>
        <v>0.91666666666666696</v>
      </c>
      <c r="J38" s="2">
        <f t="shared" si="1"/>
        <v>1.55555555555556</v>
      </c>
      <c r="K38" s="2">
        <f t="shared" si="1"/>
        <v>1.30555555555556</v>
      </c>
      <c r="L38" s="2">
        <f t="shared" si="1"/>
        <v>0.47222222222222199</v>
      </c>
      <c r="M38" s="2">
        <f t="shared" si="1"/>
        <v>1.7777777777777799</v>
      </c>
      <c r="N38" s="2">
        <f t="shared" si="1"/>
        <v>1.6388888888888899</v>
      </c>
      <c r="O38" s="2">
        <f t="shared" si="1"/>
        <v>1.3611111111111101</v>
      </c>
      <c r="P38" s="2">
        <f t="shared" si="1"/>
        <v>1.7222222222222201</v>
      </c>
      <c r="Q38" s="2">
        <f t="shared" si="1"/>
        <v>0.91666666666666696</v>
      </c>
      <c r="R38" s="2">
        <f t="shared" si="1"/>
        <v>1.3888888888888899</v>
      </c>
      <c r="S38" s="2">
        <f t="shared" si="1"/>
        <v>1.3611111111111101</v>
      </c>
      <c r="T38" s="2">
        <f t="shared" si="1"/>
        <v>1.75</v>
      </c>
      <c r="U38" s="2">
        <f t="shared" si="1"/>
        <v>1.69444444444444</v>
      </c>
      <c r="V38" s="2">
        <f t="shared" si="1"/>
        <v>1.4722222222222201</v>
      </c>
      <c r="W38" s="2">
        <f t="shared" si="1"/>
        <v>0.83333333333333304</v>
      </c>
      <c r="X38" s="2">
        <f t="shared" si="1"/>
        <v>0.63888888888888895</v>
      </c>
      <c r="Y38" s="2">
        <f t="shared" si="1"/>
        <v>1.3888888888888899</v>
      </c>
      <c r="Z38" s="2">
        <f t="shared" si="1"/>
        <v>1.6666666666666701</v>
      </c>
      <c r="AA38" s="2">
        <f t="shared" si="1"/>
        <v>1.2222222222222201</v>
      </c>
    </row>
    <row r="39" spans="1:28">
      <c r="C39" s="2" t="s">
        <v>4</v>
      </c>
      <c r="D39" s="2">
        <f t="shared" ref="D39:AA39" si="2">AVERAGEIF($C$2:$C$37,"CAI",D2:D37)</f>
        <v>0.8</v>
      </c>
      <c r="E39" s="2">
        <f t="shared" si="2"/>
        <v>2.1333333333333302</v>
      </c>
      <c r="F39" s="2">
        <f t="shared" si="2"/>
        <v>1.2</v>
      </c>
      <c r="G39" s="2">
        <f t="shared" si="2"/>
        <v>1.8</v>
      </c>
      <c r="H39" s="2">
        <f t="shared" si="2"/>
        <v>2.93333333333333</v>
      </c>
      <c r="I39" s="2">
        <f t="shared" si="2"/>
        <v>0.8</v>
      </c>
      <c r="J39" s="2">
        <f t="shared" si="2"/>
        <v>1.7333333333333301</v>
      </c>
      <c r="K39" s="2">
        <f t="shared" si="2"/>
        <v>1.2</v>
      </c>
      <c r="L39" s="2">
        <f t="shared" si="2"/>
        <v>1</v>
      </c>
      <c r="M39" s="2">
        <f t="shared" si="2"/>
        <v>1.86666666666667</v>
      </c>
      <c r="N39" s="2">
        <f t="shared" si="2"/>
        <v>2.2666666666666702</v>
      </c>
      <c r="O39" s="2">
        <f t="shared" si="2"/>
        <v>1.7333333333333301</v>
      </c>
      <c r="P39" s="2">
        <f t="shared" si="2"/>
        <v>1.5333333333333301</v>
      </c>
      <c r="Q39" s="2">
        <f t="shared" si="2"/>
        <v>1</v>
      </c>
      <c r="R39" s="2">
        <f t="shared" si="2"/>
        <v>1.3333333333333299</v>
      </c>
      <c r="S39" s="2">
        <f t="shared" si="2"/>
        <v>1.2</v>
      </c>
      <c r="T39" s="2">
        <f t="shared" si="2"/>
        <v>1.7333333333333301</v>
      </c>
      <c r="U39" s="2">
        <f t="shared" si="2"/>
        <v>1.5333333333333301</v>
      </c>
      <c r="V39" s="2">
        <f t="shared" si="2"/>
        <v>1.4666666666666699</v>
      </c>
      <c r="W39" s="2">
        <f t="shared" si="2"/>
        <v>1.13333333333333</v>
      </c>
      <c r="X39" s="2">
        <f t="shared" si="2"/>
        <v>0.6</v>
      </c>
      <c r="Y39" s="2">
        <f t="shared" si="2"/>
        <v>1.3333333333333299</v>
      </c>
      <c r="Z39" s="2">
        <f t="shared" si="2"/>
        <v>1.6</v>
      </c>
      <c r="AA39" s="2">
        <f t="shared" si="2"/>
        <v>1.2666666666666699</v>
      </c>
    </row>
    <row r="40" spans="1:28">
      <c r="C40" s="2" t="s">
        <v>5</v>
      </c>
      <c r="D40" s="2">
        <f t="shared" ref="D40:AA40" si="3">AVERAGEIF($C$2:$C$37,"Trad",D2:D37)</f>
        <v>0.80952380952380998</v>
      </c>
      <c r="E40" s="2">
        <f t="shared" si="3"/>
        <v>1.4285714285714299</v>
      </c>
      <c r="F40" s="2">
        <f t="shared" si="3"/>
        <v>1.28571428571429</v>
      </c>
      <c r="G40" s="2">
        <f t="shared" si="3"/>
        <v>1.9047619047619</v>
      </c>
      <c r="H40" s="2">
        <f t="shared" si="3"/>
        <v>3.1904761904761898</v>
      </c>
      <c r="I40" s="2">
        <f t="shared" si="3"/>
        <v>1</v>
      </c>
      <c r="J40" s="2">
        <f t="shared" si="3"/>
        <v>1.4285714285714299</v>
      </c>
      <c r="K40" s="2">
        <f t="shared" si="3"/>
        <v>1.38095238095238</v>
      </c>
      <c r="L40" s="2">
        <f t="shared" si="3"/>
        <v>9.5238095238095205E-2</v>
      </c>
      <c r="M40" s="2">
        <f t="shared" si="3"/>
        <v>1.71428571428571</v>
      </c>
      <c r="N40" s="2">
        <f t="shared" si="3"/>
        <v>1.19047619047619</v>
      </c>
      <c r="O40" s="2">
        <f t="shared" si="3"/>
        <v>1.0952380952381</v>
      </c>
      <c r="P40" s="2">
        <f t="shared" si="3"/>
        <v>1.8571428571428601</v>
      </c>
      <c r="Q40" s="2">
        <f t="shared" si="3"/>
        <v>0.85714285714285698</v>
      </c>
      <c r="R40" s="2">
        <f t="shared" si="3"/>
        <v>1.4285714285714299</v>
      </c>
      <c r="S40" s="2">
        <f t="shared" si="3"/>
        <v>1.47619047619048</v>
      </c>
      <c r="T40" s="2">
        <f t="shared" si="3"/>
        <v>1.7619047619047601</v>
      </c>
      <c r="U40" s="2">
        <f t="shared" si="3"/>
        <v>1.80952380952381</v>
      </c>
      <c r="V40" s="2">
        <f t="shared" si="3"/>
        <v>1.47619047619048</v>
      </c>
      <c r="W40" s="2">
        <f t="shared" si="3"/>
        <v>0.61904761904761896</v>
      </c>
      <c r="X40" s="2">
        <f t="shared" si="3"/>
        <v>0.66666666666666696</v>
      </c>
      <c r="Y40" s="2">
        <f t="shared" si="3"/>
        <v>1.4285714285714299</v>
      </c>
      <c r="Z40" s="2">
        <f t="shared" si="3"/>
        <v>1.71428571428571</v>
      </c>
      <c r="AA40" s="2">
        <f t="shared" si="3"/>
        <v>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2024-11-21T05:01:00Z</dcterms:created>
  <dcterms:modified xsi:type="dcterms:W3CDTF">2026-05-19T02:06:21Z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3505C71A67584C47A9CB12F3FEAE3983_11</vt:lpwstr>
  </property>
  <property fmtid="{D5CDD505-2E9C-101B-9397-08002B2CF9AE}" pid="3" name="KSOProductBuildVer">
    <vt:lpwstr>2052-12.1.0.18608</vt:lpwstr>
  </property>
</Properties>
</file>