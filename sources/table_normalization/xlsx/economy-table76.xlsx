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0" i="1"/>
  <c r="E9" i="1"/>
  <c r="E8" i="1"/>
  <c r="E5" i="1"/>
  <c r="E4" i="1"/>
  <c r="E3" i="1"/>
  <c r="E2" i="1"/>
</calcChain>
</file>

<file path=xl/sharedStrings.xml><?xml version="1.0" encoding="utf-8"?>
<sst xmlns="http://schemas.openxmlformats.org/spreadsheetml/2006/main" count="26" uniqueCount="16">
  <si>
    <t>Quota</t>
  </si>
  <si>
    <t>H1</t>
  </si>
  <si>
    <t>H2</t>
  </si>
  <si>
    <t>Y1</t>
  </si>
  <si>
    <t>Salary</t>
  </si>
  <si>
    <t>Territory and Team</t>
  </si>
  <si>
    <t>Personal Led</t>
  </si>
  <si>
    <t>MBO</t>
  </si>
  <si>
    <t>Attainment</t>
  </si>
  <si>
    <t>Personal</t>
  </si>
  <si>
    <t>New Rep Quota</t>
  </si>
  <si>
    <t>Compensation</t>
  </si>
  <si>
    <t>Region Commission Override</t>
  </si>
  <si>
    <t>Personal Commission</t>
  </si>
  <si>
    <t>MBO's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</si>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</sst>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&quot;￥&quot;* #,##0.00_ ;_ &quot;￥&quot;* \-#,##0.00_ ;_ &quot;￥&quot;* &quot;-&quot;??_ ;_ @_ "/>
    <numFmt numFmtId="165" formatCode="_(&quot;$&quot;* #,##0_);_(&quot;$&quot;* \(#,##0\);_(&quot;$&quot;* &quot;-&quot;??_);_(@_)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165" fontId="2" fillId="0" borderId="0" xfId="1" applyNumberFormat="1" applyFont="1" applyAlignment="1"/>
    <xf numFmtId="165" fontId="2" fillId="0" borderId="1" xfId="1" applyNumberFormat="1" applyFont="1" applyBorder="1" applyAlignment="1"/>
    <xf numFmtId="165" fontId="2" fillId="0" borderId="0" xfId="0" applyNumberFormat="1" applyFont="1" applyFill="1" applyAlignment="1"/>
    <xf numFmtId="0" fontId="1" fillId="2" borderId="0" xfId="0" applyFont="1" applyFill="1" applyAlignment="1">
      <alignment horizontal="right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165" fontId="2" fillId="0" borderId="0" xfId="1" applyNumberFormat="1" applyFont="1" applyFill="1" applyAlignment="1"/>
    <xf numFmtId="165" fontId="2" fillId="0" borderId="1" xfId="1" applyNumberFormat="1" applyFont="1" applyFill="1" applyBorder="1" applyAlignment="1"/>
    <xf numFmtId="9" fontId="2" fillId="0" borderId="1" xfId="2" applyFont="1" applyFill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>
      <selection activeCell="B6" sqref="B6"/>
    </sheetView>
  </sheetViews>
  <sheetFormatPr defaultColWidth="9.26953125" defaultRowHeight="14.5"/>
  <cols>
    <col min="1" max="1" width="29.81640625" customWidth="1"/>
    <col min="3" max="3" width="13.90625" customWidth="1"/>
    <col min="4" max="4" width="11.36328125" customWidth="1"/>
    <col min="5" max="5" width="14.36328125" customWidth="1"/>
  </cols>
  <sheetData>
    <row r="1" spans="1:5" ht="15.5">
      <c r="A1" s="8" t="s">
        <v>0</v>
      </c>
      <c r="B1" s="1"/>
      <c r="C1" s="9" t="s">
        <v>1</v>
      </c>
      <c r="D1" s="9" t="s">
        <v>2</v>
      </c>
      <c r="E1" s="9" t="s">
        <v>3</v>
      </c>
    </row>
    <row r="2" spans="1:5" ht="15.5">
      <c r="A2" s="2" t="s">
        <v>4</v>
      </c>
      <c r="B2" s="3"/>
      <c r="C2" s="10">
        <v>52500</v>
      </c>
      <c r="D2" s="10">
        <v>52500</v>
      </c>
      <c r="E2" s="10">
        <f>C2+D2</f>
        <v>105000</v>
      </c>
    </row>
    <row r="3" spans="1:5" ht="15.5">
      <c r="A3" s="2" t="s">
        <v>5</v>
      </c>
      <c r="B3" s="3"/>
      <c r="C3" s="10">
        <v>550000</v>
      </c>
      <c r="D3" s="10">
        <v>550000</v>
      </c>
      <c r="E3" s="10">
        <f>D3+C3</f>
        <v>1100000</v>
      </c>
    </row>
    <row r="4" spans="1:5" ht="15.5">
      <c r="A4" s="2" t="s">
        <v>6</v>
      </c>
      <c r="B4" s="3"/>
      <c r="C4" s="10">
        <v>150000</v>
      </c>
      <c r="D4" s="10">
        <v>150000</v>
      </c>
      <c r="E4" s="10">
        <f>D4+C4</f>
        <v>300000</v>
      </c>
    </row>
    <row r="5" spans="1:5" ht="15.5">
      <c r="A5" s="2" t="s">
        <v>7</v>
      </c>
      <c r="B5" s="3"/>
      <c r="C5" s="11">
        <v>5000</v>
      </c>
      <c r="D5" s="11">
        <v>5000</v>
      </c>
      <c r="E5" s="11">
        <f>D5+C5</f>
        <v>10000</v>
      </c>
    </row>
    <row r="6" spans="1:5" ht="15.5">
      <c r="A6" s="2"/>
      <c r="B6" s="3"/>
      <c r="C6" s="3"/>
      <c r="D6" s="3"/>
      <c r="E6" s="10"/>
    </row>
    <row r="7" spans="1:5" ht="15.5">
      <c r="A7" s="8" t="s">
        <v>8</v>
      </c>
      <c r="B7" s="3"/>
      <c r="C7" s="9" t="s">
        <v>1</v>
      </c>
      <c r="D7" s="9" t="s">
        <v>2</v>
      </c>
      <c r="E7" s="9" t="s">
        <v>3</v>
      </c>
    </row>
    <row r="8" spans="1:5" ht="15.5">
      <c r="A8" s="2" t="s">
        <v>5</v>
      </c>
      <c r="B8" s="3"/>
      <c r="C8" s="10">
        <v>550000</v>
      </c>
      <c r="D8" s="10">
        <v>550000</v>
      </c>
      <c r="E8" s="10">
        <f t="shared" ref="E8:E10" si="0">SUM(C8:D8)</f>
        <v>1100000</v>
      </c>
    </row>
    <row r="9" spans="1:5" ht="15.5">
      <c r="A9" s="2" t="s">
        <v>9</v>
      </c>
      <c r="B9" s="3"/>
      <c r="C9" s="10">
        <v>150000</v>
      </c>
      <c r="D9" s="10">
        <v>150000</v>
      </c>
      <c r="E9" s="10">
        <f t="shared" si="0"/>
        <v>300000</v>
      </c>
    </row>
    <row r="10" spans="1:5" ht="15.5">
      <c r="A10" s="2" t="s">
        <v>10</v>
      </c>
      <c r="B10" s="3"/>
      <c r="C10" s="10">
        <v>100000</v>
      </c>
      <c r="D10" s="10">
        <v>100000</v>
      </c>
      <c r="E10" s="10">
        <f t="shared" si="0"/>
        <v>200000</v>
      </c>
    </row>
    <row r="11" spans="1:5" ht="15.5">
      <c r="A11" s="2" t="s">
        <v>7</v>
      </c>
      <c r="B11" s="3"/>
      <c r="C11" s="12">
        <v>1</v>
      </c>
      <c r="D11" s="12">
        <v>1</v>
      </c>
      <c r="E11" s="11"/>
    </row>
    <row r="12" spans="1:5" ht="15.5">
      <c r="A12" s="3"/>
      <c r="B12" s="3"/>
      <c r="C12" s="3"/>
      <c r="D12" s="3"/>
      <c r="E12" s="3"/>
    </row>
    <row r="13" spans="1:5" ht="15.5">
      <c r="A13" s="8" t="s">
        <v>11</v>
      </c>
      <c r="B13" s="3"/>
      <c r="C13" s="9" t="s">
        <v>1</v>
      </c>
      <c r="D13" s="9" t="s">
        <v>2</v>
      </c>
      <c r="E13" s="9" t="s">
        <v>3</v>
      </c>
    </row>
    <row r="14" spans="1:5" ht="15.5">
      <c r="A14" s="2" t="s">
        <v>4</v>
      </c>
      <c r="B14" s="3"/>
      <c r="C14" s="6">
        <f>C2</f>
        <v>52500</v>
      </c>
      <c r="D14" s="6">
        <f>D2</f>
        <v>52500</v>
      </c>
      <c r="E14" s="6">
        <f>E2</f>
        <v>105000</v>
      </c>
    </row>
    <row r="15" spans="1:5" ht="15.5">
      <c r="A15" s="2" t="s">
        <v>12</v>
      </c>
      <c r="B15" s="3"/>
      <c r="C15" s="4">
        <f>C3*G15</f>
        <v>0</v>
      </c>
      <c r="D15" s="4">
        <f>D3*H15</f>
        <v>0</v>
      </c>
      <c r="E15" s="4">
        <f t="shared" ref="E15:E18" si="1">D15+C15</f>
        <v>0</v>
      </c>
    </row>
    <row r="16" spans="1:5" ht="15.5">
      <c r="A16" s="2" t="s">
        <v>13</v>
      </c>
      <c r="B16" s="3"/>
      <c r="C16" s="4">
        <f>C9*0.06</f>
        <v>9000</v>
      </c>
      <c r="D16" s="4">
        <f>D9*0.06</f>
        <v>9000</v>
      </c>
      <c r="E16" s="4">
        <f t="shared" si="1"/>
        <v>18000</v>
      </c>
    </row>
    <row r="17" spans="1:5" ht="15.5">
      <c r="A17" s="2" t="s">
        <v>10</v>
      </c>
      <c r="B17" s="3"/>
      <c r="C17" s="4">
        <f>C10*0.035</f>
        <v>3500</v>
      </c>
      <c r="D17" s="4">
        <f>D10*0.035</f>
        <v>3500</v>
      </c>
      <c r="E17" s="4">
        <f t="shared" si="1"/>
        <v>7000</v>
      </c>
    </row>
    <row r="18" spans="1:5" ht="15.5">
      <c r="A18" s="2" t="s">
        <v>14</v>
      </c>
      <c r="B18" s="3"/>
      <c r="C18" s="5">
        <f>C5*C11</f>
        <v>5000</v>
      </c>
      <c r="D18" s="5">
        <f>D5*D11</f>
        <v>5000</v>
      </c>
      <c r="E18" s="5">
        <f t="shared" si="1"/>
        <v>10000</v>
      </c>
    </row>
    <row r="19" spans="1:5" ht="15.5">
      <c r="A19" s="7" t="s">
        <v>15</v>
      </c>
      <c r="B19" s="3"/>
      <c r="C19" s="6">
        <f>SUM(C14:C18)</f>
        <v>70000</v>
      </c>
      <c r="D19" s="6">
        <f>SUM(D14:D18)</f>
        <v>70000</v>
      </c>
      <c r="E19" s="6">
        <f>SUM(E14:E18)</f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2024-12-15T23:04:39Z</dcterms:created>
  <dcterms:modified xsi:type="dcterms:W3CDTF">2026-04-28T01:34:43Z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2052-6.8.2.8850</vt:lpwstr>
  </property>
</Properties>
</file>