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160" windowHeight="11020"/>
  </bookViews>
  <sheets>
    <sheet name="Figure 3, panel A" sheetId="1" r:id="rId1"/>
  </sheets>
  <calcPr calcId="145621"/>
</workbook>
</file>

<file path=xl/calcChain.xml><?xml version="1.0" encoding="utf-8"?>
<calcChain xmlns="http://schemas.openxmlformats.org/spreadsheetml/2006/main">
  <c r="F28" i="1" l="1"/>
  <c r="F27" i="1"/>
  <c r="F26" i="1"/>
  <c r="F25" i="1"/>
  <c r="F24" i="1"/>
  <c r="F23" i="1"/>
  <c r="F22" i="1"/>
  <c r="F21" i="1"/>
  <c r="H20" i="1"/>
  <c r="F20" i="1"/>
  <c r="G20" i="1" s="1"/>
  <c r="F19" i="1"/>
  <c r="F18" i="1"/>
  <c r="F17" i="1"/>
  <c r="F16" i="1"/>
  <c r="F15" i="1"/>
  <c r="F14" i="1"/>
  <c r="F13" i="1"/>
  <c r="F12" i="1"/>
  <c r="H11" i="1"/>
  <c r="F11" i="1"/>
  <c r="G11" i="1" s="1"/>
  <c r="F10" i="1"/>
  <c r="F9" i="1"/>
  <c r="F8" i="1"/>
  <c r="F7" i="1"/>
  <c r="F6" i="1"/>
  <c r="F5" i="1"/>
  <c r="F4" i="1"/>
  <c r="F3" i="1"/>
  <c r="H2" i="1"/>
  <c r="F2" i="1"/>
  <c r="G2" i="1" s="1"/>
</calcChain>
</file>

<file path=xl/sharedStrings.xml><?xml version="1.0" encoding="utf-8"?>
<sst xmlns="http://schemas.openxmlformats.org/spreadsheetml/2006/main" count="65" uniqueCount="17">
  <si>
    <t>Organism</t>
  </si>
  <si>
    <t>Material</t>
  </si>
  <si>
    <t>Sampler</t>
  </si>
  <si>
    <t>Log10 Recovery (Inoculation Control)</t>
  </si>
  <si>
    <t>Log10 Recovery (Test Sample)</t>
  </si>
  <si>
    <t>Delta Log Recovery</t>
  </si>
  <si>
    <t>Mean Delta Log Recovery</t>
  </si>
  <si>
    <t>Standard Deviation Log Recovery</t>
  </si>
  <si>
    <t>Escherichia coli</t>
  </si>
  <si>
    <t>ABS Plastic</t>
  </si>
  <si>
    <t>3M</t>
  </si>
  <si>
    <t>LabPlas</t>
  </si>
  <si>
    <t>Solar Cult</t>
  </si>
  <si>
    <t>Glass</t>
  </si>
  <si>
    <t>Stainless Steel</t>
  </si>
  <si>
    <t>Serratia marcescens</t>
  </si>
  <si>
    <t>Yersinia ruckeri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</si>
</sst>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charset val="134"/>
      <scheme val="minor"/>
    </font>
    <font>
      <b/>
      <sz val="11"/>
      <color rgb="FF000000"/>
      <name val="Calibri"/>
      <charset val="134"/>
    </font>
    <font>
      <i/>
      <sz val="11"/>
      <color theme="1"/>
      <name val="Calibri"/>
      <charset val="134"/>
    </font>
    <font>
      <sz val="11"/>
      <color theme="1"/>
      <name val="Calibri"/>
      <charset val="134"/>
    </font>
    <font>
      <sz val="11"/>
      <color rgb="FF000000"/>
      <name val="Calibri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D9E1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3" fillId="0" borderId="1" xfId="0" applyFont="1" applyFill="1" applyBorder="1" applyAlignment="1">
      <alignment horizontal="left" indent="3"/>
    </xf>
    <xf numFmtId="0" fontId="3" fillId="0" borderId="1" xfId="0" applyFont="1" applyFill="1" applyBorder="1" applyAlignment="1">
      <alignment horizontal="center"/>
    </xf>
    <xf numFmtId="0" fontId="0" fillId="0" borderId="1" xfId="0" applyFill="1" applyBorder="1"/>
    <xf numFmtId="0" fontId="4" fillId="0" borderId="1" xfId="0" applyFont="1" applyBorder="1"/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Views>
    <sheetView tabSelected="1" workbookViewId="0">
      <selection sqref="A1:H1"/>
    </sheetView>
  </sheetViews>
  <sheetFormatPr defaultColWidth="9.7265625" defaultRowHeight="14.5"/>
  <cols>
    <col min="1" max="1" width="25.36328125" customWidth="1"/>
    <col min="2" max="2" width="22.36328125" customWidth="1"/>
    <col min="3" max="3" width="22" style="1" customWidth="1"/>
    <col min="4" max="4" width="18.6328125" customWidth="1"/>
    <col min="5" max="5" width="16.81640625" customWidth="1"/>
    <col min="6" max="6" width="17.36328125" customWidth="1"/>
    <col min="7" max="7" width="14.08984375" customWidth="1"/>
    <col min="8" max="8" width="15.90625" customWidth="1"/>
  </cols>
  <sheetData>
    <row r="1" spans="1:8" ht="43.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</row>
    <row r="2" spans="1:8">
      <c r="A2" s="6" t="s">
        <v>8</v>
      </c>
      <c r="B2" s="2" t="s">
        <v>9</v>
      </c>
      <c r="C2" s="3" t="s">
        <v>10</v>
      </c>
      <c r="D2" s="4">
        <v>7.7913592434444103</v>
      </c>
      <c r="E2" s="5">
        <v>4.72762050043944</v>
      </c>
      <c r="F2" s="5">
        <f t="shared" ref="F2:F28" si="0">D2-E2</f>
        <v>3.0637387430049703</v>
      </c>
      <c r="G2" s="7">
        <f>AVERAGE(F2:F10)</f>
        <v>2.1039572339427659</v>
      </c>
      <c r="H2" s="7">
        <f>_xlfn.STDEV.P(F2:F10)</f>
        <v>0.51059949952278583</v>
      </c>
    </row>
    <row r="3" spans="1:8">
      <c r="A3" s="6"/>
      <c r="B3" s="2" t="s">
        <v>9</v>
      </c>
      <c r="C3" s="3" t="s">
        <v>11</v>
      </c>
      <c r="D3" s="4">
        <v>7.8437157121393701</v>
      </c>
      <c r="E3" s="5">
        <v>5.7635838512620303</v>
      </c>
      <c r="F3" s="5">
        <f t="shared" si="0"/>
        <v>2.0801318608773398</v>
      </c>
      <c r="G3" s="7"/>
      <c r="H3" s="7"/>
    </row>
    <row r="4" spans="1:8">
      <c r="A4" s="6"/>
      <c r="B4" s="2" t="s">
        <v>9</v>
      </c>
      <c r="C4" s="3" t="s">
        <v>12</v>
      </c>
      <c r="D4" s="4">
        <v>7.7555971511133803</v>
      </c>
      <c r="E4" s="5">
        <v>6.2561876940837502</v>
      </c>
      <c r="F4" s="5">
        <f t="shared" si="0"/>
        <v>1.4994094570296301</v>
      </c>
      <c r="G4" s="7"/>
      <c r="H4" s="7"/>
    </row>
    <row r="5" spans="1:8">
      <c r="A5" s="6"/>
      <c r="B5" s="2" t="s">
        <v>13</v>
      </c>
      <c r="C5" s="3" t="s">
        <v>10</v>
      </c>
      <c r="D5" s="4">
        <v>7.7478498178752098</v>
      </c>
      <c r="E5" s="5">
        <v>5.4735844071513</v>
      </c>
      <c r="F5" s="5">
        <f t="shared" si="0"/>
        <v>2.2742654107239098</v>
      </c>
      <c r="G5" s="7"/>
      <c r="H5" s="7"/>
    </row>
    <row r="6" spans="1:8">
      <c r="A6" s="6"/>
      <c r="B6" s="2" t="s">
        <v>13</v>
      </c>
      <c r="C6" s="3" t="s">
        <v>11</v>
      </c>
      <c r="D6" s="4">
        <v>7.6808975419655097</v>
      </c>
      <c r="E6" s="5">
        <v>6.19206081086993</v>
      </c>
      <c r="F6" s="5">
        <f t="shared" si="0"/>
        <v>1.4888367310955797</v>
      </c>
      <c r="G6" s="7"/>
      <c r="H6" s="7"/>
    </row>
    <row r="7" spans="1:8">
      <c r="A7" s="6"/>
      <c r="B7" s="2" t="s">
        <v>13</v>
      </c>
      <c r="C7" s="3" t="s">
        <v>12</v>
      </c>
      <c r="D7" s="4">
        <v>7.7563158187764003</v>
      </c>
      <c r="E7" s="5">
        <v>5.7573990658023302</v>
      </c>
      <c r="F7" s="5">
        <f t="shared" si="0"/>
        <v>1.9989167529740701</v>
      </c>
      <c r="G7" s="7"/>
      <c r="H7" s="7"/>
    </row>
    <row r="8" spans="1:8">
      <c r="A8" s="6"/>
      <c r="B8" s="2" t="s">
        <v>14</v>
      </c>
      <c r="C8" s="3" t="s">
        <v>10</v>
      </c>
      <c r="D8" s="4">
        <v>7.8586225218418297</v>
      </c>
      <c r="E8" s="5">
        <v>5.8302735864156201</v>
      </c>
      <c r="F8" s="5">
        <f t="shared" si="0"/>
        <v>2.0283489354262096</v>
      </c>
      <c r="G8" s="7"/>
      <c r="H8" s="7"/>
    </row>
    <row r="9" spans="1:8">
      <c r="A9" s="6"/>
      <c r="B9" s="2" t="s">
        <v>14</v>
      </c>
      <c r="C9" s="3" t="s">
        <v>11</v>
      </c>
      <c r="D9" s="4">
        <v>7.6308307617314499</v>
      </c>
      <c r="E9" s="5">
        <v>4.8358716506461503</v>
      </c>
      <c r="F9" s="5">
        <f t="shared" si="0"/>
        <v>2.7949591110852996</v>
      </c>
      <c r="G9" s="7"/>
      <c r="H9" s="7"/>
    </row>
    <row r="10" spans="1:8">
      <c r="A10" s="6"/>
      <c r="B10" s="2" t="s">
        <v>14</v>
      </c>
      <c r="C10" s="3" t="s">
        <v>12</v>
      </c>
      <c r="D10" s="4">
        <v>7.7737471845353898</v>
      </c>
      <c r="E10" s="5">
        <v>6.0667390812675102</v>
      </c>
      <c r="F10" s="5">
        <f t="shared" si="0"/>
        <v>1.7070081032678797</v>
      </c>
      <c r="G10" s="7"/>
      <c r="H10" s="7"/>
    </row>
    <row r="11" spans="1:8">
      <c r="A11" s="6" t="s">
        <v>15</v>
      </c>
      <c r="B11" s="2" t="s">
        <v>9</v>
      </c>
      <c r="C11" s="3" t="s">
        <v>12</v>
      </c>
      <c r="D11" s="5">
        <v>7.7279333359378697</v>
      </c>
      <c r="E11" s="5">
        <v>6.6076096344422499</v>
      </c>
      <c r="F11" s="5">
        <f t="shared" si="0"/>
        <v>1.1203237014956198</v>
      </c>
      <c r="G11" s="7">
        <f>AVERAGE(F11:F19)</f>
        <v>2.3451494053730579</v>
      </c>
      <c r="H11" s="7">
        <f>_xlfn.STDEV.P(F11:F19)</f>
        <v>0.82260914617823644</v>
      </c>
    </row>
    <row r="12" spans="1:8">
      <c r="A12" s="6"/>
      <c r="B12" s="2" t="s">
        <v>9</v>
      </c>
      <c r="C12" s="3" t="s">
        <v>10</v>
      </c>
      <c r="D12" s="5">
        <v>7.73413787582101</v>
      </c>
      <c r="E12" s="5">
        <v>5.5751855902935104</v>
      </c>
      <c r="F12" s="5">
        <f t="shared" si="0"/>
        <v>2.1589522855274996</v>
      </c>
      <c r="G12" s="7"/>
      <c r="H12" s="7"/>
    </row>
    <row r="13" spans="1:8">
      <c r="A13" s="6"/>
      <c r="B13" s="2" t="s">
        <v>9</v>
      </c>
      <c r="C13" s="3" t="s">
        <v>11</v>
      </c>
      <c r="D13" s="5">
        <v>7.0677803416206997</v>
      </c>
      <c r="E13" s="5">
        <v>3.3805260868211602</v>
      </c>
      <c r="F13" s="5">
        <f t="shared" si="0"/>
        <v>3.6872542547995395</v>
      </c>
      <c r="G13" s="7"/>
      <c r="H13" s="7"/>
    </row>
    <row r="14" spans="1:8">
      <c r="A14" s="6"/>
      <c r="B14" s="2" t="s">
        <v>13</v>
      </c>
      <c r="C14" s="3" t="s">
        <v>12</v>
      </c>
      <c r="D14" s="5">
        <v>7.7279333359378697</v>
      </c>
      <c r="E14" s="5">
        <v>6.3688797706960001</v>
      </c>
      <c r="F14" s="5">
        <f t="shared" si="0"/>
        <v>1.3590535652418696</v>
      </c>
      <c r="G14" s="7"/>
      <c r="H14" s="7"/>
    </row>
    <row r="15" spans="1:8">
      <c r="A15" s="6"/>
      <c r="B15" s="2" t="s">
        <v>13</v>
      </c>
      <c r="C15" s="3" t="s">
        <v>10</v>
      </c>
      <c r="D15" s="5">
        <v>7.73413787582101</v>
      </c>
      <c r="E15" s="5">
        <v>5.3987887912280401</v>
      </c>
      <c r="F15" s="5">
        <f t="shared" si="0"/>
        <v>2.3353490845929699</v>
      </c>
      <c r="G15" s="7"/>
      <c r="H15" s="7"/>
    </row>
    <row r="16" spans="1:8">
      <c r="A16" s="6"/>
      <c r="B16" s="2" t="s">
        <v>13</v>
      </c>
      <c r="C16" s="3" t="s">
        <v>11</v>
      </c>
      <c r="D16" s="5">
        <v>7.0677803416206997</v>
      </c>
      <c r="E16" s="5">
        <v>4.0155141756081099</v>
      </c>
      <c r="F16" s="5">
        <f t="shared" si="0"/>
        <v>3.0522661660125898</v>
      </c>
      <c r="G16" s="7"/>
      <c r="H16" s="7"/>
    </row>
    <row r="17" spans="1:8">
      <c r="A17" s="6"/>
      <c r="B17" s="2" t="s">
        <v>14</v>
      </c>
      <c r="C17" s="3" t="s">
        <v>12</v>
      </c>
      <c r="D17" s="5">
        <v>7.7279333359378697</v>
      </c>
      <c r="E17" s="5">
        <v>6.1513586046370499</v>
      </c>
      <c r="F17" s="5">
        <f t="shared" si="0"/>
        <v>1.5765747313008198</v>
      </c>
      <c r="G17" s="7"/>
      <c r="H17" s="7"/>
    </row>
    <row r="18" spans="1:8">
      <c r="A18" s="6"/>
      <c r="B18" s="2" t="s">
        <v>14</v>
      </c>
      <c r="C18" s="3" t="s">
        <v>10</v>
      </c>
      <c r="D18" s="5">
        <v>7.73413787582101</v>
      </c>
      <c r="E18" s="5">
        <v>4.9940976666016201</v>
      </c>
      <c r="F18" s="5">
        <f t="shared" si="0"/>
        <v>2.7400402092193898</v>
      </c>
      <c r="G18" s="7"/>
      <c r="H18" s="7"/>
    </row>
    <row r="19" spans="1:8">
      <c r="A19" s="6"/>
      <c r="B19" s="2" t="s">
        <v>14</v>
      </c>
      <c r="C19" s="3" t="s">
        <v>11</v>
      </c>
      <c r="D19" s="5">
        <v>7.0677803416206997</v>
      </c>
      <c r="E19" s="5">
        <v>3.9912496914534801</v>
      </c>
      <c r="F19" s="5">
        <f t="shared" si="0"/>
        <v>3.0765306501672196</v>
      </c>
      <c r="G19" s="7"/>
      <c r="H19" s="7"/>
    </row>
    <row r="20" spans="1:8">
      <c r="A20" s="6" t="s">
        <v>16</v>
      </c>
      <c r="B20" s="2" t="s">
        <v>9</v>
      </c>
      <c r="C20" s="3" t="s">
        <v>10</v>
      </c>
      <c r="D20" s="5">
        <v>7.7459990160891401</v>
      </c>
      <c r="E20" s="5">
        <v>3.8491109888651298</v>
      </c>
      <c r="F20" s="5">
        <f t="shared" si="0"/>
        <v>3.8968880272240103</v>
      </c>
      <c r="G20" s="7">
        <f>AVERAGE(F20:F28)</f>
        <v>2.4640025720235235</v>
      </c>
      <c r="H20" s="7">
        <f>_xlfn.STDEV.P(F20:F28)</f>
        <v>1.1377458982485933</v>
      </c>
    </row>
    <row r="21" spans="1:8">
      <c r="A21" s="6"/>
      <c r="B21" s="2" t="s">
        <v>9</v>
      </c>
      <c r="C21" s="3" t="s">
        <v>11</v>
      </c>
      <c r="D21" s="5">
        <v>7.5690186429209501</v>
      </c>
      <c r="E21" s="5">
        <v>5.29781794278174</v>
      </c>
      <c r="F21" s="5">
        <f t="shared" si="0"/>
        <v>2.27120070013921</v>
      </c>
      <c r="G21" s="7"/>
      <c r="H21" s="7"/>
    </row>
    <row r="22" spans="1:8">
      <c r="A22" s="6"/>
      <c r="B22" s="2" t="s">
        <v>9</v>
      </c>
      <c r="C22" s="3" t="s">
        <v>12</v>
      </c>
      <c r="D22" s="5">
        <v>7.5142009064725999</v>
      </c>
      <c r="E22" s="5">
        <v>6.2842907793361498</v>
      </c>
      <c r="F22" s="5">
        <f t="shared" si="0"/>
        <v>1.2299101271364501</v>
      </c>
      <c r="G22" s="7"/>
      <c r="H22" s="7"/>
    </row>
    <row r="23" spans="1:8">
      <c r="A23" s="6"/>
      <c r="B23" s="2" t="s">
        <v>13</v>
      </c>
      <c r="C23" s="3" t="s">
        <v>10</v>
      </c>
      <c r="D23" s="5">
        <v>7.7459990160891401</v>
      </c>
      <c r="E23" s="5">
        <v>3.8075603533350502</v>
      </c>
      <c r="F23" s="5">
        <f t="shared" si="0"/>
        <v>3.9384386627540899</v>
      </c>
      <c r="G23" s="7"/>
      <c r="H23" s="7"/>
    </row>
    <row r="24" spans="1:8">
      <c r="A24" s="6"/>
      <c r="B24" s="2" t="s">
        <v>13</v>
      </c>
      <c r="C24" s="3" t="s">
        <v>11</v>
      </c>
      <c r="D24" s="5">
        <v>7.5690186429209501</v>
      </c>
      <c r="E24" s="5">
        <v>5.4780161974767498</v>
      </c>
      <c r="F24" s="5">
        <f t="shared" si="0"/>
        <v>2.0910024454442002</v>
      </c>
      <c r="G24" s="7"/>
      <c r="H24" s="7"/>
    </row>
    <row r="25" spans="1:8">
      <c r="A25" s="6"/>
      <c r="B25" s="2" t="s">
        <v>13</v>
      </c>
      <c r="C25" s="3" t="s">
        <v>12</v>
      </c>
      <c r="D25" s="5">
        <v>7.5142009064725999</v>
      </c>
      <c r="E25" s="5">
        <v>6.2987629643108098</v>
      </c>
      <c r="F25" s="5">
        <f t="shared" si="0"/>
        <v>1.21543794216179</v>
      </c>
      <c r="G25" s="7"/>
      <c r="H25" s="7"/>
    </row>
    <row r="26" spans="1:8">
      <c r="A26" s="6"/>
      <c r="B26" s="2" t="s">
        <v>14</v>
      </c>
      <c r="C26" s="3" t="s">
        <v>10</v>
      </c>
      <c r="D26" s="5">
        <v>7.7459990160891401</v>
      </c>
      <c r="E26" s="5">
        <v>3.72689565997511</v>
      </c>
      <c r="F26" s="5">
        <f t="shared" si="0"/>
        <v>4.0191033561140301</v>
      </c>
      <c r="G26" s="7"/>
      <c r="H26" s="7"/>
    </row>
    <row r="27" spans="1:8">
      <c r="A27" s="6"/>
      <c r="B27" s="2" t="s">
        <v>14</v>
      </c>
      <c r="C27" s="3" t="s">
        <v>11</v>
      </c>
      <c r="D27" s="5">
        <v>7.5690186429209501</v>
      </c>
      <c r="E27" s="5">
        <v>5.20089823960737</v>
      </c>
      <c r="F27" s="5">
        <f t="shared" si="0"/>
        <v>2.3681204033135801</v>
      </c>
      <c r="G27" s="7"/>
      <c r="H27" s="7"/>
    </row>
    <row r="28" spans="1:8">
      <c r="A28" s="6"/>
      <c r="B28" s="2" t="s">
        <v>14</v>
      </c>
      <c r="C28" s="3" t="s">
        <v>12</v>
      </c>
      <c r="D28" s="5">
        <v>7.5142009064725999</v>
      </c>
      <c r="E28" s="5">
        <v>6.36827942254825</v>
      </c>
      <c r="F28" s="5">
        <f t="shared" si="0"/>
        <v>1.1459214839243499</v>
      </c>
      <c r="G28" s="7"/>
      <c r="H28" s="7"/>
    </row>
  </sheetData>
  <mergeCells count="9">
    <mergeCell ref="H2:H10"/>
    <mergeCell ref="H11:H19"/>
    <mergeCell ref="H20:H28"/>
    <mergeCell ref="A2:A10"/>
    <mergeCell ref="A11:A19"/>
    <mergeCell ref="A20:A28"/>
    <mergeCell ref="G2:G10"/>
    <mergeCell ref="G11:G19"/>
    <mergeCell ref="G20:G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Figure 3, panel 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79501</cp:lastModifiedBy>
  <dcterms:created xsi:type="dcterms:W3CDTF">2024-11-19T23:48:00Z</dcterms:created>
  <dcterms:modified xsi:type="dcterms:W3CDTF">2026-01-27T02:40:46Z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139A28EA9DEA6ED5CE423C67F34445B6_41</vt:lpwstr>
  </property>
  <property fmtid="{D5CDD505-2E9C-101B-9397-08002B2CF9AE}" pid="3" name="KSOProductBuildVer">
    <vt:lpwstr>2052-6.2.0.8299</vt:lpwstr>
  </property>
</Properties>
</file>