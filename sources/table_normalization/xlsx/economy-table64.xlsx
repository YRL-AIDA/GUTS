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6" i="1" l="1"/>
  <c r="G56" i="1"/>
  <c r="F56" i="1"/>
  <c r="E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A2" i="1"/>
</calcChain>
</file>

<file path=xl/sharedStrings.xml><?xml version="1.0" encoding="utf-8"?>
<sst xmlns="http://schemas.openxmlformats.org/spreadsheetml/2006/main" count="157" uniqueCount="28">
  <si>
    <t>60507 - Fitness Memberships</t>
  </si>
  <si>
    <t>FEB2014</t>
  </si>
  <si>
    <t>Membership Type</t>
  </si>
  <si>
    <t>Month Sold</t>
  </si>
  <si>
    <t>Proration</t>
  </si>
  <si>
    <t>GL Code</t>
  </si>
  <si>
    <t>Opening Balance</t>
  </si>
  <si>
    <t>Sold</t>
  </si>
  <si>
    <t>Revenue</t>
  </si>
  <si>
    <t>Closing Balance</t>
  </si>
  <si>
    <t>2013</t>
  </si>
  <si>
    <t>3month</t>
  </si>
  <si>
    <t>JAN</t>
  </si>
  <si>
    <t>114003-40</t>
  </si>
  <si>
    <t>12 month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</si>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</sst>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#\ ??/12"/>
    <numFmt numFmtId="166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4"/>
      <name val="Arial"/>
      <charset val="134"/>
    </font>
    <font>
      <sz val="10"/>
      <color theme="0"/>
      <name val="Arial"/>
      <charset val="134"/>
    </font>
    <font>
      <sz val="10"/>
      <name val="Arial"/>
      <charset val="134"/>
    </font>
    <font>
      <b/>
      <sz val="10"/>
      <name val="Arial"/>
      <charset val="134"/>
    </font>
    <font>
      <b/>
      <sz val="15"/>
      <name val="Arial"/>
      <charset val="134"/>
    </font>
    <font>
      <sz val="10"/>
      <color indexed="12"/>
      <name val="Arial"/>
      <charset val="134"/>
    </font>
    <font>
      <b/>
      <sz val="10"/>
      <color indexed="12"/>
      <name val="Arial"/>
      <charset val="13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4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8"/>
      </patternFill>
    </fill>
    <fill>
      <patternFill patternType="solid">
        <fgColor rgb="FF00B050"/>
        <bgColor indexed="64"/>
      </patternFill>
    </fill>
  </fills>
  <borders count="35">
    <border>
      <left/>
      <right/>
      <top/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double">
        <color theme="1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medium">
        <color indexed="8"/>
      </bottom>
      <diagonal/>
    </border>
    <border>
      <left style="double">
        <color theme="1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double">
        <color theme="1"/>
      </left>
      <right style="thin">
        <color theme="1"/>
      </right>
      <top style="thick">
        <color theme="6" tint="-0.24994659260841701"/>
      </top>
      <bottom/>
      <diagonal/>
    </border>
    <border>
      <left style="thin">
        <color theme="1"/>
      </left>
      <right style="thin">
        <color theme="1"/>
      </right>
      <top style="thick">
        <color theme="6" tint="-0.24994659260841701"/>
      </top>
      <bottom/>
      <diagonal/>
    </border>
    <border>
      <left style="double">
        <color theme="1"/>
      </left>
      <right style="thin">
        <color theme="1"/>
      </right>
      <top/>
      <bottom style="thick">
        <color theme="6" tint="-0.24994659260841701"/>
      </bottom>
      <diagonal/>
    </border>
    <border>
      <left style="thin">
        <color theme="1"/>
      </left>
      <right style="thin">
        <color theme="1"/>
      </right>
      <top/>
      <bottom style="thick">
        <color theme="6" tint="-0.24994659260841701"/>
      </bottom>
      <diagonal/>
    </border>
    <border>
      <left style="double">
        <color theme="1"/>
      </left>
      <right/>
      <top/>
      <bottom/>
      <diagonal/>
    </border>
    <border>
      <left style="double">
        <color theme="1"/>
      </left>
      <right style="thin">
        <color theme="1"/>
      </right>
      <top style="thick">
        <color rgb="FFFFFF00"/>
      </top>
      <bottom/>
      <diagonal/>
    </border>
    <border>
      <left style="thin">
        <color theme="1"/>
      </left>
      <right style="thin">
        <color theme="1"/>
      </right>
      <top style="thick">
        <color rgb="FFFFFF00"/>
      </top>
      <bottom/>
      <diagonal/>
    </border>
    <border>
      <left style="double">
        <color theme="1"/>
      </left>
      <right style="thin">
        <color theme="1"/>
      </right>
      <top/>
      <bottom style="thick">
        <color rgb="FFFFFF00"/>
      </bottom>
      <diagonal/>
    </border>
    <border>
      <left style="thin">
        <color theme="1"/>
      </left>
      <right style="thin">
        <color theme="1"/>
      </right>
      <top/>
      <bottom style="thick">
        <color rgb="FFFFFF00"/>
      </bottom>
      <diagonal/>
    </border>
    <border>
      <left style="double">
        <color theme="1"/>
      </left>
      <right/>
      <top/>
      <bottom style="double">
        <color indexed="8"/>
      </bottom>
      <diagonal/>
    </border>
    <border>
      <left/>
      <right style="thin">
        <color indexed="8"/>
      </right>
      <top/>
      <bottom style="double">
        <color indexed="8"/>
      </bottom>
      <diagonal/>
    </border>
    <border>
      <left style="thin">
        <color theme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theme="1"/>
      </right>
      <top style="thin">
        <color indexed="8"/>
      </top>
      <bottom/>
      <diagonal/>
    </border>
    <border>
      <left style="thin">
        <color theme="1"/>
      </left>
      <right style="double">
        <color theme="1"/>
      </right>
      <top style="thin">
        <color auto="1"/>
      </top>
      <bottom style="medium">
        <color indexed="8"/>
      </bottom>
      <diagonal/>
    </border>
    <border>
      <left/>
      <right/>
      <top style="medium">
        <color indexed="8"/>
      </top>
      <bottom style="thick">
        <color indexed="8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double">
        <color theme="1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double">
        <color indexed="8"/>
      </right>
      <top/>
      <bottom style="thick">
        <color indexed="8"/>
      </bottom>
      <diagonal/>
    </border>
    <border>
      <left style="thin">
        <color indexed="8"/>
      </left>
      <right style="double">
        <color theme="1"/>
      </right>
      <top style="thin">
        <color indexed="8"/>
      </top>
      <bottom style="double">
        <color indexed="8"/>
      </bottom>
      <diagonal/>
    </border>
    <border>
      <left/>
      <right style="double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</borders>
  <cellStyleXfs count="2">
    <xf numFmtId="0" fontId="0" fillId="0" borderId="0">
      <alignment vertical="center"/>
    </xf>
    <xf numFmtId="39" fontId="3" fillId="0" borderId="0"/>
  </cellStyleXfs>
  <cellXfs count="57">
    <xf numFmtId="0" fontId="0" fillId="0" borderId="0" xfId="0">
      <alignment vertical="center"/>
    </xf>
    <xf numFmtId="164" fontId="2" fillId="0" borderId="4" xfId="0" applyNumberFormat="1" applyFont="1" applyFill="1" applyBorder="1" applyAlignment="1"/>
    <xf numFmtId="164" fontId="3" fillId="0" borderId="5" xfId="0" applyNumberFormat="1" applyFont="1" applyFill="1" applyBorder="1" applyAlignment="1"/>
    <xf numFmtId="164" fontId="3" fillId="2" borderId="11" xfId="1" applyNumberFormat="1" applyFont="1" applyFill="1" applyBorder="1" applyAlignment="1" applyProtection="1">
      <alignment horizontal="left"/>
    </xf>
    <xf numFmtId="165" fontId="6" fillId="2" borderId="11" xfId="1" applyNumberFormat="1" applyFont="1" applyFill="1" applyBorder="1" applyAlignment="1" applyProtection="1">
      <alignment horizontal="right"/>
    </xf>
    <xf numFmtId="166" fontId="6" fillId="2" borderId="11" xfId="1" applyNumberFormat="1" applyFont="1" applyFill="1" applyBorder="1"/>
    <xf numFmtId="164" fontId="3" fillId="2" borderId="13" xfId="1" applyNumberFormat="1" applyFont="1" applyFill="1" applyBorder="1" applyAlignment="1" applyProtection="1">
      <alignment horizontal="left"/>
    </xf>
    <xf numFmtId="165" fontId="6" fillId="2" borderId="13" xfId="1" applyNumberFormat="1" applyFont="1" applyFill="1" applyBorder="1" applyAlignment="1" applyProtection="1">
      <alignment horizontal="right"/>
    </xf>
    <xf numFmtId="164" fontId="3" fillId="2" borderId="15" xfId="1" applyNumberFormat="1" applyFont="1" applyFill="1" applyBorder="1" applyAlignment="1" applyProtection="1">
      <alignment horizontal="left"/>
    </xf>
    <xf numFmtId="165" fontId="6" fillId="2" borderId="15" xfId="1" applyNumberFormat="1" applyFont="1" applyFill="1" applyBorder="1" applyAlignment="1" applyProtection="1">
      <alignment horizontal="right"/>
    </xf>
    <xf numFmtId="164" fontId="3" fillId="3" borderId="0" xfId="1" applyNumberFormat="1" applyFont="1" applyFill="1" applyBorder="1" applyAlignment="1" applyProtection="1">
      <alignment horizontal="left"/>
    </xf>
    <xf numFmtId="165" fontId="6" fillId="3" borderId="0" xfId="1" applyNumberFormat="1" applyFont="1" applyFill="1" applyBorder="1" applyAlignment="1" applyProtection="1">
      <alignment horizontal="right"/>
    </xf>
    <xf numFmtId="166" fontId="6" fillId="3" borderId="0" xfId="1" applyNumberFormat="1" applyFont="1" applyFill="1" applyBorder="1"/>
    <xf numFmtId="164" fontId="3" fillId="3" borderId="18" xfId="1" applyNumberFormat="1" applyFont="1" applyFill="1" applyBorder="1" applyAlignment="1" applyProtection="1">
      <alignment horizontal="left"/>
    </xf>
    <xf numFmtId="165" fontId="6" fillId="3" borderId="18" xfId="1" applyNumberFormat="1" applyFont="1" applyFill="1" applyBorder="1" applyAlignment="1" applyProtection="1">
      <alignment horizontal="right"/>
    </xf>
    <xf numFmtId="164" fontId="3" fillId="3" borderId="20" xfId="1" applyNumberFormat="1" applyFont="1" applyFill="1" applyBorder="1" applyAlignment="1" applyProtection="1">
      <alignment horizontal="left"/>
    </xf>
    <xf numFmtId="165" fontId="6" fillId="3" borderId="20" xfId="1" applyNumberFormat="1" applyFont="1" applyFill="1" applyBorder="1" applyAlignment="1" applyProtection="1">
      <alignment horizontal="right"/>
    </xf>
    <xf numFmtId="39" fontId="5" fillId="2" borderId="27" xfId="1" applyFont="1" applyFill="1" applyBorder="1" applyAlignment="1">
      <alignment horizontal="left"/>
    </xf>
    <xf numFmtId="166" fontId="6" fillId="4" borderId="28" xfId="1" applyNumberFormat="1" applyFont="1" applyFill="1" applyBorder="1" applyProtection="1"/>
    <xf numFmtId="166" fontId="6" fillId="4" borderId="28" xfId="1" applyNumberFormat="1" applyFont="1" applyFill="1" applyBorder="1"/>
    <xf numFmtId="166" fontId="6" fillId="4" borderId="29" xfId="1" applyNumberFormat="1" applyFont="1" applyFill="1" applyBorder="1" applyProtection="1"/>
    <xf numFmtId="39" fontId="5" fillId="3" borderId="30" xfId="1" applyFont="1" applyFill="1" applyBorder="1" applyAlignment="1">
      <alignment horizontal="left"/>
    </xf>
    <xf numFmtId="39" fontId="5" fillId="3" borderId="31" xfId="1" applyFont="1" applyFill="1" applyBorder="1" applyAlignment="1">
      <alignment horizontal="left"/>
    </xf>
    <xf numFmtId="39" fontId="5" fillId="2" borderId="10" xfId="1" quotePrefix="1" applyFont="1" applyFill="1" applyBorder="1" applyAlignment="1">
      <alignment horizontal="left"/>
    </xf>
    <xf numFmtId="39" fontId="3" fillId="2" borderId="12" xfId="1" quotePrefix="1" applyFont="1" applyFill="1" applyBorder="1" applyAlignment="1">
      <alignment horizontal="left"/>
    </xf>
    <xf numFmtId="166" fontId="6" fillId="2" borderId="13" xfId="1" quotePrefix="1" applyNumberFormat="1" applyFont="1" applyFill="1" applyBorder="1"/>
    <xf numFmtId="39" fontId="3" fillId="2" borderId="14" xfId="1" quotePrefix="1" applyFont="1" applyFill="1" applyBorder="1" applyAlignment="1">
      <alignment horizontal="left"/>
    </xf>
    <xf numFmtId="166" fontId="6" fillId="2" borderId="15" xfId="1" quotePrefix="1" applyNumberFormat="1" applyFont="1" applyFill="1" applyBorder="1"/>
    <xf numFmtId="39" fontId="5" fillId="3" borderId="16" xfId="1" quotePrefix="1" applyFont="1" applyFill="1" applyBorder="1" applyAlignment="1">
      <alignment horizontal="left"/>
    </xf>
    <xf numFmtId="39" fontId="3" fillId="3" borderId="17" xfId="1" quotePrefix="1" applyFont="1" applyFill="1" applyBorder="1" applyAlignment="1">
      <alignment horizontal="left"/>
    </xf>
    <xf numFmtId="166" fontId="6" fillId="3" borderId="18" xfId="1" quotePrefix="1" applyNumberFormat="1" applyFont="1" applyFill="1" applyBorder="1"/>
    <xf numFmtId="39" fontId="3" fillId="3" borderId="19" xfId="1" quotePrefix="1" applyFont="1" applyFill="1" applyBorder="1" applyAlignment="1">
      <alignment horizontal="left"/>
    </xf>
    <xf numFmtId="166" fontId="6" fillId="3" borderId="20" xfId="1" quotePrefix="1" applyNumberFormat="1" applyFont="1" applyFill="1" applyBorder="1"/>
    <xf numFmtId="39" fontId="8" fillId="6" borderId="8" xfId="1" applyFont="1" applyFill="1" applyBorder="1"/>
    <xf numFmtId="164" fontId="8" fillId="6" borderId="9" xfId="1" applyNumberFormat="1" applyFont="1" applyFill="1" applyBorder="1" applyAlignment="1">
      <alignment wrapText="1"/>
    </xf>
    <xf numFmtId="165" fontId="8" fillId="6" borderId="9" xfId="1" applyNumberFormat="1" applyFont="1" applyFill="1" applyBorder="1"/>
    <xf numFmtId="39" fontId="8" fillId="6" borderId="9" xfId="1" applyFont="1" applyFill="1" applyBorder="1" applyAlignment="1">
      <alignment horizontal="center"/>
    </xf>
    <xf numFmtId="166" fontId="9" fillId="7" borderId="9" xfId="1" applyNumberFormat="1" applyFont="1" applyFill="1" applyBorder="1" applyAlignment="1" applyProtection="1">
      <alignment horizontal="center" wrapText="1"/>
    </xf>
    <xf numFmtId="166" fontId="9" fillId="7" borderId="26" xfId="1" applyNumberFormat="1" applyFont="1" applyFill="1" applyBorder="1" applyAlignment="1" applyProtection="1">
      <alignment horizontal="center" wrapText="1"/>
    </xf>
    <xf numFmtId="39" fontId="4" fillId="0" borderId="6" xfId="1" applyFont="1" applyFill="1" applyBorder="1"/>
    <xf numFmtId="164" fontId="4" fillId="0" borderId="7" xfId="1" applyNumberFormat="1" applyFont="1" applyFill="1" applyBorder="1"/>
    <xf numFmtId="165" fontId="4" fillId="0" borderId="7" xfId="1" applyNumberFormat="1" applyFont="1" applyFill="1" applyBorder="1"/>
    <xf numFmtId="39" fontId="4" fillId="0" borderId="7" xfId="1" applyFont="1" applyFill="1" applyBorder="1" applyAlignment="1">
      <alignment horizontal="center"/>
    </xf>
    <xf numFmtId="0" fontId="10" fillId="5" borderId="1" xfId="0" quotePrefix="1" applyFont="1" applyFill="1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164" fontId="1" fillId="5" borderId="2" xfId="0" applyNumberFormat="1" applyFont="1" applyFill="1" applyBorder="1" applyAlignment="1">
      <alignment horizontal="center"/>
    </xf>
    <xf numFmtId="164" fontId="1" fillId="5" borderId="3" xfId="0" applyNumberFormat="1" applyFont="1" applyFill="1" applyBorder="1" applyAlignment="1">
      <alignment horizontal="center"/>
    </xf>
    <xf numFmtId="39" fontId="4" fillId="8" borderId="23" xfId="1" applyFont="1" applyFill="1" applyBorder="1" applyAlignment="1">
      <alignment horizontal="center"/>
    </xf>
    <xf numFmtId="39" fontId="4" fillId="8" borderId="24" xfId="1" applyFont="1" applyFill="1" applyBorder="1" applyAlignment="1">
      <alignment horizontal="center"/>
    </xf>
    <xf numFmtId="39" fontId="4" fillId="8" borderId="25" xfId="1" applyFont="1" applyFill="1" applyBorder="1" applyAlignment="1">
      <alignment horizontal="center"/>
    </xf>
    <xf numFmtId="164" fontId="4" fillId="0" borderId="22" xfId="1" applyNumberFormat="1" applyFont="1" applyFill="1" applyBorder="1" applyAlignment="1">
      <alignment horizontal="right"/>
    </xf>
    <xf numFmtId="165" fontId="4" fillId="0" borderId="22" xfId="1" applyNumberFormat="1" applyFont="1" applyFill="1" applyBorder="1" applyAlignment="1">
      <alignment horizontal="right"/>
    </xf>
    <xf numFmtId="166" fontId="7" fillId="0" borderId="22" xfId="1" applyNumberFormat="1" applyFont="1" applyFill="1" applyBorder="1" applyProtection="1"/>
    <xf numFmtId="166" fontId="7" fillId="0" borderId="32" xfId="1" applyNumberFormat="1" applyFont="1" applyFill="1" applyBorder="1" applyProtection="1"/>
    <xf numFmtId="166" fontId="7" fillId="0" borderId="33" xfId="1" applyNumberFormat="1" applyFont="1" applyFill="1" applyBorder="1" applyProtection="1"/>
    <xf numFmtId="166" fontId="7" fillId="0" borderId="34" xfId="1" applyNumberFormat="1" applyFont="1" applyFill="1" applyBorder="1" applyProtection="1"/>
    <xf numFmtId="39" fontId="4" fillId="9" borderId="21" xfId="1" applyFont="1" applyFill="1" applyBorder="1" applyAlignment="1">
      <alignment horizontal="left"/>
    </xf>
  </cellXfs>
  <cellStyles count="2">
    <cellStyle name="Normal_25303-04" xfId="1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abSelected="1" topLeftCell="A41" workbookViewId="0">
      <selection activeCell="A56" sqref="A56"/>
    </sheetView>
  </sheetViews>
  <sheetFormatPr defaultColWidth="9.26953125" defaultRowHeight="14.5"/>
  <cols>
    <col min="1" max="1" width="21" customWidth="1"/>
    <col min="2" max="2" width="16.6328125" customWidth="1"/>
    <col min="4" max="4" width="12.453125" customWidth="1"/>
    <col min="5" max="5" width="13.453125" customWidth="1"/>
    <col min="8" max="8" width="11.54296875" customWidth="1"/>
  </cols>
  <sheetData>
    <row r="1" spans="1:8" ht="17.5">
      <c r="A1" s="43" t="s">
        <v>0</v>
      </c>
      <c r="B1" s="44"/>
      <c r="C1" s="44"/>
      <c r="D1" s="44"/>
      <c r="E1" s="44"/>
      <c r="F1" s="44"/>
      <c r="G1" s="44"/>
      <c r="H1" s="44"/>
    </row>
    <row r="2" spans="1:8" ht="17.5">
      <c r="A2" s="45">
        <f>A3</f>
        <v>41973</v>
      </c>
      <c r="B2" s="46"/>
      <c r="C2" s="46"/>
      <c r="D2" s="46"/>
      <c r="E2" s="46"/>
      <c r="F2" s="46"/>
      <c r="G2" s="46"/>
      <c r="H2" s="46"/>
    </row>
    <row r="3" spans="1:8">
      <c r="A3" s="1">
        <v>41973</v>
      </c>
      <c r="B3" s="2"/>
      <c r="C3" s="2"/>
      <c r="D3" s="2"/>
      <c r="E3" s="2"/>
      <c r="F3" s="2"/>
      <c r="G3" s="2"/>
      <c r="H3" s="2"/>
    </row>
    <row r="4" spans="1:8">
      <c r="A4" s="39"/>
      <c r="B4" s="40"/>
      <c r="C4" s="41"/>
      <c r="D4" s="42"/>
      <c r="E4" s="47" t="s">
        <v>1</v>
      </c>
      <c r="F4" s="48"/>
      <c r="G4" s="48"/>
      <c r="H4" s="49"/>
    </row>
    <row r="5" spans="1:8" ht="25.5">
      <c r="A5" s="33" t="s">
        <v>2</v>
      </c>
      <c r="B5" s="34" t="s">
        <v>3</v>
      </c>
      <c r="C5" s="35" t="s">
        <v>4</v>
      </c>
      <c r="D5" s="36" t="s">
        <v>5</v>
      </c>
      <c r="E5" s="37" t="s">
        <v>6</v>
      </c>
      <c r="F5" s="36" t="s">
        <v>7</v>
      </c>
      <c r="G5" s="36" t="s">
        <v>8</v>
      </c>
      <c r="H5" s="38" t="s">
        <v>9</v>
      </c>
    </row>
    <row r="6" spans="1:8" ht="19">
      <c r="A6" s="23" t="s">
        <v>10</v>
      </c>
      <c r="B6" s="3"/>
      <c r="C6" s="4"/>
      <c r="D6" s="5"/>
      <c r="E6" s="17"/>
      <c r="F6" s="17"/>
      <c r="G6" s="17"/>
      <c r="H6" s="17"/>
    </row>
    <row r="7" spans="1:8">
      <c r="A7" s="24" t="s">
        <v>11</v>
      </c>
      <c r="B7" s="6" t="s">
        <v>12</v>
      </c>
      <c r="C7" s="7">
        <v>3</v>
      </c>
      <c r="D7" s="25" t="s">
        <v>13</v>
      </c>
      <c r="E7" s="18">
        <v>0</v>
      </c>
      <c r="F7" s="19"/>
      <c r="G7" s="19"/>
      <c r="H7" s="20">
        <f t="shared" ref="H7:H30" si="0">E7+F7-G7</f>
        <v>0</v>
      </c>
    </row>
    <row r="8" spans="1:8">
      <c r="A8" s="26" t="s">
        <v>14</v>
      </c>
      <c r="B8" s="8" t="s">
        <v>12</v>
      </c>
      <c r="C8" s="9">
        <v>12</v>
      </c>
      <c r="D8" s="27" t="s">
        <v>13</v>
      </c>
      <c r="E8" s="18">
        <v>-2.9842794901924198E-13</v>
      </c>
      <c r="F8" s="19"/>
      <c r="G8" s="19">
        <v>0</v>
      </c>
      <c r="H8" s="20">
        <f t="shared" si="0"/>
        <v>-2.9842794901924198E-13</v>
      </c>
    </row>
    <row r="9" spans="1:8">
      <c r="A9" s="24" t="s">
        <v>11</v>
      </c>
      <c r="B9" s="6" t="s">
        <v>15</v>
      </c>
      <c r="C9" s="7">
        <v>3</v>
      </c>
      <c r="D9" s="25" t="s">
        <v>13</v>
      </c>
      <c r="E9" s="18">
        <v>0</v>
      </c>
      <c r="F9" s="19"/>
      <c r="G9" s="19"/>
      <c r="H9" s="20">
        <f t="shared" si="0"/>
        <v>0</v>
      </c>
    </row>
    <row r="10" spans="1:8">
      <c r="A10" s="26" t="s">
        <v>14</v>
      </c>
      <c r="B10" s="8" t="s">
        <v>15</v>
      </c>
      <c r="C10" s="9">
        <v>12</v>
      </c>
      <c r="D10" s="27" t="s">
        <v>13</v>
      </c>
      <c r="E10" s="18">
        <v>-2.8421709430404002E-13</v>
      </c>
      <c r="F10" s="19"/>
      <c r="G10" s="19"/>
      <c r="H10" s="20">
        <f t="shared" si="0"/>
        <v>-2.8421709430404002E-13</v>
      </c>
    </row>
    <row r="11" spans="1:8">
      <c r="A11" s="24" t="s">
        <v>11</v>
      </c>
      <c r="B11" s="6" t="s">
        <v>16</v>
      </c>
      <c r="C11" s="7">
        <v>3</v>
      </c>
      <c r="D11" s="25" t="s">
        <v>13</v>
      </c>
      <c r="E11" s="18">
        <v>0</v>
      </c>
      <c r="F11" s="19"/>
      <c r="G11" s="19"/>
      <c r="H11" s="20">
        <f t="shared" si="0"/>
        <v>0</v>
      </c>
    </row>
    <row r="12" spans="1:8">
      <c r="A12" s="26" t="s">
        <v>14</v>
      </c>
      <c r="B12" s="8" t="s">
        <v>16</v>
      </c>
      <c r="C12" s="9">
        <v>12</v>
      </c>
      <c r="D12" s="27" t="s">
        <v>13</v>
      </c>
      <c r="E12" s="18">
        <v>0</v>
      </c>
      <c r="F12" s="19"/>
      <c r="G12" s="19">
        <v>0</v>
      </c>
      <c r="H12" s="20">
        <f t="shared" si="0"/>
        <v>0</v>
      </c>
    </row>
    <row r="13" spans="1:8">
      <c r="A13" s="24" t="s">
        <v>11</v>
      </c>
      <c r="B13" s="6" t="s">
        <v>17</v>
      </c>
      <c r="C13" s="7">
        <v>3</v>
      </c>
      <c r="D13" s="25" t="s">
        <v>13</v>
      </c>
      <c r="E13" s="18">
        <v>0</v>
      </c>
      <c r="F13" s="19"/>
      <c r="G13" s="19"/>
      <c r="H13" s="20">
        <f t="shared" si="0"/>
        <v>0</v>
      </c>
    </row>
    <row r="14" spans="1:8">
      <c r="A14" s="26" t="s">
        <v>14</v>
      </c>
      <c r="B14" s="8" t="s">
        <v>17</v>
      </c>
      <c r="C14" s="9">
        <v>12</v>
      </c>
      <c r="D14" s="27" t="s">
        <v>13</v>
      </c>
      <c r="E14" s="18">
        <v>0</v>
      </c>
      <c r="F14" s="19"/>
      <c r="G14" s="19"/>
      <c r="H14" s="20">
        <f t="shared" si="0"/>
        <v>0</v>
      </c>
    </row>
    <row r="15" spans="1:8">
      <c r="A15" s="24" t="s">
        <v>11</v>
      </c>
      <c r="B15" s="6" t="s">
        <v>18</v>
      </c>
      <c r="C15" s="7">
        <v>3</v>
      </c>
      <c r="D15" s="25" t="s">
        <v>13</v>
      </c>
      <c r="E15" s="18">
        <v>0</v>
      </c>
      <c r="F15" s="19"/>
      <c r="G15" s="19"/>
      <c r="H15" s="20">
        <f t="shared" si="0"/>
        <v>0</v>
      </c>
    </row>
    <row r="16" spans="1:8">
      <c r="A16" s="26" t="s">
        <v>14</v>
      </c>
      <c r="B16" s="8" t="s">
        <v>18</v>
      </c>
      <c r="C16" s="9">
        <v>12</v>
      </c>
      <c r="D16" s="27" t="s">
        <v>13</v>
      </c>
      <c r="E16" s="18">
        <v>-1.2789769243681801E-13</v>
      </c>
      <c r="F16" s="19"/>
      <c r="G16" s="19"/>
      <c r="H16" s="20">
        <f t="shared" si="0"/>
        <v>-1.2789769243681801E-13</v>
      </c>
    </row>
    <row r="17" spans="1:8">
      <c r="A17" s="24" t="s">
        <v>11</v>
      </c>
      <c r="B17" s="6" t="s">
        <v>19</v>
      </c>
      <c r="C17" s="7">
        <v>3</v>
      </c>
      <c r="D17" s="25" t="s">
        <v>13</v>
      </c>
      <c r="E17" s="18">
        <v>0</v>
      </c>
      <c r="F17" s="19"/>
      <c r="G17" s="19"/>
      <c r="H17" s="20">
        <f t="shared" si="0"/>
        <v>0</v>
      </c>
    </row>
    <row r="18" spans="1:8">
      <c r="A18" s="26" t="s">
        <v>14</v>
      </c>
      <c r="B18" s="8" t="s">
        <v>19</v>
      </c>
      <c r="C18" s="9">
        <v>12</v>
      </c>
      <c r="D18" s="27" t="s">
        <v>13</v>
      </c>
      <c r="E18" s="18">
        <v>0</v>
      </c>
      <c r="F18" s="19"/>
      <c r="G18" s="19"/>
      <c r="H18" s="20">
        <f t="shared" si="0"/>
        <v>0</v>
      </c>
    </row>
    <row r="19" spans="1:8">
      <c r="A19" s="24" t="s">
        <v>11</v>
      </c>
      <c r="B19" s="6" t="s">
        <v>20</v>
      </c>
      <c r="C19" s="7">
        <v>3</v>
      </c>
      <c r="D19" s="25" t="s">
        <v>13</v>
      </c>
      <c r="E19" s="18">
        <v>0</v>
      </c>
      <c r="F19" s="19"/>
      <c r="G19" s="19"/>
      <c r="H19" s="20">
        <f t="shared" si="0"/>
        <v>0</v>
      </c>
    </row>
    <row r="20" spans="1:8">
      <c r="A20" s="26" t="s">
        <v>14</v>
      </c>
      <c r="B20" s="8" t="s">
        <v>20</v>
      </c>
      <c r="C20" s="9">
        <v>12</v>
      </c>
      <c r="D20" s="27" t="s">
        <v>13</v>
      </c>
      <c r="E20" s="18">
        <v>-1.13686837721616E-13</v>
      </c>
      <c r="F20" s="19"/>
      <c r="G20" s="19">
        <v>0</v>
      </c>
      <c r="H20" s="20">
        <f t="shared" si="0"/>
        <v>-1.13686837721616E-13</v>
      </c>
    </row>
    <row r="21" spans="1:8">
      <c r="A21" s="24" t="s">
        <v>11</v>
      </c>
      <c r="B21" s="6" t="s">
        <v>21</v>
      </c>
      <c r="C21" s="7">
        <v>3</v>
      </c>
      <c r="D21" s="25" t="s">
        <v>13</v>
      </c>
      <c r="E21" s="18">
        <v>0</v>
      </c>
      <c r="F21" s="19"/>
      <c r="G21" s="19">
        <v>0</v>
      </c>
      <c r="H21" s="20">
        <f t="shared" si="0"/>
        <v>0</v>
      </c>
    </row>
    <row r="22" spans="1:8">
      <c r="A22" s="26" t="s">
        <v>14</v>
      </c>
      <c r="B22" s="8" t="s">
        <v>21</v>
      </c>
      <c r="C22" s="9">
        <v>12</v>
      </c>
      <c r="D22" s="27" t="s">
        <v>13</v>
      </c>
      <c r="E22" s="18">
        <v>-2.7000623958883802E-13</v>
      </c>
      <c r="F22" s="19"/>
      <c r="G22" s="19">
        <v>0</v>
      </c>
      <c r="H22" s="20">
        <f t="shared" si="0"/>
        <v>-2.7000623958883802E-13</v>
      </c>
    </row>
    <row r="23" spans="1:8">
      <c r="A23" s="24" t="s">
        <v>11</v>
      </c>
      <c r="B23" s="6" t="s">
        <v>22</v>
      </c>
      <c r="C23" s="7">
        <v>3</v>
      </c>
      <c r="D23" s="25" t="s">
        <v>13</v>
      </c>
      <c r="E23" s="18">
        <v>0</v>
      </c>
      <c r="F23" s="19"/>
      <c r="G23" s="19"/>
      <c r="H23" s="20">
        <f t="shared" si="0"/>
        <v>0</v>
      </c>
    </row>
    <row r="24" spans="1:8">
      <c r="A24" s="26" t="s">
        <v>14</v>
      </c>
      <c r="B24" s="8" t="s">
        <v>22</v>
      </c>
      <c r="C24" s="9">
        <v>12</v>
      </c>
      <c r="D24" s="27" t="s">
        <v>13</v>
      </c>
      <c r="E24" s="18">
        <v>0</v>
      </c>
      <c r="F24" s="19"/>
      <c r="G24" s="19"/>
      <c r="H24" s="20">
        <f t="shared" si="0"/>
        <v>0</v>
      </c>
    </row>
    <row r="25" spans="1:8">
      <c r="A25" s="24" t="s">
        <v>11</v>
      </c>
      <c r="B25" s="6" t="s">
        <v>23</v>
      </c>
      <c r="C25" s="7">
        <v>3</v>
      </c>
      <c r="D25" s="25" t="s">
        <v>13</v>
      </c>
      <c r="E25" s="18">
        <v>0</v>
      </c>
      <c r="F25" s="19"/>
      <c r="G25" s="19"/>
      <c r="H25" s="20">
        <f t="shared" si="0"/>
        <v>0</v>
      </c>
    </row>
    <row r="26" spans="1:8">
      <c r="A26" s="26" t="s">
        <v>14</v>
      </c>
      <c r="B26" s="8" t="s">
        <v>23</v>
      </c>
      <c r="C26" s="9">
        <v>12</v>
      </c>
      <c r="D26" s="27" t="s">
        <v>13</v>
      </c>
      <c r="E26" s="18">
        <v>-1.2789769243681801E-13</v>
      </c>
      <c r="F26" s="19"/>
      <c r="G26" s="19"/>
      <c r="H26" s="20">
        <f t="shared" si="0"/>
        <v>-1.2789769243681801E-13</v>
      </c>
    </row>
    <row r="27" spans="1:8">
      <c r="A27" s="24" t="s">
        <v>11</v>
      </c>
      <c r="B27" s="6" t="s">
        <v>24</v>
      </c>
      <c r="C27" s="7">
        <v>3</v>
      </c>
      <c r="D27" s="25" t="s">
        <v>13</v>
      </c>
      <c r="E27" s="18">
        <v>0</v>
      </c>
      <c r="F27" s="19"/>
      <c r="G27" s="19"/>
      <c r="H27" s="20">
        <f t="shared" si="0"/>
        <v>0</v>
      </c>
    </row>
    <row r="28" spans="1:8">
      <c r="A28" s="26" t="s">
        <v>14</v>
      </c>
      <c r="B28" s="8" t="s">
        <v>24</v>
      </c>
      <c r="C28" s="9">
        <v>12</v>
      </c>
      <c r="D28" s="27" t="s">
        <v>13</v>
      </c>
      <c r="E28" s="18">
        <v>0</v>
      </c>
      <c r="F28" s="19"/>
      <c r="G28" s="19"/>
      <c r="H28" s="20">
        <f t="shared" si="0"/>
        <v>0</v>
      </c>
    </row>
    <row r="29" spans="1:8">
      <c r="A29" s="24" t="s">
        <v>11</v>
      </c>
      <c r="B29" s="6" t="s">
        <v>25</v>
      </c>
      <c r="C29" s="7">
        <v>3</v>
      </c>
      <c r="D29" s="25" t="s">
        <v>13</v>
      </c>
      <c r="E29" s="18">
        <v>0</v>
      </c>
      <c r="F29" s="19"/>
      <c r="G29" s="19"/>
      <c r="H29" s="20">
        <f t="shared" si="0"/>
        <v>0</v>
      </c>
    </row>
    <row r="30" spans="1:8">
      <c r="A30" s="26" t="s">
        <v>14</v>
      </c>
      <c r="B30" s="8" t="s">
        <v>25</v>
      </c>
      <c r="C30" s="9">
        <v>12</v>
      </c>
      <c r="D30" s="27" t="s">
        <v>13</v>
      </c>
      <c r="E30" s="18">
        <v>208.35</v>
      </c>
      <c r="F30" s="19"/>
      <c r="G30" s="19">
        <v>208.35</v>
      </c>
      <c r="H30" s="20">
        <f t="shared" si="0"/>
        <v>0</v>
      </c>
    </row>
    <row r="31" spans="1:8" ht="19">
      <c r="A31" s="28" t="s">
        <v>26</v>
      </c>
      <c r="B31" s="10"/>
      <c r="C31" s="11"/>
      <c r="D31" s="12"/>
      <c r="E31" s="21"/>
      <c r="F31" s="21"/>
      <c r="G31" s="21"/>
      <c r="H31" s="22"/>
    </row>
    <row r="32" spans="1:8">
      <c r="A32" s="29" t="s">
        <v>11</v>
      </c>
      <c r="B32" s="13" t="s">
        <v>12</v>
      </c>
      <c r="C32" s="14">
        <v>3</v>
      </c>
      <c r="D32" s="30" t="s">
        <v>13</v>
      </c>
      <c r="E32" s="18">
        <v>0</v>
      </c>
      <c r="F32" s="19"/>
      <c r="G32" s="19"/>
      <c r="H32" s="20">
        <f t="shared" ref="H32:H55" si="1">E32+F32-G32</f>
        <v>0</v>
      </c>
    </row>
    <row r="33" spans="1:8">
      <c r="A33" s="31" t="s">
        <v>14</v>
      </c>
      <c r="B33" s="15" t="s">
        <v>12</v>
      </c>
      <c r="C33" s="16">
        <v>12</v>
      </c>
      <c r="D33" s="32" t="s">
        <v>13</v>
      </c>
      <c r="E33" s="18">
        <v>416.69666666666802</v>
      </c>
      <c r="F33" s="19"/>
      <c r="G33" s="19">
        <v>208.35</v>
      </c>
      <c r="H33" s="20">
        <f t="shared" si="1"/>
        <v>208.346666666668</v>
      </c>
    </row>
    <row r="34" spans="1:8">
      <c r="A34" s="29" t="s">
        <v>11</v>
      </c>
      <c r="B34" s="13" t="s">
        <v>15</v>
      </c>
      <c r="C34" s="14">
        <v>3</v>
      </c>
      <c r="D34" s="30" t="s">
        <v>13</v>
      </c>
      <c r="E34" s="18">
        <v>0</v>
      </c>
      <c r="F34" s="19"/>
      <c r="G34" s="19"/>
      <c r="H34" s="20">
        <f t="shared" si="1"/>
        <v>0</v>
      </c>
    </row>
    <row r="35" spans="1:8">
      <c r="A35" s="31" t="s">
        <v>14</v>
      </c>
      <c r="B35" s="15" t="s">
        <v>15</v>
      </c>
      <c r="C35" s="16">
        <v>12</v>
      </c>
      <c r="D35" s="32" t="s">
        <v>13</v>
      </c>
      <c r="E35" s="18">
        <v>749.99666666666599</v>
      </c>
      <c r="F35" s="19"/>
      <c r="G35" s="19">
        <v>250</v>
      </c>
      <c r="H35" s="20">
        <f t="shared" si="1"/>
        <v>499.99666666666599</v>
      </c>
    </row>
    <row r="36" spans="1:8">
      <c r="A36" s="29" t="s">
        <v>11</v>
      </c>
      <c r="B36" s="13" t="s">
        <v>16</v>
      </c>
      <c r="C36" s="14">
        <v>3</v>
      </c>
      <c r="D36" s="30" t="s">
        <v>13</v>
      </c>
      <c r="E36" s="18">
        <v>0</v>
      </c>
      <c r="F36" s="19"/>
      <c r="G36" s="19"/>
      <c r="H36" s="20">
        <f t="shared" si="1"/>
        <v>0</v>
      </c>
    </row>
    <row r="37" spans="1:8">
      <c r="A37" s="31" t="s">
        <v>14</v>
      </c>
      <c r="B37" s="15" t="s">
        <v>16</v>
      </c>
      <c r="C37" s="16">
        <v>12</v>
      </c>
      <c r="D37" s="32" t="s">
        <v>13</v>
      </c>
      <c r="E37" s="18">
        <v>1120</v>
      </c>
      <c r="F37" s="19"/>
      <c r="G37" s="19">
        <v>280</v>
      </c>
      <c r="H37" s="20">
        <f t="shared" si="1"/>
        <v>840</v>
      </c>
    </row>
    <row r="38" spans="1:8">
      <c r="A38" s="29" t="s">
        <v>11</v>
      </c>
      <c r="B38" s="13" t="s">
        <v>17</v>
      </c>
      <c r="C38" s="14">
        <v>3</v>
      </c>
      <c r="D38" s="30" t="s">
        <v>13</v>
      </c>
      <c r="E38" s="18">
        <v>0</v>
      </c>
      <c r="F38" s="19"/>
      <c r="G38" s="19">
        <v>0</v>
      </c>
      <c r="H38" s="20">
        <f t="shared" si="1"/>
        <v>0</v>
      </c>
    </row>
    <row r="39" spans="1:8">
      <c r="A39" s="31" t="s">
        <v>14</v>
      </c>
      <c r="B39" s="15" t="s">
        <v>17</v>
      </c>
      <c r="C39" s="16">
        <v>12</v>
      </c>
      <c r="D39" s="32" t="s">
        <v>13</v>
      </c>
      <c r="E39" s="18">
        <v>1000</v>
      </c>
      <c r="F39" s="19"/>
      <c r="G39" s="19">
        <v>200</v>
      </c>
      <c r="H39" s="20">
        <f t="shared" si="1"/>
        <v>800</v>
      </c>
    </row>
    <row r="40" spans="1:8">
      <c r="A40" s="29" t="s">
        <v>11</v>
      </c>
      <c r="B40" s="13" t="s">
        <v>18</v>
      </c>
      <c r="C40" s="14">
        <v>3</v>
      </c>
      <c r="D40" s="30" t="s">
        <v>13</v>
      </c>
      <c r="E40" s="18">
        <v>0</v>
      </c>
      <c r="F40" s="19"/>
      <c r="G40" s="19">
        <v>0</v>
      </c>
      <c r="H40" s="20">
        <f t="shared" si="1"/>
        <v>0</v>
      </c>
    </row>
    <row r="41" spans="1:8">
      <c r="A41" s="31" t="s">
        <v>14</v>
      </c>
      <c r="B41" s="15" t="s">
        <v>18</v>
      </c>
      <c r="C41" s="16">
        <v>12</v>
      </c>
      <c r="D41" s="32" t="s">
        <v>13</v>
      </c>
      <c r="E41" s="18">
        <v>-1.4210854715202001E-13</v>
      </c>
      <c r="F41" s="19"/>
      <c r="G41" s="19"/>
      <c r="H41" s="20">
        <f t="shared" si="1"/>
        <v>-1.4210854715202001E-13</v>
      </c>
    </row>
    <row r="42" spans="1:8">
      <c r="A42" s="29" t="s">
        <v>11</v>
      </c>
      <c r="B42" s="13" t="s">
        <v>19</v>
      </c>
      <c r="C42" s="14">
        <v>3</v>
      </c>
      <c r="D42" s="30" t="s">
        <v>13</v>
      </c>
      <c r="E42" s="18">
        <v>0</v>
      </c>
      <c r="F42" s="19"/>
      <c r="G42" s="19"/>
      <c r="H42" s="20">
        <f t="shared" si="1"/>
        <v>0</v>
      </c>
    </row>
    <row r="43" spans="1:8">
      <c r="A43" s="31" t="s">
        <v>14</v>
      </c>
      <c r="B43" s="15" t="s">
        <v>19</v>
      </c>
      <c r="C43" s="16">
        <v>12</v>
      </c>
      <c r="D43" s="32" t="s">
        <v>13</v>
      </c>
      <c r="E43" s="18">
        <v>1166.6500000000001</v>
      </c>
      <c r="F43" s="19"/>
      <c r="G43" s="19">
        <v>166.67</v>
      </c>
      <c r="H43" s="20">
        <f t="shared" si="1"/>
        <v>999.98</v>
      </c>
    </row>
    <row r="44" spans="1:8">
      <c r="A44" s="29" t="s">
        <v>11</v>
      </c>
      <c r="B44" s="13" t="s">
        <v>20</v>
      </c>
      <c r="C44" s="14">
        <v>3</v>
      </c>
      <c r="D44" s="30" t="s">
        <v>13</v>
      </c>
      <c r="E44" s="18">
        <v>0</v>
      </c>
      <c r="F44" s="19"/>
      <c r="G44" s="19"/>
      <c r="H44" s="20">
        <f t="shared" si="1"/>
        <v>0</v>
      </c>
    </row>
    <row r="45" spans="1:8">
      <c r="A45" s="31" t="s">
        <v>14</v>
      </c>
      <c r="B45" s="15" t="s">
        <v>20</v>
      </c>
      <c r="C45" s="16">
        <v>12</v>
      </c>
      <c r="D45" s="32" t="s">
        <v>13</v>
      </c>
      <c r="E45" s="18">
        <v>2266.66</v>
      </c>
      <c r="F45" s="19"/>
      <c r="G45" s="19">
        <v>283.33</v>
      </c>
      <c r="H45" s="20">
        <f t="shared" si="1"/>
        <v>1983.33</v>
      </c>
    </row>
    <row r="46" spans="1:8">
      <c r="A46" s="29" t="s">
        <v>11</v>
      </c>
      <c r="B46" s="13" t="s">
        <v>21</v>
      </c>
      <c r="C46" s="14">
        <v>3</v>
      </c>
      <c r="D46" s="30" t="s">
        <v>13</v>
      </c>
      <c r="E46" s="18">
        <v>0</v>
      </c>
      <c r="F46" s="19"/>
      <c r="G46" s="19"/>
      <c r="H46" s="20">
        <f t="shared" si="1"/>
        <v>0</v>
      </c>
    </row>
    <row r="47" spans="1:8">
      <c r="A47" s="31" t="s">
        <v>14</v>
      </c>
      <c r="B47" s="15" t="s">
        <v>21</v>
      </c>
      <c r="C47" s="16">
        <v>12</v>
      </c>
      <c r="D47" s="32" t="s">
        <v>13</v>
      </c>
      <c r="E47" s="18">
        <v>1499.99</v>
      </c>
      <c r="F47" s="19"/>
      <c r="G47" s="19">
        <v>166.66</v>
      </c>
      <c r="H47" s="20">
        <f t="shared" si="1"/>
        <v>1333.33</v>
      </c>
    </row>
    <row r="48" spans="1:8">
      <c r="A48" s="29" t="s">
        <v>11</v>
      </c>
      <c r="B48" s="13" t="s">
        <v>22</v>
      </c>
      <c r="C48" s="14">
        <v>3</v>
      </c>
      <c r="D48" s="30" t="s">
        <v>13</v>
      </c>
      <c r="E48" s="18">
        <v>480</v>
      </c>
      <c r="F48" s="19"/>
      <c r="G48" s="19">
        <v>480</v>
      </c>
      <c r="H48" s="20">
        <f t="shared" si="1"/>
        <v>0</v>
      </c>
    </row>
    <row r="49" spans="1:8">
      <c r="A49" s="31" t="s">
        <v>14</v>
      </c>
      <c r="B49" s="15" t="s">
        <v>22</v>
      </c>
      <c r="C49" s="16">
        <v>12</v>
      </c>
      <c r="D49" s="32" t="s">
        <v>13</v>
      </c>
      <c r="E49" s="18">
        <v>833.34</v>
      </c>
      <c r="F49" s="19"/>
      <c r="G49" s="19">
        <v>83.34</v>
      </c>
      <c r="H49" s="20">
        <f t="shared" si="1"/>
        <v>750</v>
      </c>
    </row>
    <row r="50" spans="1:8">
      <c r="A50" s="29" t="s">
        <v>11</v>
      </c>
      <c r="B50" s="13" t="s">
        <v>23</v>
      </c>
      <c r="C50" s="14">
        <v>3</v>
      </c>
      <c r="D50" s="30" t="s">
        <v>13</v>
      </c>
      <c r="E50" s="18">
        <v>1600</v>
      </c>
      <c r="F50" s="19"/>
      <c r="G50" s="19">
        <v>800</v>
      </c>
      <c r="H50" s="20">
        <f t="shared" si="1"/>
        <v>800</v>
      </c>
    </row>
    <row r="51" spans="1:8">
      <c r="A51" s="31" t="s">
        <v>14</v>
      </c>
      <c r="B51" s="15" t="s">
        <v>23</v>
      </c>
      <c r="C51" s="16">
        <v>12</v>
      </c>
      <c r="D51" s="32" t="s">
        <v>13</v>
      </c>
      <c r="E51" s="18">
        <v>916.67</v>
      </c>
      <c r="F51" s="19"/>
      <c r="G51" s="19">
        <v>83.34</v>
      </c>
      <c r="H51" s="20">
        <f t="shared" si="1"/>
        <v>833.33</v>
      </c>
    </row>
    <row r="52" spans="1:8">
      <c r="A52" s="29" t="s">
        <v>11</v>
      </c>
      <c r="B52" s="13" t="s">
        <v>24</v>
      </c>
      <c r="C52" s="14">
        <v>3</v>
      </c>
      <c r="D52" s="30" t="s">
        <v>13</v>
      </c>
      <c r="E52" s="18">
        <v>0</v>
      </c>
      <c r="F52" s="19">
        <v>2240</v>
      </c>
      <c r="G52" s="19">
        <v>746.67</v>
      </c>
      <c r="H52" s="20">
        <f t="shared" si="1"/>
        <v>1493.33</v>
      </c>
    </row>
    <row r="53" spans="1:8">
      <c r="A53" s="31" t="s">
        <v>14</v>
      </c>
      <c r="B53" s="15" t="s">
        <v>24</v>
      </c>
      <c r="C53" s="16">
        <v>12</v>
      </c>
      <c r="D53" s="32" t="s">
        <v>13</v>
      </c>
      <c r="E53" s="18">
        <v>2.7272727270428701E-3</v>
      </c>
      <c r="F53" s="19">
        <v>1500</v>
      </c>
      <c r="G53" s="19">
        <v>125</v>
      </c>
      <c r="H53" s="20">
        <f t="shared" si="1"/>
        <v>1375.00272727273</v>
      </c>
    </row>
    <row r="54" spans="1:8">
      <c r="A54" s="29" t="s">
        <v>11</v>
      </c>
      <c r="B54" s="13" t="s">
        <v>25</v>
      </c>
      <c r="C54" s="14">
        <v>3</v>
      </c>
      <c r="D54" s="30" t="s">
        <v>13</v>
      </c>
      <c r="E54" s="18">
        <v>0</v>
      </c>
      <c r="F54" s="19"/>
      <c r="G54" s="19"/>
      <c r="H54" s="20">
        <f t="shared" si="1"/>
        <v>0</v>
      </c>
    </row>
    <row r="55" spans="1:8">
      <c r="A55" s="31" t="s">
        <v>14</v>
      </c>
      <c r="B55" s="15" t="s">
        <v>25</v>
      </c>
      <c r="C55" s="16">
        <v>12</v>
      </c>
      <c r="D55" s="32" t="s">
        <v>13</v>
      </c>
      <c r="E55" s="18">
        <v>0</v>
      </c>
      <c r="F55" s="19"/>
      <c r="G55" s="19"/>
      <c r="H55" s="20">
        <f t="shared" si="1"/>
        <v>0</v>
      </c>
    </row>
    <row r="56" spans="1:8">
      <c r="A56" s="56" t="s">
        <v>27</v>
      </c>
      <c r="B56" s="50"/>
      <c r="C56" s="51"/>
      <c r="D56" s="52">
        <v>0</v>
      </c>
      <c r="E56" s="53">
        <f t="shared" ref="E56:H56" si="2">SUM(E7:E30,E32:E55)</f>
        <v>12258.3560606061</v>
      </c>
      <c r="F56" s="54">
        <f>SUM(F32:F55,F7:F30)</f>
        <v>3740</v>
      </c>
      <c r="G56" s="55">
        <f t="shared" si="2"/>
        <v>4081.71</v>
      </c>
      <c r="H56" s="53">
        <f t="shared" si="2"/>
        <v>11916.646060606099</v>
      </c>
    </row>
  </sheetData>
  <mergeCells count="3">
    <mergeCell ref="A1:H1"/>
    <mergeCell ref="A2:H2"/>
    <mergeCell ref="E4:H4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79501</cp:lastModifiedBy>
  <dcterms:created xsi:type="dcterms:W3CDTF">2024-12-09T16:01:51Z</dcterms:created>
  <dcterms:modified xsi:type="dcterms:W3CDTF">2026-04-24T01:10:13Z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8028E8A9F72A02E3EFA356677D8C7FF8_41</vt:lpwstr>
  </property>
  <property fmtid="{D5CDD505-2E9C-101B-9397-08002B2CF9AE}" pid="3" name="KSOProductBuildVer">
    <vt:lpwstr>2052-6.8.2.8850</vt:lpwstr>
  </property>
</Properties>
</file>