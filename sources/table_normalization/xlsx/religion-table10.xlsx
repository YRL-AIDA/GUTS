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Zero hour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1" l="1"/>
  <c r="W13" i="1"/>
  <c r="V13" i="1"/>
  <c r="Y12" i="1"/>
  <c r="W12" i="1"/>
  <c r="V12" i="1"/>
  <c r="Y11" i="1"/>
  <c r="W11" i="1"/>
  <c r="V11" i="1"/>
  <c r="Y10" i="1"/>
  <c r="W10" i="1"/>
  <c r="V10" i="1"/>
  <c r="S10" i="1"/>
  <c r="Y9" i="1"/>
  <c r="W9" i="1"/>
  <c r="V9" i="1"/>
  <c r="Y8" i="1"/>
  <c r="W8" i="1"/>
  <c r="V8" i="1"/>
  <c r="Y7" i="1"/>
  <c r="W7" i="1"/>
  <c r="V7" i="1"/>
  <c r="Y6" i="1"/>
  <c r="W6" i="1"/>
  <c r="V6" i="1"/>
  <c r="Y5" i="1"/>
  <c r="W5" i="1"/>
  <c r="V5" i="1"/>
  <c r="Y4" i="1"/>
  <c r="X4" i="1"/>
  <c r="W4" i="1"/>
  <c r="V4" i="1"/>
</calcChain>
</file>

<file path=xl/sharedStrings.xml><?xml version="1.0" encoding="utf-8"?>
<sst xmlns="http://schemas.openxmlformats.org/spreadsheetml/2006/main" count="57" uniqueCount="35">
  <si>
    <t>AJ19 England and Wales</t>
  </si>
  <si>
    <t>zero</t>
  </si>
  <si>
    <t>ADJUSTMENT FACTOR</t>
  </si>
  <si>
    <t>Zero hours contract</t>
  </si>
  <si>
    <t>No</t>
  </si>
  <si>
    <t/>
  </si>
  <si>
    <t>Economic activity (reported) from MM05</t>
  </si>
  <si>
    <t>Count</t>
  </si>
  <si>
    <t>Unweighted Count</t>
  </si>
  <si>
    <t>Row N %</t>
  </si>
  <si>
    <t>In employment</t>
  </si>
  <si>
    <t>ILO unemployed</t>
  </si>
  <si>
    <t>Inactive</t>
  </si>
  <si>
    <t>Under 16</t>
  </si>
  <si>
    <t>Total</t>
  </si>
  <si>
    <t>Adj factor</t>
  </si>
  <si>
    <t>% zero hour</t>
  </si>
  <si>
    <t>religion</t>
  </si>
  <si>
    <t>.00</t>
  </si>
  <si>
    <t>No religion</t>
  </si>
  <si>
    <t>Individual outcome</t>
  </si>
  <si>
    <t>Personal response</t>
  </si>
  <si>
    <t>Christian</t>
  </si>
  <si>
    <t>Proxy response</t>
  </si>
  <si>
    <t>Buddhist</t>
  </si>
  <si>
    <t>Non-response</t>
  </si>
  <si>
    <t>Hindu</t>
  </si>
  <si>
    <t>Child under 16</t>
  </si>
  <si>
    <t>Jewish</t>
  </si>
  <si>
    <t>Data bf from previous quarter</t>
  </si>
  <si>
    <t>Muslim</t>
  </si>
  <si>
    <t>Economically inactive 70+</t>
  </si>
  <si>
    <t>Sikh</t>
  </si>
  <si>
    <t>Any other religion</t>
  </si>
  <si>
    <t>Not feasible due to poor sample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</si>
</sst>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>
      <selection activeCell="V15" sqref="V15"/>
    </sheetView>
  </sheetViews>
  <sheetFormatPr defaultColWidth="9" defaultRowHeight="14.5"/>
  <cols>
    <col min="2" max="2" width="16.6328125" customWidth="1"/>
    <col min="4" max="4" width="17.7265625" customWidth="1"/>
    <col min="5" max="5" width="10.90625" customWidth="1"/>
    <col min="7" max="7" width="17.1796875" customWidth="1"/>
    <col min="8" max="8" width="11.453125" customWidth="1"/>
    <col min="11" max="11" width="18" customWidth="1"/>
    <col min="12" max="12" width="27" customWidth="1"/>
    <col min="13" max="13" width="14.453125" customWidth="1"/>
    <col min="14" max="14" width="15.54296875" customWidth="1"/>
    <col min="17" max="17" width="10.6328125" customWidth="1"/>
    <col min="20" max="20" width="12.81640625" customWidth="1"/>
    <col min="21" max="21" width="16.6328125" customWidth="1"/>
    <col min="22" max="22" width="12" customWidth="1"/>
    <col min="25" max="25" width="12.54296875" customWidth="1"/>
  </cols>
  <sheetData>
    <row r="1" spans="1:25">
      <c r="A1" s="1" t="s">
        <v>0</v>
      </c>
      <c r="B1" s="1"/>
      <c r="C1" s="4" t="s">
        <v>1</v>
      </c>
      <c r="D1" s="4"/>
      <c r="E1" s="4"/>
      <c r="F1" s="4"/>
      <c r="G1" s="4"/>
      <c r="H1" s="4"/>
      <c r="K1" s="6" t="s">
        <v>2</v>
      </c>
      <c r="L1" s="6"/>
      <c r="M1" s="6"/>
      <c r="N1" s="6"/>
      <c r="O1" s="6"/>
      <c r="P1" s="6"/>
      <c r="Q1" s="6"/>
    </row>
    <row r="2" spans="1:25">
      <c r="A2" s="1"/>
      <c r="B2" s="1"/>
      <c r="C2" s="1" t="s">
        <v>3</v>
      </c>
      <c r="D2" s="1"/>
      <c r="E2" s="1"/>
      <c r="F2" s="1" t="s">
        <v>4</v>
      </c>
      <c r="G2" s="1"/>
      <c r="H2" s="1"/>
      <c r="K2" s="1" t="s">
        <v>5</v>
      </c>
      <c r="L2" s="1"/>
      <c r="M2" s="4" t="s">
        <v>6</v>
      </c>
      <c r="N2" s="4"/>
      <c r="O2" s="4"/>
      <c r="P2" s="4"/>
      <c r="Q2" s="4"/>
    </row>
    <row r="3" spans="1:25">
      <c r="A3" s="1"/>
      <c r="B3" s="1"/>
      <c r="C3" s="3" t="s">
        <v>7</v>
      </c>
      <c r="D3" s="3" t="s">
        <v>8</v>
      </c>
      <c r="E3" s="3" t="s">
        <v>9</v>
      </c>
      <c r="F3" s="3" t="s">
        <v>7</v>
      </c>
      <c r="G3" s="3" t="s">
        <v>8</v>
      </c>
      <c r="H3" s="3" t="s">
        <v>9</v>
      </c>
      <c r="K3" s="1"/>
      <c r="L3" s="1"/>
      <c r="M3" t="s">
        <v>10</v>
      </c>
      <c r="N3" t="s">
        <v>11</v>
      </c>
      <c r="O3" t="s">
        <v>12</v>
      </c>
      <c r="P3" t="s">
        <v>13</v>
      </c>
      <c r="Q3" t="s">
        <v>14</v>
      </c>
      <c r="V3" s="3" t="s">
        <v>15</v>
      </c>
      <c r="W3" s="7"/>
      <c r="X3" s="3" t="s">
        <v>14</v>
      </c>
      <c r="Y3" s="3" t="s">
        <v>16</v>
      </c>
    </row>
    <row r="4" spans="1:25">
      <c r="A4" s="2" t="s">
        <v>17</v>
      </c>
      <c r="B4" t="s">
        <v>18</v>
      </c>
      <c r="C4">
        <v>2004</v>
      </c>
      <c r="D4">
        <v>2</v>
      </c>
      <c r="E4">
        <v>2.76307081403044E-2</v>
      </c>
      <c r="F4">
        <v>70524</v>
      </c>
      <c r="G4">
        <v>70</v>
      </c>
      <c r="H4">
        <v>0.97236929185969601</v>
      </c>
      <c r="K4" s="1"/>
      <c r="L4" s="1"/>
      <c r="M4" s="3" t="s">
        <v>7</v>
      </c>
      <c r="N4" s="3" t="s">
        <v>7</v>
      </c>
      <c r="O4" s="3" t="s">
        <v>7</v>
      </c>
      <c r="P4" s="3" t="s">
        <v>7</v>
      </c>
      <c r="Q4" s="3" t="s">
        <v>7</v>
      </c>
      <c r="U4" t="s">
        <v>18</v>
      </c>
      <c r="V4">
        <f t="shared" ref="V4:V13" si="0">$S$10*C4</f>
        <v>2577.8107372156601</v>
      </c>
      <c r="W4">
        <f t="shared" ref="W4:W13" si="1">D4</f>
        <v>2</v>
      </c>
      <c r="X4">
        <f>72528</f>
        <v>72528</v>
      </c>
      <c r="Y4">
        <f t="shared" ref="Y4:Y13" si="2">ROUND((100*V4/X4),1)</f>
        <v>3.6</v>
      </c>
    </row>
    <row r="5" spans="1:25">
      <c r="A5" s="2"/>
      <c r="B5" t="s">
        <v>19</v>
      </c>
      <c r="C5">
        <v>254239</v>
      </c>
      <c r="D5">
        <v>299</v>
      </c>
      <c r="E5">
        <v>1.99789899160084E-2</v>
      </c>
      <c r="F5">
        <v>12471079</v>
      </c>
      <c r="G5">
        <v>15205</v>
      </c>
      <c r="H5">
        <v>0.98002101008399201</v>
      </c>
      <c r="K5" s="2" t="s">
        <v>20</v>
      </c>
      <c r="L5" t="s">
        <v>21</v>
      </c>
      <c r="M5">
        <v>14196841</v>
      </c>
      <c r="N5">
        <v>545905</v>
      </c>
      <c r="O5">
        <v>3631463</v>
      </c>
      <c r="P5">
        <v>0</v>
      </c>
      <c r="Q5">
        <v>18374209</v>
      </c>
      <c r="U5" t="s">
        <v>19</v>
      </c>
      <c r="V5">
        <f t="shared" si="0"/>
        <v>327035.940129227</v>
      </c>
      <c r="W5">
        <f t="shared" si="1"/>
        <v>299</v>
      </c>
      <c r="X5">
        <v>12725318</v>
      </c>
      <c r="Y5">
        <f t="shared" si="2"/>
        <v>2.6</v>
      </c>
    </row>
    <row r="6" spans="1:25">
      <c r="A6" s="2"/>
      <c r="B6" t="s">
        <v>22</v>
      </c>
      <c r="C6">
        <v>281010</v>
      </c>
      <c r="D6">
        <v>341</v>
      </c>
      <c r="E6">
        <v>2.2174376722941001E-2</v>
      </c>
      <c r="F6">
        <v>12391725</v>
      </c>
      <c r="G6">
        <v>15520</v>
      </c>
      <c r="H6">
        <v>0.97782562327705902</v>
      </c>
      <c r="K6" s="2"/>
      <c r="L6" t="s">
        <v>23</v>
      </c>
      <c r="M6">
        <v>7522421</v>
      </c>
      <c r="N6">
        <v>294852</v>
      </c>
      <c r="O6">
        <v>2379095</v>
      </c>
      <c r="P6">
        <v>0</v>
      </c>
      <c r="Q6">
        <v>10196368</v>
      </c>
      <c r="U6" t="s">
        <v>22</v>
      </c>
      <c r="V6">
        <f t="shared" si="0"/>
        <v>361472.35292663297</v>
      </c>
      <c r="W6">
        <f t="shared" si="1"/>
        <v>341</v>
      </c>
      <c r="X6">
        <v>12672735</v>
      </c>
      <c r="Y6">
        <f t="shared" si="2"/>
        <v>2.9</v>
      </c>
    </row>
    <row r="7" spans="1:25">
      <c r="A7" s="2"/>
      <c r="B7" t="s">
        <v>24</v>
      </c>
      <c r="C7">
        <v>2153</v>
      </c>
      <c r="D7">
        <v>3</v>
      </c>
      <c r="E7">
        <v>1.7690607462428998E-2</v>
      </c>
      <c r="F7">
        <v>119550</v>
      </c>
      <c r="G7">
        <v>131</v>
      </c>
      <c r="H7">
        <v>0.98230939253757099</v>
      </c>
      <c r="K7" s="2"/>
      <c r="L7" t="s">
        <v>25</v>
      </c>
      <c r="M7">
        <v>0</v>
      </c>
      <c r="N7">
        <v>0</v>
      </c>
      <c r="O7">
        <v>0</v>
      </c>
      <c r="P7">
        <v>0</v>
      </c>
      <c r="Q7">
        <v>0</v>
      </c>
      <c r="U7" t="s">
        <v>24</v>
      </c>
      <c r="V7">
        <f t="shared" si="0"/>
        <v>2769.47430999267</v>
      </c>
      <c r="W7">
        <f t="shared" si="1"/>
        <v>3</v>
      </c>
      <c r="X7">
        <v>121703</v>
      </c>
      <c r="Y7">
        <f t="shared" si="2"/>
        <v>2.2999999999999998</v>
      </c>
    </row>
    <row r="8" spans="1:25">
      <c r="A8" s="2"/>
      <c r="B8" t="s">
        <v>26</v>
      </c>
      <c r="C8">
        <v>8333</v>
      </c>
      <c r="D8">
        <v>10</v>
      </c>
      <c r="E8">
        <v>1.62963339604414E-2</v>
      </c>
      <c r="F8">
        <v>503009</v>
      </c>
      <c r="G8">
        <v>530</v>
      </c>
      <c r="H8">
        <v>0.98370366603955905</v>
      </c>
      <c r="K8" s="2"/>
      <c r="L8" t="s">
        <v>27</v>
      </c>
      <c r="M8">
        <v>0</v>
      </c>
      <c r="N8">
        <v>0</v>
      </c>
      <c r="O8">
        <v>0</v>
      </c>
      <c r="P8">
        <v>0</v>
      </c>
      <c r="Q8">
        <v>0</v>
      </c>
      <c r="U8" t="s">
        <v>26</v>
      </c>
      <c r="V8">
        <f t="shared" si="0"/>
        <v>10719.0104157775</v>
      </c>
      <c r="W8">
        <f t="shared" si="1"/>
        <v>10</v>
      </c>
      <c r="X8">
        <v>511342</v>
      </c>
      <c r="Y8">
        <f t="shared" si="2"/>
        <v>2.1</v>
      </c>
    </row>
    <row r="9" spans="1:25">
      <c r="A9" s="2"/>
      <c r="B9" t="s">
        <v>28</v>
      </c>
      <c r="C9">
        <v>688</v>
      </c>
      <c r="D9">
        <v>1</v>
      </c>
      <c r="E9">
        <v>5.1309970392357197E-3</v>
      </c>
      <c r="F9">
        <v>133399</v>
      </c>
      <c r="G9">
        <v>141</v>
      </c>
      <c r="H9">
        <v>0.99486900296076397</v>
      </c>
      <c r="K9" s="2"/>
      <c r="L9" t="s">
        <v>29</v>
      </c>
      <c r="M9">
        <v>6218935</v>
      </c>
      <c r="N9">
        <v>314967</v>
      </c>
      <c r="O9">
        <v>1609191</v>
      </c>
      <c r="P9">
        <v>0</v>
      </c>
      <c r="Q9">
        <v>8143093</v>
      </c>
      <c r="S9" s="7" t="s">
        <v>0</v>
      </c>
      <c r="U9" t="s">
        <v>28</v>
      </c>
      <c r="V9">
        <f t="shared" si="0"/>
        <v>884.99689980258097</v>
      </c>
      <c r="W9">
        <f t="shared" si="1"/>
        <v>1</v>
      </c>
      <c r="X9">
        <v>134087</v>
      </c>
      <c r="Y9">
        <f t="shared" si="2"/>
        <v>0.7</v>
      </c>
    </row>
    <row r="10" spans="1:25">
      <c r="A10" s="2"/>
      <c r="B10" t="s">
        <v>30</v>
      </c>
      <c r="C10">
        <v>34245</v>
      </c>
      <c r="D10">
        <v>38</v>
      </c>
      <c r="E10">
        <v>3.1835705633372E-2</v>
      </c>
      <c r="F10">
        <v>1041434</v>
      </c>
      <c r="G10">
        <v>1112</v>
      </c>
      <c r="H10">
        <v>0.96816429436662799</v>
      </c>
      <c r="K10" s="2"/>
      <c r="L10" t="s">
        <v>31</v>
      </c>
      <c r="M10">
        <v>0</v>
      </c>
      <c r="N10">
        <v>0</v>
      </c>
      <c r="O10">
        <v>0</v>
      </c>
      <c r="P10">
        <v>0</v>
      </c>
      <c r="Q10">
        <v>0</v>
      </c>
      <c r="S10">
        <f>M11/(M11-M9)</f>
        <v>1.28633270320143</v>
      </c>
      <c r="U10" t="s">
        <v>30</v>
      </c>
      <c r="V10">
        <f t="shared" si="0"/>
        <v>44050.463421132801</v>
      </c>
      <c r="W10">
        <f t="shared" si="1"/>
        <v>38</v>
      </c>
      <c r="X10">
        <v>1075679</v>
      </c>
      <c r="Y10">
        <f t="shared" si="2"/>
        <v>4.0999999999999996</v>
      </c>
    </row>
    <row r="11" spans="1:25">
      <c r="A11" s="2"/>
      <c r="B11" t="s">
        <v>32</v>
      </c>
      <c r="C11">
        <v>2536</v>
      </c>
      <c r="D11">
        <v>4</v>
      </c>
      <c r="E11">
        <v>1.4845515319682E-2</v>
      </c>
      <c r="F11">
        <v>168290</v>
      </c>
      <c r="G11">
        <v>184</v>
      </c>
      <c r="H11">
        <v>0.98515448468031797</v>
      </c>
      <c r="K11" s="2"/>
      <c r="L11" t="s">
        <v>14</v>
      </c>
      <c r="M11">
        <v>27938197</v>
      </c>
      <c r="N11">
        <v>1155724</v>
      </c>
      <c r="O11">
        <v>7619749</v>
      </c>
      <c r="P11">
        <v>0</v>
      </c>
      <c r="Q11">
        <v>36713670</v>
      </c>
      <c r="U11" t="s">
        <v>32</v>
      </c>
      <c r="V11">
        <f t="shared" si="0"/>
        <v>3262.1397353188199</v>
      </c>
      <c r="W11">
        <f t="shared" si="1"/>
        <v>4</v>
      </c>
      <c r="X11">
        <v>170826</v>
      </c>
      <c r="Y11">
        <f t="shared" si="2"/>
        <v>1.9</v>
      </c>
    </row>
    <row r="12" spans="1:25">
      <c r="A12" s="2"/>
      <c r="B12" t="s">
        <v>33</v>
      </c>
      <c r="C12">
        <v>9985</v>
      </c>
      <c r="D12">
        <v>12</v>
      </c>
      <c r="E12">
        <v>2.1994409433035499E-2</v>
      </c>
      <c r="F12">
        <v>443994</v>
      </c>
      <c r="G12">
        <v>517</v>
      </c>
      <c r="H12">
        <v>0.97800559056696501</v>
      </c>
      <c r="U12" t="s">
        <v>33</v>
      </c>
      <c r="V12">
        <f t="shared" si="0"/>
        <v>12844.0320414662</v>
      </c>
      <c r="W12">
        <f t="shared" si="1"/>
        <v>12</v>
      </c>
      <c r="X12">
        <v>453979</v>
      </c>
      <c r="Y12">
        <f t="shared" si="2"/>
        <v>2.8</v>
      </c>
    </row>
    <row r="13" spans="1:25">
      <c r="A13" s="2"/>
      <c r="B13" t="s">
        <v>14</v>
      </c>
      <c r="C13">
        <v>595193</v>
      </c>
      <c r="D13">
        <v>710</v>
      </c>
      <c r="E13">
        <v>2.13039159255696E-2</v>
      </c>
      <c r="F13">
        <v>27343004</v>
      </c>
      <c r="G13">
        <v>33410</v>
      </c>
      <c r="H13">
        <v>0.97869608407442998</v>
      </c>
      <c r="M13" s="5" t="s">
        <v>34</v>
      </c>
      <c r="U13" t="s">
        <v>14</v>
      </c>
      <c r="V13">
        <f t="shared" si="0"/>
        <v>765616.22061656602</v>
      </c>
      <c r="W13">
        <f t="shared" si="1"/>
        <v>710</v>
      </c>
      <c r="X13">
        <v>27938197</v>
      </c>
      <c r="Y13">
        <f t="shared" si="2"/>
        <v>2.7</v>
      </c>
    </row>
  </sheetData>
  <mergeCells count="9">
    <mergeCell ref="A4:A13"/>
    <mergeCell ref="K5:K11"/>
    <mergeCell ref="K2:L4"/>
    <mergeCell ref="A1:B3"/>
    <mergeCell ref="C1:H1"/>
    <mergeCell ref="K1:Q1"/>
    <mergeCell ref="C2:E2"/>
    <mergeCell ref="F2:H2"/>
    <mergeCell ref="M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Zero hours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2025-01-13T09:45:00Z</dcterms:created>
  <dcterms:modified xsi:type="dcterms:W3CDTF">2026-02-17T09:37:39Z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D099924EB27D4D7DAA416F837A262FE4_12</vt:lpwstr>
  </property>
  <property fmtid="{D5CDD505-2E9C-101B-9397-08002B2CF9AE}" pid="3" name="KSOProductBuildVer">
    <vt:lpwstr>2052-12.1.0.19302</vt:lpwstr>
  </property>
</Properties>
</file>