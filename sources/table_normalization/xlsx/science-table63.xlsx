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<sst xmlns="http://schemas.openxmlformats.org/spreadsheetml/2006/main" count="27" uniqueCount="24">
  <si>
    <t>Expt-1</t>
  </si>
  <si>
    <t>Expt-2</t>
  </si>
  <si>
    <t>Liver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</si>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</sst>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/>
    <xf numFmtId="0" fontId="0" fillId="0" borderId="0" xfId="0" applyFill="1" applyBorder="1" applyAlignment="1"/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5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B2" sqref="B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</cols>
  <sheetData>
    <row r="1" spans="1:11" ht="18.5">
      <c r="A1" s="1"/>
      <c r="B1" s="2"/>
      <c r="C1" s="17" t="s">
        <v>0</v>
      </c>
      <c r="D1" s="18"/>
      <c r="E1" s="19"/>
      <c r="F1" s="2"/>
      <c r="G1" s="17" t="s">
        <v>1</v>
      </c>
      <c r="H1" s="18"/>
      <c r="I1" s="19"/>
      <c r="J1" s="2"/>
      <c r="K1" s="16"/>
    </row>
    <row r="2" spans="1:11">
      <c r="A2" s="3"/>
      <c r="B2" s="22" t="s">
        <v>2</v>
      </c>
      <c r="C2" s="4" t="s">
        <v>3</v>
      </c>
      <c r="D2" s="5" t="s">
        <v>4</v>
      </c>
      <c r="E2" s="6" t="s">
        <v>5</v>
      </c>
      <c r="F2" s="7"/>
      <c r="G2" s="4" t="s">
        <v>3</v>
      </c>
      <c r="H2" s="5" t="s">
        <v>4</v>
      </c>
      <c r="I2" s="6" t="s">
        <v>5</v>
      </c>
      <c r="J2" s="20" t="s">
        <v>6</v>
      </c>
      <c r="K2" s="21" t="s">
        <v>7</v>
      </c>
    </row>
    <row r="3" spans="1:11">
      <c r="A3" s="8" t="s">
        <v>8</v>
      </c>
      <c r="B3" s="9" t="s">
        <v>9</v>
      </c>
      <c r="C3" s="10">
        <v>1420</v>
      </c>
      <c r="D3" s="11">
        <v>1502</v>
      </c>
      <c r="E3" s="12">
        <v>1508.5</v>
      </c>
      <c r="F3" s="11"/>
      <c r="G3" s="10">
        <v>1308.7</v>
      </c>
      <c r="H3" s="11">
        <v>1402</v>
      </c>
      <c r="I3" s="12">
        <v>1240.25</v>
      </c>
      <c r="J3" s="11">
        <f t="shared" ref="J3:J10" si="0">AVERAGE(C3:I3)</f>
        <v>1396.9083333333299</v>
      </c>
      <c r="K3" s="12">
        <f t="shared" ref="K3:K10" si="1">STDEV(C3:I3)</f>
        <v>106.18724225003101</v>
      </c>
    </row>
    <row r="4" spans="1:11">
      <c r="A4" s="8" t="s">
        <v>10</v>
      </c>
      <c r="B4" s="9" t="s">
        <v>11</v>
      </c>
      <c r="C4" s="10">
        <v>1950</v>
      </c>
      <c r="D4" s="11">
        <v>1886</v>
      </c>
      <c r="E4" s="12">
        <v>1936.6</v>
      </c>
      <c r="F4" s="11"/>
      <c r="G4" s="10">
        <v>1890</v>
      </c>
      <c r="H4" s="11">
        <v>2209.5</v>
      </c>
      <c r="I4" s="12">
        <v>2162.87</v>
      </c>
      <c r="J4" s="11">
        <f t="shared" si="0"/>
        <v>2005.82833333333</v>
      </c>
      <c r="K4" s="12">
        <f t="shared" si="1"/>
        <v>142.708535192071</v>
      </c>
    </row>
    <row r="5" spans="1:11">
      <c r="A5" s="8" t="s">
        <v>12</v>
      </c>
      <c r="B5" s="9" t="s">
        <v>13</v>
      </c>
      <c r="C5" s="10">
        <v>1890</v>
      </c>
      <c r="D5" s="11">
        <v>1909</v>
      </c>
      <c r="E5" s="12">
        <v>1996.6</v>
      </c>
      <c r="F5" s="11"/>
      <c r="G5" s="10">
        <v>1887.8</v>
      </c>
      <c r="H5" s="11">
        <v>2305</v>
      </c>
      <c r="I5" s="12">
        <v>2069.56</v>
      </c>
      <c r="J5" s="11">
        <f t="shared" si="0"/>
        <v>2009.66</v>
      </c>
      <c r="K5" s="12">
        <f t="shared" si="1"/>
        <v>161.421869645968</v>
      </c>
    </row>
    <row r="6" spans="1:11">
      <c r="A6" s="8" t="s">
        <v>14</v>
      </c>
      <c r="B6" s="9" t="s">
        <v>15</v>
      </c>
      <c r="C6" s="10">
        <v>1310</v>
      </c>
      <c r="D6" s="11">
        <v>1415</v>
      </c>
      <c r="E6" s="12">
        <v>1565</v>
      </c>
      <c r="F6" s="11"/>
      <c r="G6" s="10">
        <v>1505.76</v>
      </c>
      <c r="H6" s="11">
        <v>1475</v>
      </c>
      <c r="I6" s="12">
        <v>1513.6</v>
      </c>
      <c r="J6" s="11">
        <f t="shared" si="0"/>
        <v>1464.06</v>
      </c>
      <c r="K6" s="12">
        <f t="shared" si="1"/>
        <v>90.158788811740393</v>
      </c>
    </row>
    <row r="7" spans="1:11">
      <c r="A7" s="8" t="s">
        <v>16</v>
      </c>
      <c r="B7" s="9" t="s">
        <v>17</v>
      </c>
      <c r="C7" s="10">
        <v>1456</v>
      </c>
      <c r="D7" s="11">
        <v>1495</v>
      </c>
      <c r="E7" s="12">
        <v>1609.9</v>
      </c>
      <c r="F7" s="11"/>
      <c r="G7" s="10">
        <v>1496.87</v>
      </c>
      <c r="H7" s="11">
        <v>1432</v>
      </c>
      <c r="I7" s="12">
        <v>1565.12</v>
      </c>
      <c r="J7" s="11">
        <f t="shared" si="0"/>
        <v>1509.1483333333299</v>
      </c>
      <c r="K7" s="12">
        <f t="shared" si="1"/>
        <v>66.949636717958896</v>
      </c>
    </row>
    <row r="8" spans="1:11">
      <c r="A8" s="8" t="s">
        <v>18</v>
      </c>
      <c r="B8" s="9" t="s">
        <v>19</v>
      </c>
      <c r="C8" s="10">
        <v>1836</v>
      </c>
      <c r="D8" s="11">
        <v>1786</v>
      </c>
      <c r="E8" s="12">
        <v>1896.7</v>
      </c>
      <c r="F8" s="11"/>
      <c r="G8" s="10">
        <v>1865.7</v>
      </c>
      <c r="H8" s="11">
        <v>2412.5</v>
      </c>
      <c r="I8" s="12">
        <v>2093.56</v>
      </c>
      <c r="J8" s="11">
        <f t="shared" si="0"/>
        <v>1981.7433333333299</v>
      </c>
      <c r="K8" s="12">
        <f t="shared" si="1"/>
        <v>235.92764498181799</v>
      </c>
    </row>
    <row r="9" spans="1:11">
      <c r="A9" s="8" t="s">
        <v>20</v>
      </c>
      <c r="B9" s="9" t="s">
        <v>21</v>
      </c>
      <c r="C9" s="10">
        <v>1892</v>
      </c>
      <c r="D9" s="11">
        <v>2250</v>
      </c>
      <c r="E9" s="12">
        <v>1757.6</v>
      </c>
      <c r="F9" s="11"/>
      <c r="G9" s="10">
        <v>1857.5</v>
      </c>
      <c r="H9" s="11">
        <v>2262.6999999999998</v>
      </c>
      <c r="I9" s="12">
        <v>2034.7</v>
      </c>
      <c r="J9" s="11">
        <f t="shared" si="0"/>
        <v>2009.0833333333301</v>
      </c>
      <c r="K9" s="12">
        <f t="shared" si="1"/>
        <v>211.16266163000199</v>
      </c>
    </row>
    <row r="10" spans="1:11">
      <c r="A10" s="3" t="s">
        <v>22</v>
      </c>
      <c r="B10" s="13" t="s">
        <v>23</v>
      </c>
      <c r="C10" s="14">
        <v>1386</v>
      </c>
      <c r="D10" s="7">
        <v>1208</v>
      </c>
      <c r="E10" s="15">
        <v>1442.7</v>
      </c>
      <c r="F10" s="7"/>
      <c r="G10" s="14">
        <v>1535.6</v>
      </c>
      <c r="H10" s="7">
        <v>1523.86</v>
      </c>
      <c r="I10" s="15">
        <v>1452.81</v>
      </c>
      <c r="J10" s="7">
        <f t="shared" si="0"/>
        <v>1424.82833333333</v>
      </c>
      <c r="K10" s="15">
        <f t="shared" si="1"/>
        <v>119.75155020569299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2025-01-13T08:53:50Z</dcterms:created>
  <dcterms:modified xsi:type="dcterms:W3CDTF">2026-03-12T06:22:29Z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58E48445589D4FF383E0BEA4E2CAD385_11</vt:lpwstr>
  </property>
  <property fmtid="{D5CDD505-2E9C-101B-9397-08002B2CF9AE}" pid="3" name="KSOProductBuildVer">
    <vt:lpwstr>2052-12.1.0.19302</vt:lpwstr>
  </property>
</Properties>
</file>