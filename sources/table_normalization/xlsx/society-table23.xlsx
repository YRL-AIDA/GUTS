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externalReferences>
    <externalReference r:id="rId2"/>
  </externalReferences>
  <definedNames>
    <definedName name="Avg_No_of_People_Infected_per_Infectious_Individual">'[1]Detailed COVID Calculations - 1'!$C$10</definedName>
    <definedName name="Chosen_Scenario">[1]Intro!$AA$1</definedName>
    <definedName name="Fatality_Rate_Adult">'[1]Detailed COVID Calculations - 1'!$C$52</definedName>
    <definedName name="Package_or_Individual2">'[1]2a. Coverage General Recovery'!$E$3</definedName>
    <definedName name="Percent_Prevalence_at_Beginning_of_Projection_Period">'[1]Detailed COVID Calculations - 1'!$C$7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4" i="1" l="1"/>
  <c r="A84" i="1"/>
  <c r="A83" i="1" s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1" i="1"/>
  <c r="G70" i="1"/>
  <c r="A70" i="1"/>
  <c r="G69" i="1"/>
  <c r="A69" i="1"/>
  <c r="G68" i="1"/>
  <c r="A68" i="1"/>
  <c r="G67" i="1"/>
  <c r="A67" i="1"/>
  <c r="G66" i="1"/>
  <c r="A66" i="1"/>
  <c r="G65" i="1"/>
  <c r="A65" i="1"/>
  <c r="G64" i="1"/>
  <c r="A64" i="1"/>
  <c r="G63" i="1"/>
  <c r="A63" i="1"/>
  <c r="G61" i="1"/>
  <c r="A61" i="1"/>
  <c r="G60" i="1"/>
  <c r="A60" i="1"/>
  <c r="G59" i="1"/>
  <c r="A58" i="1"/>
  <c r="G57" i="1"/>
  <c r="A57" i="1"/>
  <c r="G56" i="1"/>
  <c r="A56" i="1"/>
  <c r="G55" i="1"/>
  <c r="A55" i="1"/>
  <c r="A54" i="1" s="1"/>
  <c r="G53" i="1"/>
  <c r="A53" i="1"/>
  <c r="G52" i="1"/>
  <c r="A52" i="1"/>
  <c r="G51" i="1"/>
  <c r="A51" i="1"/>
  <c r="G49" i="1"/>
  <c r="A49" i="1"/>
  <c r="G48" i="1"/>
  <c r="A48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7" i="1"/>
  <c r="A37" i="1"/>
  <c r="G36" i="1"/>
  <c r="A36" i="1"/>
  <c r="G35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A27" i="1"/>
  <c r="G26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2" i="1"/>
  <c r="G11" i="1"/>
  <c r="A11" i="1"/>
  <c r="G10" i="1"/>
  <c r="A10" i="1"/>
  <c r="G9" i="1"/>
  <c r="A9" i="1"/>
  <c r="G8" i="1"/>
  <c r="A8" i="1"/>
  <c r="G7" i="1"/>
  <c r="A7" i="1"/>
  <c r="G6" i="1"/>
  <c r="A6" i="1"/>
  <c r="G5" i="1"/>
  <c r="A5" i="1"/>
  <c r="G4" i="1"/>
  <c r="A4" i="1"/>
  <c r="A3" i="1"/>
</calcChain>
</file>

<file path=xl/sharedStrings.xml><?xml version="1.0" encoding="utf-8"?>
<sst xmlns="http://schemas.openxmlformats.org/spreadsheetml/2006/main" count="124" uniqueCount="92">
  <si>
    <t>Intervention - Number of Visits and Contacts with Health Care Providers</t>
  </si>
  <si>
    <t>HIDDEN</t>
  </si>
  <si>
    <t>HIDDEN COLUMN</t>
  </si>
  <si>
    <t>Int#</t>
  </si>
  <si>
    <t>LiST#</t>
  </si>
  <si>
    <t>Intervention</t>
  </si>
  <si>
    <t>Number of Visits per FP User per Year</t>
  </si>
  <si>
    <t>Number of Health Workers involved in each Visit</t>
  </si>
  <si>
    <t>Number of Health Worker Contacts</t>
  </si>
  <si>
    <t>FP - Pills</t>
  </si>
  <si>
    <t>FP - Condoms</t>
  </si>
  <si>
    <t>FP - Injectables</t>
  </si>
  <si>
    <t>FP - Implants</t>
  </si>
  <si>
    <t>FP - IUD</t>
  </si>
  <si>
    <t>FP - Female Sterilization</t>
  </si>
  <si>
    <t>FP - Male Sterilization</t>
  </si>
  <si>
    <t>FP - Traditional Methods</t>
  </si>
  <si>
    <t>Number of Visits per Pregnant Woman</t>
  </si>
  <si>
    <t>x</t>
  </si>
  <si>
    <t>ANTENATAL CARE</t>
  </si>
  <si>
    <t>TT - Tetanus toxoid vaccination</t>
  </si>
  <si>
    <t>IPTp - Intermittent preventive treatment of malaria during pregnancy</t>
  </si>
  <si>
    <t>Syphilis detection and treatment</t>
  </si>
  <si>
    <t>Calcium supplementation</t>
  </si>
  <si>
    <t>Iron supplementation in pregnancy</t>
  </si>
  <si>
    <t>Multiple micronutrient supplementation in pregnancy</t>
  </si>
  <si>
    <t>Balanced energy supplementation</t>
  </si>
  <si>
    <t>Hypertensive disorder case management</t>
  </si>
  <si>
    <t>Diabetes case management</t>
  </si>
  <si>
    <t>Malaria case management</t>
  </si>
  <si>
    <t>MgSO4 management of pre-eclampsia</t>
  </si>
  <si>
    <t>Hospital Stay in Days</t>
  </si>
  <si>
    <t>Avg. No of Health Workers Seen per Day</t>
  </si>
  <si>
    <t>FACILITY-BASED DELIVERY</t>
  </si>
  <si>
    <t>Clean birth environment</t>
  </si>
  <si>
    <t>Manual removal of placenta</t>
  </si>
  <si>
    <t>MgSO4 management of eclampsia</t>
  </si>
  <si>
    <t>Antibiotics for preterm or prolonged PROM</t>
  </si>
  <si>
    <t>Parenteral administration of antibiotics</t>
  </si>
  <si>
    <t>Assisted vaginal delivery</t>
  </si>
  <si>
    <t>Active management of third stage of labor (AMTSL)</t>
  </si>
  <si>
    <t>Removal of retained products of conception</t>
  </si>
  <si>
    <t>Induction of labor for pregnancies lasting 41+ weeks</t>
  </si>
  <si>
    <t>Antenatal corticosteroids for preterm labor</t>
  </si>
  <si>
    <t>Maternal sepsis case management</t>
  </si>
  <si>
    <t>Safe abortion services</t>
  </si>
  <si>
    <t>Post abortion case management</t>
  </si>
  <si>
    <t>Cesarean delivery</t>
  </si>
  <si>
    <t>Blood transfusion</t>
  </si>
  <si>
    <t>Ectopic pregnancy case management</t>
  </si>
  <si>
    <t>Immediate drying and additional stimulation</t>
  </si>
  <si>
    <t>Thermal protection</t>
  </si>
  <si>
    <t>Clean cord care</t>
  </si>
  <si>
    <t>Neonatal resuscitation</t>
  </si>
  <si>
    <t>Case management of premature babies</t>
  </si>
  <si>
    <t>Kangaroo-Mother Care (KMC)</t>
  </si>
  <si>
    <t>Full supportive care of prematurity</t>
  </si>
  <si>
    <t>Case management of neonatal sepsis/pneumonia</t>
  </si>
  <si>
    <t>Oral antibiotics</t>
  </si>
  <si>
    <t>Injectable antibiotics</t>
  </si>
  <si>
    <t>Full supportive care</t>
  </si>
  <si>
    <t>Number of Visits per Woman</t>
  </si>
  <si>
    <t>Early Initiation of Breastfeeding</t>
  </si>
  <si>
    <t>Complementary feeding - Education only</t>
  </si>
  <si>
    <t>Complementary feeding - Supplementary feeding + Education</t>
  </si>
  <si>
    <t xml:space="preserve">Number of Visits per Child </t>
  </si>
  <si>
    <t>Number of Health Worker Contacts per Case/Episode</t>
  </si>
  <si>
    <t>AVERAGE NUMBER OF VACCINATION VISITS PER CHILD IN FiRST LIFE-YEAR</t>
  </si>
  <si>
    <t>BCG - Single dose</t>
  </si>
  <si>
    <t>Polio - Three doses</t>
  </si>
  <si>
    <t>Pentavalent</t>
  </si>
  <si>
    <t>DPT - Three doses</t>
  </si>
  <si>
    <t>Hib - Three doses</t>
  </si>
  <si>
    <t>HepB - Three doses</t>
  </si>
  <si>
    <t>Pneumococcal - Three doses</t>
  </si>
  <si>
    <t>Rotavirus - Two doses</t>
  </si>
  <si>
    <t>Meningococcal A - Single dose</t>
  </si>
  <si>
    <t>Malaria vaccine - Three doses</t>
  </si>
  <si>
    <t>Measles - Single dose</t>
  </si>
  <si>
    <t>Number of Visits per Patient per Case/Episode</t>
  </si>
  <si>
    <t>AVERAGE NUMBER OF SICK/WELL CHILD VISITS PER YEAR</t>
  </si>
  <si>
    <t>Vitamin A supplementation</t>
  </si>
  <si>
    <t>Zinc supplementation</t>
  </si>
  <si>
    <t>ORS - Oral Rehydration Solution</t>
  </si>
  <si>
    <t>Antibiotics for treatment of dysentery</t>
  </si>
  <si>
    <t>Zinc for treatment of diarrhea</t>
  </si>
  <si>
    <t>Oral antibiotics for pneumonia</t>
  </si>
  <si>
    <t>Vitamin A for treatment of measles</t>
  </si>
  <si>
    <t>ACTs - Artemisinin compounds for treatment of malaria</t>
  </si>
  <si>
    <t>SAM - treatment for severe acute malnutrition</t>
  </si>
  <si>
    <t>MAM - treatment for moderate acute malnutrition</t>
  </si>
  <si>
    <t>ITN/IRS - Households protected from malaria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</si>
</sst>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>
    <font>
      <sz val="11"/>
      <color theme="1"/>
      <name val="Calibri"/>
      <charset val="134"/>
      <scheme val="minor"/>
    </font>
    <font>
      <sz val="16"/>
      <color theme="1"/>
      <name val="Britannic Bold"/>
      <charset val="134"/>
    </font>
    <font>
      <sz val="9"/>
      <color rgb="FFC00000"/>
      <name val="Calibri"/>
      <charset val="134"/>
      <scheme val="minor"/>
    </font>
    <font>
      <b/>
      <sz val="8"/>
      <color rgb="FFFF0000"/>
      <name val="Calibri"/>
      <charset val="134"/>
      <scheme val="minor"/>
    </font>
    <font>
      <b/>
      <sz val="8"/>
      <color theme="0"/>
      <name val="Century Gothic"/>
      <charset val="134"/>
    </font>
    <font>
      <sz val="10"/>
      <color theme="1"/>
      <name val="Century Gothic"/>
      <charset val="134"/>
    </font>
    <font>
      <b/>
      <sz val="10"/>
      <name val="Century Gothic"/>
      <charset val="134"/>
    </font>
    <font>
      <b/>
      <sz val="10"/>
      <color theme="1"/>
      <name val="Century Gothic"/>
      <charset val="134"/>
    </font>
    <font>
      <sz val="10"/>
      <name val="Century Gothic"/>
      <charset val="134"/>
    </font>
    <font>
      <u/>
      <sz val="10"/>
      <color theme="1"/>
      <name val="Century Gothic"/>
      <charset val="134"/>
    </font>
    <font>
      <sz val="11"/>
      <color theme="1"/>
      <name val="Calibri"/>
      <charset val="134"/>
      <scheme val="minor"/>
    </font>
    <font>
      <b/>
      <sz val="8"/>
      <name val="Century Gothic"/>
      <family val="2"/>
      <charset val="204"/>
    </font>
  </fonts>
  <fills count="1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 style="thin">
        <color theme="9"/>
      </right>
      <top/>
      <bottom style="thin">
        <color theme="9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2">
    <xf numFmtId="0" fontId="0" fillId="0" borderId="0">
      <alignment vertical="center"/>
    </xf>
    <xf numFmtId="0" fontId="10" fillId="0" borderId="0"/>
  </cellStyleXfs>
  <cellXfs count="62"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0" xfId="0" applyFont="1" applyFill="1" applyAlignment="1"/>
    <xf numFmtId="0" fontId="2" fillId="0" borderId="0" xfId="0" applyFont="1" applyFill="1" applyAlignment="1">
      <alignment horizontal="centerContinuous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0" fillId="0" borderId="2" xfId="0" applyFont="1" applyFill="1" applyBorder="1" applyAlignment="1">
      <alignment horizontal="center"/>
    </xf>
    <xf numFmtId="0" fontId="5" fillId="0" borderId="3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vertical="center"/>
    </xf>
    <xf numFmtId="0" fontId="5" fillId="4" borderId="3" xfId="0" applyFont="1" applyFill="1" applyBorder="1" applyAlignment="1"/>
    <xf numFmtId="0" fontId="5" fillId="5" borderId="3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5" fillId="0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vertical="center"/>
    </xf>
    <xf numFmtId="0" fontId="5" fillId="4" borderId="2" xfId="0" applyFont="1" applyFill="1" applyBorder="1" applyAlignment="1"/>
    <xf numFmtId="0" fontId="5" fillId="5" borderId="2" xfId="0" applyFont="1" applyFill="1" applyBorder="1" applyAlignment="1">
      <alignment horizontal="center"/>
    </xf>
    <xf numFmtId="0" fontId="6" fillId="6" borderId="2" xfId="1" applyFont="1" applyFill="1" applyBorder="1" applyAlignment="1">
      <alignment horizontal="center"/>
    </xf>
    <xf numFmtId="0" fontId="7" fillId="6" borderId="2" xfId="0" applyFont="1" applyFill="1" applyBorder="1" applyAlignment="1"/>
    <xf numFmtId="0" fontId="7" fillId="5" borderId="2" xfId="0" applyFont="1" applyFill="1" applyBorder="1" applyAlignment="1">
      <alignment horizontal="center"/>
    </xf>
    <xf numFmtId="0" fontId="8" fillId="6" borderId="2" xfId="1" applyFont="1" applyFill="1" applyBorder="1" applyAlignment="1">
      <alignment horizontal="center"/>
    </xf>
    <xf numFmtId="0" fontId="5" fillId="6" borderId="2" xfId="0" applyFont="1" applyFill="1" applyBorder="1" applyAlignment="1"/>
    <xf numFmtId="0" fontId="7" fillId="7" borderId="2" xfId="0" applyFont="1" applyFill="1" applyBorder="1" applyAlignment="1">
      <alignment horizontal="center" vertical="center" wrapText="1"/>
    </xf>
    <xf numFmtId="0" fontId="7" fillId="7" borderId="2" xfId="0" applyFont="1" applyFill="1" applyBorder="1" applyAlignment="1"/>
    <xf numFmtId="0" fontId="8" fillId="7" borderId="2" xfId="1" applyFont="1" applyFill="1" applyBorder="1" applyAlignment="1">
      <alignment horizontal="center"/>
    </xf>
    <xf numFmtId="0" fontId="5" fillId="7" borderId="4" xfId="0" applyFont="1" applyFill="1" applyBorder="1" applyAlignment="1"/>
    <xf numFmtId="0" fontId="5" fillId="3" borderId="2" xfId="0" applyFont="1" applyFill="1" applyBorder="1" applyAlignment="1">
      <alignment horizontal="center"/>
    </xf>
    <xf numFmtId="0" fontId="8" fillId="7" borderId="2" xfId="1" applyFont="1" applyFill="1" applyBorder="1"/>
    <xf numFmtId="0" fontId="8" fillId="7" borderId="4" xfId="1" applyFont="1" applyFill="1" applyBorder="1"/>
    <xf numFmtId="0" fontId="5" fillId="7" borderId="2" xfId="0" applyFont="1" applyFill="1" applyBorder="1" applyAlignment="1"/>
    <xf numFmtId="0" fontId="5" fillId="6" borderId="2" xfId="0" applyFont="1" applyFill="1" applyBorder="1" applyAlignment="1">
      <alignment horizontal="center"/>
    </xf>
    <xf numFmtId="0" fontId="5" fillId="4" borderId="4" xfId="0" applyFont="1" applyFill="1" applyBorder="1" applyAlignment="1"/>
    <xf numFmtId="0" fontId="8" fillId="4" borderId="4" xfId="1" applyFont="1" applyFill="1" applyBorder="1"/>
    <xf numFmtId="0" fontId="5" fillId="4" borderId="2" xfId="0" applyFont="1" applyFill="1" applyBorder="1" applyAlignment="1">
      <alignment horizontal="left"/>
    </xf>
    <xf numFmtId="0" fontId="0" fillId="3" borderId="2" xfId="0" applyFont="1" applyFill="1" applyBorder="1" applyAlignment="1"/>
    <xf numFmtId="0" fontId="9" fillId="4" borderId="4" xfId="0" applyFont="1" applyFill="1" applyBorder="1" applyAlignment="1"/>
    <xf numFmtId="0" fontId="9" fillId="4" borderId="2" xfId="0" applyFont="1" applyFill="1" applyBorder="1" applyAlignment="1"/>
    <xf numFmtId="0" fontId="8" fillId="8" borderId="5" xfId="1" applyFont="1" applyFill="1" applyBorder="1"/>
    <xf numFmtId="0" fontId="5" fillId="8" borderId="2" xfId="0" applyFont="1" applyFill="1" applyBorder="1" applyAlignment="1"/>
    <xf numFmtId="0" fontId="5" fillId="8" borderId="4" xfId="0" applyFont="1" applyFill="1" applyBorder="1" applyAlignment="1"/>
    <xf numFmtId="0" fontId="5" fillId="9" borderId="2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vertical="top" wrapText="1"/>
    </xf>
    <xf numFmtId="0" fontId="7" fillId="5" borderId="2" xfId="0" applyFont="1" applyFill="1" applyBorder="1" applyAlignment="1">
      <alignment horizontal="center" vertical="top"/>
    </xf>
    <xf numFmtId="0" fontId="5" fillId="3" borderId="3" xfId="0" applyFont="1" applyFill="1" applyBorder="1" applyAlignment="1">
      <alignment horizontal="center" vertical="top"/>
    </xf>
    <xf numFmtId="0" fontId="0" fillId="0" borderId="0" xfId="0" applyFont="1" applyFill="1" applyAlignment="1">
      <alignment vertical="top"/>
    </xf>
    <xf numFmtId="0" fontId="5" fillId="9" borderId="4" xfId="0" applyFont="1" applyFill="1" applyBorder="1" applyAlignment="1"/>
    <xf numFmtId="0" fontId="5" fillId="9" borderId="2" xfId="0" applyFont="1" applyFill="1" applyBorder="1" applyAlignment="1"/>
    <xf numFmtId="0" fontId="9" fillId="9" borderId="2" xfId="0" applyFont="1" applyFill="1" applyBorder="1" applyAlignment="1"/>
    <xf numFmtId="0" fontId="5" fillId="0" borderId="2" xfId="0" applyFont="1" applyFill="1" applyBorder="1" applyAlignment="1">
      <alignment horizontal="center"/>
    </xf>
    <xf numFmtId="0" fontId="7" fillId="10" borderId="2" xfId="0" applyFont="1" applyFill="1" applyBorder="1" applyAlignment="1">
      <alignment horizontal="center" vertical="center" wrapText="1"/>
    </xf>
    <xf numFmtId="0" fontId="7" fillId="10" borderId="2" xfId="0" applyFont="1" applyFill="1" applyBorder="1" applyAlignment="1"/>
    <xf numFmtId="0" fontId="5" fillId="10" borderId="2" xfId="0" applyFont="1" applyFill="1" applyBorder="1" applyAlignment="1">
      <alignment horizontal="center"/>
    </xf>
    <xf numFmtId="0" fontId="5" fillId="10" borderId="2" xfId="0" applyFont="1" applyFill="1" applyBorder="1" applyAlignment="1"/>
    <xf numFmtId="0" fontId="5" fillId="11" borderId="2" xfId="0" applyFont="1" applyFill="1" applyBorder="1" applyAlignment="1">
      <alignment horizontal="center"/>
    </xf>
    <xf numFmtId="0" fontId="5" fillId="12" borderId="2" xfId="0" applyFont="1" applyFill="1" applyBorder="1" applyAlignment="1"/>
    <xf numFmtId="0" fontId="8" fillId="13" borderId="2" xfId="1" applyFont="1" applyFill="1" applyBorder="1" applyAlignment="1">
      <alignment horizontal="center"/>
    </xf>
    <xf numFmtId="0" fontId="5" fillId="13" borderId="2" xfId="0" applyFont="1" applyFill="1" applyBorder="1" applyAlignment="1">
      <alignment horizontal="center"/>
    </xf>
    <xf numFmtId="0" fontId="5" fillId="13" borderId="2" xfId="0" applyFont="1" applyFill="1" applyBorder="1" applyAlignment="1"/>
    <xf numFmtId="0" fontId="1" fillId="14" borderId="0" xfId="0" applyFont="1" applyFill="1" applyAlignment="1"/>
    <xf numFmtId="0" fontId="3" fillId="14" borderId="0" xfId="0" applyFont="1" applyFill="1" applyAlignment="1"/>
    <xf numFmtId="0" fontId="11" fillId="15" borderId="1" xfId="0" applyFont="1" applyFill="1" applyBorder="1" applyAlignment="1">
      <alignment horizontal="left" vertical="center" wrapText="1"/>
    </xf>
    <xf numFmtId="0" fontId="11" fillId="0" borderId="1" xfId="0" applyFont="1" applyFill="1" applyBorder="1" applyAlignment="1">
      <alignment horizontal="left" vertical="center" wrapText="1"/>
    </xf>
  </cellXfs>
  <cellStyles count="2">
    <cellStyle name="Normal 14" xfId="1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86135/Downloads/Country%20Excel%20Models/Country%20Excel%20Models/Iraq%20Benefit%20Risk%20Analysis%20Model%20-%20Jan%20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ro"/>
      <sheetName val="1. Select Services"/>
      <sheetName val="Spectrum LiST Setup"/>
      <sheetName val="Spectrum Baseline Data"/>
      <sheetName val="Review Dem +Epi Data"/>
      <sheetName val="2. COVID Impact on Coverage"/>
      <sheetName val="2a. Coverage General Recovery"/>
      <sheetName val="3. Mitigation Impact on Coverag"/>
      <sheetName val="4. Coverage Review"/>
      <sheetName val="LIST Instructions"/>
      <sheetName val="Input into FamPlan - WITHOUT M."/>
      <sheetName val="Input into LiST Mod.-WITHOUT M."/>
      <sheetName val="LiST Outputs - WITHOUT M."/>
      <sheetName val="Input into FamPlan - Gen. Recov"/>
      <sheetName val="Input into LiST Mod. - Gen. Rec"/>
      <sheetName val="LiST Outputs - Gen. Recov"/>
      <sheetName val="Input into FamPlan WITH M."/>
      <sheetName val="Input into LiST Module WITH M."/>
      <sheetName val="LiST Outputs WITH M."/>
      <sheetName val="Dem +Epi Data Updated"/>
      <sheetName val="Coverage Review Updated"/>
      <sheetName val="5. Lives Lost Due to Disruption"/>
      <sheetName val="6. Lives Saved with Mitigation"/>
      <sheetName val="7. Number of HW Contacts"/>
      <sheetName val="8. COVID Transmission Risk"/>
      <sheetName val="Detailed COVID Calculations - 1"/>
      <sheetName val="Detailed COVID Calculations - 2"/>
      <sheetName val="9. Risk-Benefit Results"/>
      <sheetName val="HH Database"/>
      <sheetName val="10. Impact by Mitig Strategy"/>
      <sheetName val="Interventions"/>
    </sheetNames>
    <sheetDataSet>
      <sheetData sheetId="0"/>
      <sheetData sheetId="1">
        <row r="6">
          <cell r="A6">
            <v>1</v>
          </cell>
          <cell r="B6" t="str">
            <v>Family Planning</v>
          </cell>
          <cell r="C6" t="str">
            <v>x</v>
          </cell>
          <cell r="D6" t="str">
            <v>FP - Pills</v>
          </cell>
          <cell r="E6" t="str">
            <v>x</v>
          </cell>
        </row>
        <row r="7">
          <cell r="A7">
            <v>2</v>
          </cell>
          <cell r="D7" t="str">
            <v>FP - Condoms</v>
          </cell>
          <cell r="E7" t="str">
            <v>x</v>
          </cell>
        </row>
        <row r="8">
          <cell r="A8">
            <v>3</v>
          </cell>
          <cell r="D8" t="str">
            <v>FP - Injectables</v>
          </cell>
          <cell r="E8" t="str">
            <v>x</v>
          </cell>
        </row>
        <row r="9">
          <cell r="A9">
            <v>4</v>
          </cell>
          <cell r="D9" t="str">
            <v>FP - Implants</v>
          </cell>
          <cell r="E9" t="str">
            <v>x</v>
          </cell>
        </row>
        <row r="10">
          <cell r="A10">
            <v>5</v>
          </cell>
          <cell r="D10" t="str">
            <v>FP - IUD</v>
          </cell>
          <cell r="E10" t="str">
            <v>x</v>
          </cell>
        </row>
        <row r="11">
          <cell r="A11">
            <v>6</v>
          </cell>
          <cell r="D11" t="str">
            <v>FP - Female Sterilization</v>
          </cell>
          <cell r="E11" t="str">
            <v>x</v>
          </cell>
        </row>
        <row r="12">
          <cell r="A12">
            <v>7</v>
          </cell>
          <cell r="D12" t="str">
            <v>FP - Male Sterilization</v>
          </cell>
        </row>
        <row r="13">
          <cell r="A13">
            <v>8</v>
          </cell>
          <cell r="D13" t="str">
            <v>FP - Traditional Methods</v>
          </cell>
        </row>
        <row r="14">
          <cell r="A14">
            <v>11</v>
          </cell>
          <cell r="B14" t="str">
            <v>Antenatal Care</v>
          </cell>
          <cell r="C14" t="str">
            <v>x</v>
          </cell>
          <cell r="D14" t="str">
            <v>TT - Tetanus toxoid vaccination</v>
          </cell>
          <cell r="E14" t="str">
            <v>x</v>
          </cell>
        </row>
        <row r="15">
          <cell r="A15">
            <v>12</v>
          </cell>
          <cell r="D15" t="str">
            <v>IPTp - Intermittent preventive treatment of malaria during pregnancy</v>
          </cell>
          <cell r="E15" t="str">
            <v>x</v>
          </cell>
        </row>
        <row r="16">
          <cell r="A16">
            <v>13</v>
          </cell>
          <cell r="D16" t="str">
            <v>Syphilis detection and treatment</v>
          </cell>
          <cell r="E16" t="str">
            <v>x</v>
          </cell>
        </row>
        <row r="17">
          <cell r="A17">
            <v>14</v>
          </cell>
          <cell r="D17" t="str">
            <v>Calcium supplementation</v>
          </cell>
        </row>
        <row r="18">
          <cell r="A18">
            <v>15</v>
          </cell>
          <cell r="D18" t="str">
            <v>Iron and folate supplementation in pregnancy</v>
          </cell>
          <cell r="E18" t="str">
            <v>x</v>
          </cell>
        </row>
        <row r="19">
          <cell r="A19">
            <v>16</v>
          </cell>
          <cell r="D19" t="str">
            <v>Multiple micronutrient supplementation in pregnancy</v>
          </cell>
          <cell r="E19" t="str">
            <v>x</v>
          </cell>
        </row>
        <row r="20">
          <cell r="A20">
            <v>17</v>
          </cell>
          <cell r="D20" t="str">
            <v>Balanced energy supplementation</v>
          </cell>
          <cell r="E20" t="str">
            <v>x</v>
          </cell>
        </row>
        <row r="21">
          <cell r="A21">
            <v>18</v>
          </cell>
          <cell r="D21" t="str">
            <v>Hypertensive disorder case management</v>
          </cell>
          <cell r="E21" t="str">
            <v>x</v>
          </cell>
        </row>
        <row r="22">
          <cell r="A22">
            <v>19</v>
          </cell>
          <cell r="D22" t="str">
            <v>Diabetes case management</v>
          </cell>
          <cell r="E22" t="str">
            <v>x</v>
          </cell>
        </row>
        <row r="23">
          <cell r="A23">
            <v>20</v>
          </cell>
          <cell r="D23" t="str">
            <v>Malaria case management</v>
          </cell>
          <cell r="E23" t="str">
            <v>x</v>
          </cell>
        </row>
        <row r="24">
          <cell r="A24">
            <v>21</v>
          </cell>
          <cell r="D24" t="str">
            <v>MgSO4 management of pre-eclampsia</v>
          </cell>
          <cell r="E24" t="str">
            <v>x</v>
          </cell>
        </row>
        <row r="25">
          <cell r="A25">
            <v>22</v>
          </cell>
          <cell r="B25" t="str">
            <v>Delivery Care&amp;EmOC</v>
          </cell>
          <cell r="C25" t="str">
            <v>x</v>
          </cell>
          <cell r="D25" t="str">
            <v>Health Facility Delivery</v>
          </cell>
          <cell r="E25" t="str">
            <v>x</v>
          </cell>
        </row>
        <row r="26">
          <cell r="A26">
            <v>23</v>
          </cell>
          <cell r="D26" t="str">
            <v>Clean birth environment</v>
          </cell>
          <cell r="E26" t="str">
            <v>x</v>
          </cell>
        </row>
        <row r="27">
          <cell r="A27">
            <v>24</v>
          </cell>
          <cell r="D27" t="str">
            <v>Manual removal of placenta</v>
          </cell>
          <cell r="E27" t="str">
            <v>x</v>
          </cell>
        </row>
        <row r="28">
          <cell r="A28">
            <v>25</v>
          </cell>
          <cell r="D28" t="str">
            <v>MgSO4 management of eclampsia</v>
          </cell>
          <cell r="E28" t="str">
            <v>x</v>
          </cell>
        </row>
        <row r="29">
          <cell r="A29">
            <v>26</v>
          </cell>
          <cell r="D29" t="str">
            <v>Antibiotics for preterm or prolonged PROM</v>
          </cell>
          <cell r="E29" t="str">
            <v>x</v>
          </cell>
        </row>
        <row r="30">
          <cell r="A30">
            <v>27</v>
          </cell>
          <cell r="D30" t="str">
            <v>Parenteral administration of antibiotics</v>
          </cell>
          <cell r="E30" t="str">
            <v>x</v>
          </cell>
        </row>
        <row r="31">
          <cell r="A31">
            <v>28</v>
          </cell>
          <cell r="D31" t="str">
            <v>Assisted vaginal delivery</v>
          </cell>
          <cell r="E31" t="str">
            <v>x</v>
          </cell>
        </row>
        <row r="32">
          <cell r="A32">
            <v>29</v>
          </cell>
          <cell r="D32" t="str">
            <v>Active management of third stage of labor (AMTSL)</v>
          </cell>
          <cell r="E32" t="str">
            <v>x</v>
          </cell>
        </row>
        <row r="33">
          <cell r="A33">
            <v>30</v>
          </cell>
          <cell r="D33" t="str">
            <v>Removal of retained products of conception</v>
          </cell>
          <cell r="E33" t="str">
            <v>x</v>
          </cell>
        </row>
        <row r="34">
          <cell r="A34">
            <v>31</v>
          </cell>
          <cell r="D34" t="str">
            <v>Induction of labor for pregnancies lasting 41+ weeks</v>
          </cell>
          <cell r="E34" t="str">
            <v>x</v>
          </cell>
        </row>
        <row r="35">
          <cell r="A35">
            <v>32</v>
          </cell>
          <cell r="D35" t="str">
            <v>Antenatal corticosteroids for preterm labor</v>
          </cell>
          <cell r="E35" t="str">
            <v>x</v>
          </cell>
        </row>
        <row r="36">
          <cell r="A36">
            <v>33</v>
          </cell>
          <cell r="D36" t="str">
            <v>Maternal sepsis case management</v>
          </cell>
          <cell r="E36" t="str">
            <v>x</v>
          </cell>
        </row>
        <row r="37">
          <cell r="A37">
            <v>34</v>
          </cell>
          <cell r="D37" t="str">
            <v>Safe abortion services</v>
          </cell>
          <cell r="E37" t="str">
            <v>x</v>
          </cell>
        </row>
        <row r="38">
          <cell r="A38">
            <v>35</v>
          </cell>
          <cell r="D38" t="str">
            <v>Post abortion case management</v>
          </cell>
          <cell r="E38" t="str">
            <v>x</v>
          </cell>
        </row>
        <row r="39">
          <cell r="A39">
            <v>36</v>
          </cell>
          <cell r="D39" t="str">
            <v>Cesarean delivery</v>
          </cell>
          <cell r="E39" t="str">
            <v>x</v>
          </cell>
        </row>
        <row r="40">
          <cell r="A40">
            <v>37</v>
          </cell>
          <cell r="D40" t="str">
            <v>Blood transfusion</v>
          </cell>
          <cell r="E40" t="str">
            <v>x</v>
          </cell>
        </row>
        <row r="41">
          <cell r="A41">
            <v>38</v>
          </cell>
          <cell r="D41" t="str">
            <v>Ectopic pregnancy case management</v>
          </cell>
        </row>
        <row r="42">
          <cell r="A42">
            <v>39</v>
          </cell>
          <cell r="B42" t="str">
            <v>Newborn Care</v>
          </cell>
          <cell r="C42" t="str">
            <v>x</v>
          </cell>
          <cell r="D42" t="str">
            <v>Immediate drying and additional stimulation</v>
          </cell>
          <cell r="E42" t="str">
            <v>x</v>
          </cell>
        </row>
        <row r="43">
          <cell r="A43">
            <v>40</v>
          </cell>
          <cell r="D43" t="str">
            <v>Thermal protection</v>
          </cell>
          <cell r="E43" t="str">
            <v>x</v>
          </cell>
        </row>
        <row r="44">
          <cell r="A44">
            <v>41</v>
          </cell>
          <cell r="D44" t="str">
            <v>Clean cord care</v>
          </cell>
          <cell r="E44" t="str">
            <v>x</v>
          </cell>
        </row>
        <row r="45">
          <cell r="A45">
            <v>42</v>
          </cell>
          <cell r="D45" t="str">
            <v>Neonatal resuscitation</v>
          </cell>
          <cell r="E45" t="str">
            <v>x</v>
          </cell>
        </row>
        <row r="46">
          <cell r="D46" t="str">
            <v>Case management of premature babies</v>
          </cell>
        </row>
        <row r="47">
          <cell r="A47">
            <v>43</v>
          </cell>
          <cell r="D47" t="str">
            <v>Kangaroo-Mother Care (KMC)</v>
          </cell>
          <cell r="E47" t="str">
            <v>x</v>
          </cell>
        </row>
        <row r="48">
          <cell r="A48">
            <v>44</v>
          </cell>
          <cell r="D48" t="str">
            <v>Full supportive care of prematurity</v>
          </cell>
        </row>
        <row r="49">
          <cell r="D49" t="str">
            <v>Case management of neonatal sepsis/pneumonia</v>
          </cell>
        </row>
        <row r="50">
          <cell r="A50">
            <v>45</v>
          </cell>
          <cell r="D50" t="str">
            <v>Oral antibiotics for neonatal sepsis</v>
          </cell>
          <cell r="E50" t="str">
            <v>x</v>
          </cell>
        </row>
        <row r="51">
          <cell r="A51">
            <v>46</v>
          </cell>
          <cell r="D51" t="str">
            <v>Injectable antibiotics for neonatal sepsis</v>
          </cell>
          <cell r="E51" t="str">
            <v>x</v>
          </cell>
        </row>
        <row r="52">
          <cell r="A52">
            <v>47</v>
          </cell>
          <cell r="D52" t="str">
            <v>Full supportive care for neonatal sepsis/pneumonia</v>
          </cell>
        </row>
        <row r="53">
          <cell r="A53">
            <v>48</v>
          </cell>
          <cell r="B53" t="str">
            <v>Breastfeeding</v>
          </cell>
          <cell r="C53" t="str">
            <v>x</v>
          </cell>
          <cell r="D53" t="str">
            <v>Early Initiation of Breastfeeding</v>
          </cell>
          <cell r="E53" t="str">
            <v>x</v>
          </cell>
        </row>
        <row r="54">
          <cell r="A54">
            <v>49</v>
          </cell>
          <cell r="D54" t="str">
            <v>Complementary feeding - Education only</v>
          </cell>
          <cell r="E54" t="str">
            <v>x</v>
          </cell>
        </row>
        <row r="55">
          <cell r="A55">
            <v>50</v>
          </cell>
          <cell r="D55" t="str">
            <v>Complementary feeding - Supplementary feeding + Education</v>
          </cell>
          <cell r="E55" t="str">
            <v>x</v>
          </cell>
        </row>
        <row r="56">
          <cell r="A56">
            <v>51</v>
          </cell>
          <cell r="B56" t="str">
            <v>Vaccines</v>
          </cell>
          <cell r="C56" t="str">
            <v>x</v>
          </cell>
          <cell r="D56" t="str">
            <v>BCG - Single dose</v>
          </cell>
          <cell r="E56" t="str">
            <v>x</v>
          </cell>
        </row>
        <row r="57">
          <cell r="A57">
            <v>52</v>
          </cell>
          <cell r="D57" t="str">
            <v>Polio - Three doses</v>
          </cell>
          <cell r="E57" t="str">
            <v>x</v>
          </cell>
        </row>
        <row r="58">
          <cell r="D58" t="str">
            <v>Pentavalent</v>
          </cell>
        </row>
        <row r="59">
          <cell r="A59">
            <v>53</v>
          </cell>
          <cell r="D59" t="str">
            <v>DPT - Three doses</v>
          </cell>
          <cell r="E59" t="str">
            <v>x</v>
          </cell>
        </row>
        <row r="60">
          <cell r="A60">
            <v>54</v>
          </cell>
          <cell r="D60" t="str">
            <v>Hib - Three doses</v>
          </cell>
          <cell r="E60" t="str">
            <v>x</v>
          </cell>
        </row>
        <row r="61">
          <cell r="A61">
            <v>55</v>
          </cell>
          <cell r="D61" t="str">
            <v>HepB - Three doses</v>
          </cell>
          <cell r="E61" t="str">
            <v>x</v>
          </cell>
        </row>
        <row r="62">
          <cell r="A62">
            <v>56</v>
          </cell>
          <cell r="D62" t="str">
            <v>Pneumococcal - Three doses</v>
          </cell>
          <cell r="E62" t="str">
            <v>x</v>
          </cell>
        </row>
        <row r="63">
          <cell r="A63">
            <v>57</v>
          </cell>
          <cell r="D63" t="str">
            <v>Rotavirus - Two doses</v>
          </cell>
          <cell r="E63" t="str">
            <v>x</v>
          </cell>
        </row>
        <row r="64">
          <cell r="A64">
            <v>58</v>
          </cell>
          <cell r="D64" t="str">
            <v>Meningococcal A - Single dose</v>
          </cell>
          <cell r="E64" t="str">
            <v>x</v>
          </cell>
        </row>
        <row r="65">
          <cell r="A65">
            <v>59</v>
          </cell>
          <cell r="D65" t="str">
            <v>Malaria vaccine - Three doses</v>
          </cell>
          <cell r="E65" t="str">
            <v>x</v>
          </cell>
        </row>
        <row r="66">
          <cell r="A66">
            <v>60</v>
          </cell>
          <cell r="D66" t="str">
            <v>Measles - Single dose</v>
          </cell>
          <cell r="E66" t="str">
            <v>x</v>
          </cell>
        </row>
        <row r="67">
          <cell r="A67">
            <v>61</v>
          </cell>
          <cell r="B67" t="str">
            <v>Child Health</v>
          </cell>
          <cell r="C67" t="str">
            <v>x</v>
          </cell>
          <cell r="D67" t="str">
            <v>Vitamin A supplementation</v>
          </cell>
          <cell r="E67" t="str">
            <v>x</v>
          </cell>
        </row>
        <row r="68">
          <cell r="A68">
            <v>62</v>
          </cell>
          <cell r="D68" t="str">
            <v>Zinc supplementation</v>
          </cell>
          <cell r="E68" t="str">
            <v>x</v>
          </cell>
        </row>
        <row r="69">
          <cell r="A69">
            <v>63</v>
          </cell>
          <cell r="D69" t="str">
            <v>ORS - Oral Rehydration Solution</v>
          </cell>
          <cell r="E69" t="str">
            <v>x</v>
          </cell>
        </row>
        <row r="70">
          <cell r="A70">
            <v>64</v>
          </cell>
          <cell r="D70" t="str">
            <v>Antibiotics for treatment of dysentery</v>
          </cell>
          <cell r="E70" t="str">
            <v>x</v>
          </cell>
        </row>
        <row r="71">
          <cell r="A71">
            <v>65</v>
          </cell>
          <cell r="D71" t="str">
            <v>Zinc for treatment of diarrhea</v>
          </cell>
          <cell r="E71" t="str">
            <v>x</v>
          </cell>
        </row>
        <row r="72">
          <cell r="A72">
            <v>66</v>
          </cell>
          <cell r="D72" t="str">
            <v>Oral antibiotics for pneumonia</v>
          </cell>
          <cell r="E72" t="str">
            <v>x</v>
          </cell>
        </row>
        <row r="73">
          <cell r="A73">
            <v>67</v>
          </cell>
          <cell r="D73" t="str">
            <v>Vitamin A for treatment of measles</v>
          </cell>
          <cell r="E73" t="str">
            <v>x</v>
          </cell>
        </row>
        <row r="74">
          <cell r="A74">
            <v>68</v>
          </cell>
          <cell r="D74" t="str">
            <v>ACTs - Artemisinin compounds for treatment of malaria</v>
          </cell>
          <cell r="E74" t="str">
            <v>x</v>
          </cell>
        </row>
        <row r="75">
          <cell r="A75">
            <v>69</v>
          </cell>
          <cell r="B75" t="str">
            <v>Malnutrition</v>
          </cell>
          <cell r="D75" t="str">
            <v>SAM - treatment for severe acute malnutrition</v>
          </cell>
        </row>
        <row r="76">
          <cell r="A76">
            <v>70</v>
          </cell>
          <cell r="D76" t="str">
            <v>MAM - treatment for moderate acute malnutrition</v>
          </cell>
        </row>
        <row r="77">
          <cell r="A77">
            <v>71</v>
          </cell>
          <cell r="B77" t="str">
            <v>Other</v>
          </cell>
          <cell r="D77" t="str">
            <v>ITN/IRS - Households protected from malaria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W84"/>
  <sheetViews>
    <sheetView tabSelected="1" topLeftCell="D1" zoomScale="85" zoomScaleNormal="85" workbookViewId="0">
      <selection activeCell="E12" sqref="E12"/>
    </sheetView>
  </sheetViews>
  <sheetFormatPr defaultColWidth="9.81640625" defaultRowHeight="14.5"/>
  <cols>
    <col min="1" max="3" width="4.6328125" style="1" hidden="1" customWidth="1"/>
    <col min="4" max="4" width="104.81640625" style="1" customWidth="1"/>
    <col min="5" max="5" width="10.6328125" style="1" customWidth="1"/>
    <col min="6" max="6" width="10.90625" style="1" customWidth="1"/>
    <col min="7" max="7" width="12.453125" style="1" customWidth="1"/>
    <col min="8" max="8" width="9.54296875" style="1" customWidth="1"/>
    <col min="9" max="9" width="9.90625" style="1" customWidth="1"/>
    <col min="10" max="16377" width="9.81640625" style="1"/>
  </cols>
  <sheetData>
    <row r="1" spans="1:7" s="1" customFormat="1" ht="20">
      <c r="D1" s="58" t="s">
        <v>0</v>
      </c>
    </row>
    <row r="2" spans="1:7" s="1" customFormat="1" ht="20">
      <c r="A2" s="3" t="s">
        <v>1</v>
      </c>
      <c r="B2" s="3"/>
      <c r="C2" s="3"/>
      <c r="D2" s="2"/>
      <c r="G2" s="59" t="s">
        <v>2</v>
      </c>
    </row>
    <row r="3" spans="1:7" s="1" customFormat="1" ht="50">
      <c r="A3" s="4" t="str">
        <f>IF(COUNTIF(A4:A11,"x")=0,"","x")</f>
        <v>x</v>
      </c>
      <c r="B3" s="5" t="s">
        <v>3</v>
      </c>
      <c r="C3" s="5" t="s">
        <v>4</v>
      </c>
      <c r="D3" s="60" t="s">
        <v>5</v>
      </c>
      <c r="E3" s="61" t="s">
        <v>6</v>
      </c>
      <c r="F3" s="60" t="s">
        <v>7</v>
      </c>
      <c r="G3" s="60" t="s">
        <v>8</v>
      </c>
    </row>
    <row r="4" spans="1:7" s="1" customFormat="1">
      <c r="A4" s="6" t="str">
        <f>IF(VLOOKUP(B4,'[1]1. Select Services'!$A$6:$E$77,5,FALSE)="x","x","")</f>
        <v>x</v>
      </c>
      <c r="B4" s="7">
        <v>1</v>
      </c>
      <c r="C4" s="8">
        <v>7</v>
      </c>
      <c r="D4" s="9" t="s">
        <v>9</v>
      </c>
      <c r="E4" s="10">
        <v>12</v>
      </c>
      <c r="F4" s="10">
        <v>1</v>
      </c>
      <c r="G4" s="11">
        <f t="shared" ref="G4:G11" si="0">E4*F4</f>
        <v>12</v>
      </c>
    </row>
    <row r="5" spans="1:7" s="1" customFormat="1">
      <c r="A5" s="6" t="str">
        <f>IF(VLOOKUP(B5,'[1]1. Select Services'!$A$6:$E$77,5,FALSE)="x","x","")</f>
        <v>x</v>
      </c>
      <c r="B5" s="12">
        <v>2</v>
      </c>
      <c r="C5" s="13">
        <v>1</v>
      </c>
      <c r="D5" s="14" t="s">
        <v>10</v>
      </c>
      <c r="E5" s="15">
        <v>12</v>
      </c>
      <c r="F5" s="15">
        <v>1</v>
      </c>
      <c r="G5" s="11">
        <f t="shared" si="0"/>
        <v>12</v>
      </c>
    </row>
    <row r="6" spans="1:7" s="1" customFormat="1">
      <c r="A6" s="6" t="str">
        <f>IF(VLOOKUP(B6,'[1]1. Select Services'!$A$6:$E$77,5,FALSE)="x","x","")</f>
        <v>x</v>
      </c>
      <c r="B6" s="12">
        <v>3</v>
      </c>
      <c r="C6" s="13">
        <v>4</v>
      </c>
      <c r="D6" s="14" t="s">
        <v>11</v>
      </c>
      <c r="E6" s="15">
        <v>4</v>
      </c>
      <c r="F6" s="15">
        <v>1</v>
      </c>
      <c r="G6" s="11">
        <f t="shared" si="0"/>
        <v>4</v>
      </c>
    </row>
    <row r="7" spans="1:7" s="1" customFormat="1">
      <c r="A7" s="6" t="str">
        <f>IF(VLOOKUP(B7,'[1]1. Select Services'!$A$6:$E$77,5,FALSE)="x","x","")</f>
        <v>x</v>
      </c>
      <c r="B7" s="12">
        <v>4</v>
      </c>
      <c r="C7" s="13">
        <v>5</v>
      </c>
      <c r="D7" s="14" t="s">
        <v>12</v>
      </c>
      <c r="E7" s="15">
        <v>1</v>
      </c>
      <c r="F7" s="15">
        <v>1</v>
      </c>
      <c r="G7" s="11">
        <f t="shared" si="0"/>
        <v>1</v>
      </c>
    </row>
    <row r="8" spans="1:7" s="1" customFormat="1">
      <c r="A8" s="6" t="str">
        <f>IF(VLOOKUP(B8,'[1]1. Select Services'!$A$6:$E$77,5,FALSE)="x","x","")</f>
        <v>x</v>
      </c>
      <c r="B8" s="12">
        <v>5</v>
      </c>
      <c r="C8" s="13">
        <v>6</v>
      </c>
      <c r="D8" s="14" t="s">
        <v>13</v>
      </c>
      <c r="E8" s="15">
        <v>1</v>
      </c>
      <c r="F8" s="15">
        <v>1</v>
      </c>
      <c r="G8" s="11">
        <f t="shared" si="0"/>
        <v>1</v>
      </c>
    </row>
    <row r="9" spans="1:7" s="1" customFormat="1">
      <c r="A9" s="6" t="str">
        <f>IF(VLOOKUP(B9,'[1]1. Select Services'!$A$6:$E$77,5,FALSE)="x","x","")</f>
        <v>x</v>
      </c>
      <c r="B9" s="12">
        <v>6</v>
      </c>
      <c r="C9" s="13">
        <v>2</v>
      </c>
      <c r="D9" s="14" t="s">
        <v>14</v>
      </c>
      <c r="E9" s="15">
        <v>1</v>
      </c>
      <c r="F9" s="15">
        <v>2</v>
      </c>
      <c r="G9" s="11">
        <f t="shared" si="0"/>
        <v>2</v>
      </c>
    </row>
    <row r="10" spans="1:7" s="1" customFormat="1">
      <c r="A10" s="6" t="str">
        <f>IF(VLOOKUP(B10,'[1]1. Select Services'!$A$6:$E$77,5,FALSE)="x","x","")</f>
        <v/>
      </c>
      <c r="B10" s="12">
        <v>7</v>
      </c>
      <c r="C10" s="13">
        <v>3</v>
      </c>
      <c r="D10" s="14" t="s">
        <v>15</v>
      </c>
      <c r="E10" s="15">
        <v>1</v>
      </c>
      <c r="F10" s="15">
        <v>2</v>
      </c>
      <c r="G10" s="11">
        <f t="shared" si="0"/>
        <v>2</v>
      </c>
    </row>
    <row r="11" spans="1:7" s="1" customFormat="1">
      <c r="A11" s="6" t="str">
        <f>IF(VLOOKUP(B11,'[1]1. Select Services'!$A$6:$E$77,5,FALSE)="x","x","")</f>
        <v/>
      </c>
      <c r="B11" s="12">
        <v>8</v>
      </c>
      <c r="C11" s="13">
        <v>8</v>
      </c>
      <c r="D11" s="14" t="s">
        <v>16</v>
      </c>
      <c r="E11" s="15">
        <v>0</v>
      </c>
      <c r="F11" s="15">
        <v>0</v>
      </c>
      <c r="G11" s="11">
        <f t="shared" si="0"/>
        <v>0</v>
      </c>
    </row>
    <row r="12" spans="1:7" s="1" customFormat="1" ht="50">
      <c r="A12" s="4" t="str">
        <f>IF(COUNTIF(A13:A24,"x")=0,"","x")</f>
        <v>x</v>
      </c>
      <c r="B12" s="4" t="s">
        <v>3</v>
      </c>
      <c r="C12" s="5" t="s">
        <v>4</v>
      </c>
      <c r="D12" s="60" t="s">
        <v>5</v>
      </c>
      <c r="E12" s="61" t="s">
        <v>17</v>
      </c>
      <c r="F12" s="60" t="s">
        <v>7</v>
      </c>
      <c r="G12" s="60" t="s">
        <v>8</v>
      </c>
    </row>
    <row r="13" spans="1:7" s="1" customFormat="1">
      <c r="A13" s="6" t="s">
        <v>18</v>
      </c>
      <c r="B13" s="16">
        <v>100</v>
      </c>
      <c r="C13" s="16">
        <v>100</v>
      </c>
      <c r="D13" s="17" t="s">
        <v>19</v>
      </c>
      <c r="E13" s="18">
        <v>8</v>
      </c>
      <c r="F13" s="18">
        <v>1</v>
      </c>
      <c r="G13" s="11">
        <f t="shared" ref="G13:G24" si="1">E13*F13</f>
        <v>8</v>
      </c>
    </row>
    <row r="14" spans="1:7" s="1" customFormat="1">
      <c r="A14" s="6" t="str">
        <f>IF(VLOOKUP(B14,'[1]1. Select Services'!$A$6:$E$77,5,FALSE)="x","x","")</f>
        <v>x</v>
      </c>
      <c r="B14" s="19">
        <v>11</v>
      </c>
      <c r="C14" s="19">
        <v>16</v>
      </c>
      <c r="D14" s="20" t="s">
        <v>20</v>
      </c>
      <c r="E14" s="15">
        <v>2</v>
      </c>
      <c r="F14" s="15">
        <v>1</v>
      </c>
      <c r="G14" s="11">
        <f t="shared" si="1"/>
        <v>2</v>
      </c>
    </row>
    <row r="15" spans="1:7" s="1" customFormat="1">
      <c r="A15" s="6" t="str">
        <f>IF(VLOOKUP(B15,'[1]1. Select Services'!$A$6:$E$77,5,FALSE)="x","x","")</f>
        <v>x</v>
      </c>
      <c r="B15" s="19">
        <v>12</v>
      </c>
      <c r="C15" s="19">
        <v>17</v>
      </c>
      <c r="D15" s="20" t="s">
        <v>21</v>
      </c>
      <c r="E15" s="15">
        <v>3</v>
      </c>
      <c r="F15" s="15">
        <v>1</v>
      </c>
      <c r="G15" s="11">
        <f t="shared" si="1"/>
        <v>3</v>
      </c>
    </row>
    <row r="16" spans="1:7" s="1" customFormat="1">
      <c r="A16" s="6" t="str">
        <f>IF(VLOOKUP(B16,'[1]1. Select Services'!$A$6:$E$77,5,FALSE)="x","x","")</f>
        <v>x</v>
      </c>
      <c r="B16" s="19">
        <v>13</v>
      </c>
      <c r="C16" s="19">
        <v>18</v>
      </c>
      <c r="D16" s="20" t="s">
        <v>22</v>
      </c>
      <c r="E16" s="15">
        <v>2</v>
      </c>
      <c r="F16" s="15">
        <v>1</v>
      </c>
      <c r="G16" s="11">
        <f t="shared" si="1"/>
        <v>2</v>
      </c>
    </row>
    <row r="17" spans="1:7" s="1" customFormat="1">
      <c r="A17" s="6" t="str">
        <f>IF(VLOOKUP(B17,'[1]1. Select Services'!$A$6:$E$77,5,FALSE)="x","x","")</f>
        <v/>
      </c>
      <c r="B17" s="19">
        <v>14</v>
      </c>
      <c r="C17" s="19">
        <v>19</v>
      </c>
      <c r="D17" s="20" t="s">
        <v>23</v>
      </c>
      <c r="E17" s="15">
        <v>4</v>
      </c>
      <c r="F17" s="15">
        <v>1</v>
      </c>
      <c r="G17" s="11">
        <f t="shared" si="1"/>
        <v>4</v>
      </c>
    </row>
    <row r="18" spans="1:7" s="1" customFormat="1">
      <c r="A18" s="6" t="str">
        <f>IF(VLOOKUP(B18,'[1]1. Select Services'!$A$6:$E$77,5,FALSE)="x","x","")</f>
        <v>x</v>
      </c>
      <c r="B18" s="19">
        <v>15</v>
      </c>
      <c r="C18" s="19">
        <v>20</v>
      </c>
      <c r="D18" s="20" t="s">
        <v>24</v>
      </c>
      <c r="E18" s="15">
        <v>4</v>
      </c>
      <c r="F18" s="15">
        <v>1</v>
      </c>
      <c r="G18" s="11">
        <f t="shared" si="1"/>
        <v>4</v>
      </c>
    </row>
    <row r="19" spans="1:7" s="1" customFormat="1">
      <c r="A19" s="6" t="str">
        <f>IF(VLOOKUP(B19,'[1]1. Select Services'!$A$6:$E$77,5,FALSE)="x","x","")</f>
        <v>x</v>
      </c>
      <c r="B19" s="19">
        <v>16</v>
      </c>
      <c r="C19" s="19">
        <v>21</v>
      </c>
      <c r="D19" s="20" t="s">
        <v>25</v>
      </c>
      <c r="E19" s="15">
        <v>4</v>
      </c>
      <c r="F19" s="15">
        <v>1</v>
      </c>
      <c r="G19" s="11">
        <f t="shared" si="1"/>
        <v>4</v>
      </c>
    </row>
    <row r="20" spans="1:7" s="1" customFormat="1">
      <c r="A20" s="6" t="str">
        <f>IF(VLOOKUP(B20,'[1]1. Select Services'!$A$6:$E$77,5,FALSE)="x","x","")</f>
        <v>x</v>
      </c>
      <c r="B20" s="19">
        <v>17</v>
      </c>
      <c r="C20" s="19">
        <v>22</v>
      </c>
      <c r="D20" s="20" t="s">
        <v>26</v>
      </c>
      <c r="E20" s="15">
        <v>4</v>
      </c>
      <c r="F20" s="15">
        <v>1</v>
      </c>
      <c r="G20" s="11">
        <f t="shared" si="1"/>
        <v>4</v>
      </c>
    </row>
    <row r="21" spans="1:7" s="1" customFormat="1">
      <c r="A21" s="6" t="str">
        <f>IF(VLOOKUP(B21,'[1]1. Select Services'!$A$6:$E$77,5,FALSE)="x","x","")</f>
        <v>x</v>
      </c>
      <c r="B21" s="19">
        <v>18</v>
      </c>
      <c r="C21" s="19">
        <v>23</v>
      </c>
      <c r="D21" s="20" t="s">
        <v>27</v>
      </c>
      <c r="E21" s="15">
        <v>4</v>
      </c>
      <c r="F21" s="15">
        <v>1</v>
      </c>
      <c r="G21" s="11">
        <f t="shared" si="1"/>
        <v>4</v>
      </c>
    </row>
    <row r="22" spans="1:7" s="1" customFormat="1">
      <c r="A22" s="6" t="str">
        <f>IF(VLOOKUP(B22,'[1]1. Select Services'!$A$6:$E$77,5,FALSE)="x","x","")</f>
        <v>x</v>
      </c>
      <c r="B22" s="19">
        <v>19</v>
      </c>
      <c r="C22" s="19">
        <v>24</v>
      </c>
      <c r="D22" s="20" t="s">
        <v>28</v>
      </c>
      <c r="E22" s="15">
        <v>4</v>
      </c>
      <c r="F22" s="15">
        <v>1</v>
      </c>
      <c r="G22" s="11">
        <f t="shared" si="1"/>
        <v>4</v>
      </c>
    </row>
    <row r="23" spans="1:7" s="1" customFormat="1">
      <c r="A23" s="6" t="str">
        <f>IF(VLOOKUP(B23,'[1]1. Select Services'!$A$6:$E$77,5,FALSE)="x","x","")</f>
        <v>x</v>
      </c>
      <c r="B23" s="19">
        <v>20</v>
      </c>
      <c r="C23" s="19">
        <v>25</v>
      </c>
      <c r="D23" s="20" t="s">
        <v>29</v>
      </c>
      <c r="E23" s="15">
        <v>2</v>
      </c>
      <c r="F23" s="15">
        <v>1</v>
      </c>
      <c r="G23" s="11">
        <f t="shared" si="1"/>
        <v>2</v>
      </c>
    </row>
    <row r="24" spans="1:7" s="1" customFormat="1">
      <c r="A24" s="6" t="str">
        <f>IF(VLOOKUP(B24,'[1]1. Select Services'!$A$6:$E$77,5,FALSE)="x","x","")</f>
        <v>x</v>
      </c>
      <c r="B24" s="19">
        <v>21</v>
      </c>
      <c r="C24" s="19">
        <v>26</v>
      </c>
      <c r="D24" s="20" t="s">
        <v>30</v>
      </c>
      <c r="E24" s="15">
        <v>1</v>
      </c>
      <c r="F24" s="15">
        <v>2</v>
      </c>
      <c r="G24" s="11">
        <f t="shared" si="1"/>
        <v>2</v>
      </c>
    </row>
    <row r="25" spans="1:7" s="1" customFormat="1" ht="40">
      <c r="A25" s="4" t="str">
        <f>IF(COUNTIF(A26:A53,"x")=0,"","x")</f>
        <v>x</v>
      </c>
      <c r="B25" s="4" t="s">
        <v>3</v>
      </c>
      <c r="C25" s="5" t="s">
        <v>4</v>
      </c>
      <c r="D25" s="60" t="s">
        <v>5</v>
      </c>
      <c r="E25" s="60" t="s">
        <v>31</v>
      </c>
      <c r="F25" s="60" t="s">
        <v>32</v>
      </c>
      <c r="G25" s="60" t="s">
        <v>8</v>
      </c>
    </row>
    <row r="26" spans="1:7" s="1" customFormat="1">
      <c r="A26" s="6" t="s">
        <v>18</v>
      </c>
      <c r="B26" s="21">
        <v>200</v>
      </c>
      <c r="C26" s="21">
        <v>200</v>
      </c>
      <c r="D26" s="22" t="s">
        <v>33</v>
      </c>
      <c r="E26" s="18">
        <v>2</v>
      </c>
      <c r="F26" s="18">
        <v>2</v>
      </c>
      <c r="G26" s="11">
        <f t="shared" ref="G26:G45" si="2">IF(E26=0,F26,E26*F26)</f>
        <v>4</v>
      </c>
    </row>
    <row r="27" spans="1:7" s="1" customFormat="1">
      <c r="A27" s="6" t="str">
        <f>IF(VLOOKUP(B27,'[1]1. Select Services'!$A$6:$E$77,5,FALSE)="x","x","")</f>
        <v>x</v>
      </c>
      <c r="B27" s="23">
        <v>23</v>
      </c>
      <c r="C27" s="23">
        <v>28</v>
      </c>
      <c r="D27" s="24" t="s">
        <v>34</v>
      </c>
      <c r="E27" s="25"/>
      <c r="F27" s="15"/>
      <c r="G27" s="11"/>
    </row>
    <row r="28" spans="1:7" s="1" customFormat="1">
      <c r="A28" s="6" t="str">
        <f>IF(VLOOKUP(B28,'[1]1. Select Services'!$A$6:$E$77,5,FALSE)="x","x","")</f>
        <v>x</v>
      </c>
      <c r="B28" s="23">
        <v>24</v>
      </c>
      <c r="C28" s="23">
        <v>32</v>
      </c>
      <c r="D28" s="24" t="s">
        <v>35</v>
      </c>
      <c r="E28" s="15">
        <v>2</v>
      </c>
      <c r="F28" s="15">
        <v>2</v>
      </c>
      <c r="G28" s="11">
        <f t="shared" si="2"/>
        <v>4</v>
      </c>
    </row>
    <row r="29" spans="1:7" s="1" customFormat="1">
      <c r="A29" s="6" t="str">
        <f>IF(VLOOKUP(B29,'[1]1. Select Services'!$A$6:$E$77,5,FALSE)="x","x","")</f>
        <v>x</v>
      </c>
      <c r="B29" s="23">
        <v>25</v>
      </c>
      <c r="C29" s="23">
        <v>33</v>
      </c>
      <c r="D29" s="24" t="s">
        <v>36</v>
      </c>
      <c r="E29" s="15">
        <v>5</v>
      </c>
      <c r="F29" s="15">
        <v>2</v>
      </c>
      <c r="G29" s="11">
        <f t="shared" si="2"/>
        <v>10</v>
      </c>
    </row>
    <row r="30" spans="1:7" s="1" customFormat="1">
      <c r="A30" s="6" t="str">
        <f>IF(VLOOKUP(B30,'[1]1. Select Services'!$A$6:$E$77,5,FALSE)="x","x","")</f>
        <v>x</v>
      </c>
      <c r="B30" s="23">
        <v>26</v>
      </c>
      <c r="C30" s="23">
        <v>34</v>
      </c>
      <c r="D30" s="24" t="s">
        <v>37</v>
      </c>
      <c r="E30" s="15">
        <v>3</v>
      </c>
      <c r="F30" s="15">
        <v>2</v>
      </c>
      <c r="G30" s="11">
        <f t="shared" si="2"/>
        <v>6</v>
      </c>
    </row>
    <row r="31" spans="1:7" s="1" customFormat="1">
      <c r="A31" s="6" t="str">
        <f>IF(VLOOKUP(B31,'[1]1. Select Services'!$A$6:$E$77,5,FALSE)="x","x","")</f>
        <v>x</v>
      </c>
      <c r="B31" s="23">
        <v>27</v>
      </c>
      <c r="C31" s="23">
        <v>35</v>
      </c>
      <c r="D31" s="24" t="s">
        <v>38</v>
      </c>
      <c r="E31" s="15">
        <v>5</v>
      </c>
      <c r="F31" s="15">
        <v>2</v>
      </c>
      <c r="G31" s="11">
        <f t="shared" si="2"/>
        <v>10</v>
      </c>
    </row>
    <row r="32" spans="1:7" s="1" customFormat="1">
      <c r="A32" s="6" t="str">
        <f>IF(VLOOKUP(B32,'[1]1. Select Services'!$A$6:$E$77,5,FALSE)="x","x","")</f>
        <v>x</v>
      </c>
      <c r="B32" s="23">
        <v>28</v>
      </c>
      <c r="C32" s="23">
        <v>36</v>
      </c>
      <c r="D32" s="24" t="s">
        <v>39</v>
      </c>
      <c r="E32" s="15">
        <v>2</v>
      </c>
      <c r="F32" s="15">
        <v>2</v>
      </c>
      <c r="G32" s="11">
        <f t="shared" si="2"/>
        <v>4</v>
      </c>
    </row>
    <row r="33" spans="1:7" s="1" customFormat="1">
      <c r="A33" s="6" t="str">
        <f>IF(VLOOKUP(B33,'[1]1. Select Services'!$A$6:$E$77,5,FALSE)="x","x","")</f>
        <v>x</v>
      </c>
      <c r="B33" s="23">
        <v>29</v>
      </c>
      <c r="C33" s="23">
        <v>38</v>
      </c>
      <c r="D33" s="24" t="s">
        <v>40</v>
      </c>
      <c r="E33" s="25"/>
      <c r="F33" s="15">
        <v>2</v>
      </c>
      <c r="G33" s="11">
        <f t="shared" si="2"/>
        <v>2</v>
      </c>
    </row>
    <row r="34" spans="1:7" s="1" customFormat="1">
      <c r="A34" s="6" t="str">
        <f>IF(VLOOKUP(B34,'[1]1. Select Services'!$A$6:$E$77,5,FALSE)="x","x","")</f>
        <v>x</v>
      </c>
      <c r="B34" s="23">
        <v>30</v>
      </c>
      <c r="C34" s="23">
        <v>39</v>
      </c>
      <c r="D34" s="24" t="s">
        <v>41</v>
      </c>
      <c r="E34" s="15">
        <v>2</v>
      </c>
      <c r="F34" s="15">
        <v>2</v>
      </c>
      <c r="G34" s="11">
        <f t="shared" si="2"/>
        <v>4</v>
      </c>
    </row>
    <row r="35" spans="1:7" s="1" customFormat="1">
      <c r="A35" s="6" t="str">
        <f>IF(VLOOKUP(B35,'[1]1. Select Services'!$A$6:$E$77,5,FALSE)="x","x","")</f>
        <v>x</v>
      </c>
      <c r="B35" s="23">
        <v>31</v>
      </c>
      <c r="C35" s="23">
        <v>40</v>
      </c>
      <c r="D35" s="24" t="s">
        <v>42</v>
      </c>
      <c r="E35" s="15">
        <v>1</v>
      </c>
      <c r="F35" s="15">
        <v>1</v>
      </c>
      <c r="G35" s="11">
        <f t="shared" si="2"/>
        <v>1</v>
      </c>
    </row>
    <row r="36" spans="1:7" s="1" customFormat="1">
      <c r="A36" s="6" t="str">
        <f>IF(VLOOKUP(B36,'[1]1. Select Services'!$A$6:$E$77,5,FALSE)="x","x","")</f>
        <v>x</v>
      </c>
      <c r="B36" s="23">
        <v>32</v>
      </c>
      <c r="C36" s="23">
        <v>41</v>
      </c>
      <c r="D36" s="24" t="s">
        <v>43</v>
      </c>
      <c r="E36" s="15">
        <v>2</v>
      </c>
      <c r="F36" s="15">
        <v>2</v>
      </c>
      <c r="G36" s="11">
        <f t="shared" si="2"/>
        <v>4</v>
      </c>
    </row>
    <row r="37" spans="1:7" s="1" customFormat="1">
      <c r="A37" s="6" t="str">
        <f>IF(VLOOKUP(B37,'[1]1. Select Services'!$A$6:$E$77,5,FALSE)="x","x","")</f>
        <v>x</v>
      </c>
      <c r="B37" s="26">
        <v>33</v>
      </c>
      <c r="C37" s="27">
        <v>65</v>
      </c>
      <c r="D37" s="28" t="s">
        <v>44</v>
      </c>
      <c r="E37" s="15">
        <v>5</v>
      </c>
      <c r="F37" s="15">
        <v>2</v>
      </c>
      <c r="G37" s="11">
        <f t="shared" si="2"/>
        <v>10</v>
      </c>
    </row>
    <row r="38" spans="1:7" s="1" customFormat="1">
      <c r="A38" s="6" t="str">
        <f>IF(VLOOKUP(B38,'[1]1. Select Services'!$A$6:$E$77,5,FALSE)="x","x","")</f>
        <v>x</v>
      </c>
      <c r="B38" s="27">
        <v>34</v>
      </c>
      <c r="C38" s="27">
        <v>10</v>
      </c>
      <c r="D38" s="24" t="s">
        <v>45</v>
      </c>
      <c r="E38" s="29">
        <v>1</v>
      </c>
      <c r="F38" s="15">
        <v>2</v>
      </c>
      <c r="G38" s="11">
        <f t="shared" si="2"/>
        <v>2</v>
      </c>
    </row>
    <row r="39" spans="1:7" s="1" customFormat="1">
      <c r="A39" s="6" t="str">
        <f>IF(VLOOKUP(B39,'[1]1. Select Services'!$A$6:$E$77,5,FALSE)="x","x","")</f>
        <v>x</v>
      </c>
      <c r="B39" s="27">
        <v>35</v>
      </c>
      <c r="C39" s="27">
        <v>11</v>
      </c>
      <c r="D39" s="24" t="s">
        <v>46</v>
      </c>
      <c r="E39" s="15">
        <v>3</v>
      </c>
      <c r="F39" s="15">
        <v>2</v>
      </c>
      <c r="G39" s="11">
        <f t="shared" si="2"/>
        <v>6</v>
      </c>
    </row>
    <row r="40" spans="1:7" s="1" customFormat="1">
      <c r="A40" s="6" t="str">
        <f>IF(VLOOKUP(B40,'[1]1. Select Services'!$A$6:$E$77,5,FALSE)="x","x","")</f>
        <v>x</v>
      </c>
      <c r="B40" s="27">
        <v>36</v>
      </c>
      <c r="C40" s="27">
        <v>42</v>
      </c>
      <c r="D40" s="24" t="s">
        <v>47</v>
      </c>
      <c r="E40" s="15">
        <v>7</v>
      </c>
      <c r="F40" s="15">
        <v>3</v>
      </c>
      <c r="G40" s="11">
        <f t="shared" si="2"/>
        <v>21</v>
      </c>
    </row>
    <row r="41" spans="1:7" s="1" customFormat="1">
      <c r="A41" s="6" t="str">
        <f>IF(VLOOKUP(B41,'[1]1. Select Services'!$A$6:$E$77,5,FALSE)="x","x","")</f>
        <v>x</v>
      </c>
      <c r="B41" s="27">
        <v>37</v>
      </c>
      <c r="C41" s="27">
        <v>43</v>
      </c>
      <c r="D41" s="24" t="s">
        <v>48</v>
      </c>
      <c r="E41" s="15">
        <v>5</v>
      </c>
      <c r="F41" s="15">
        <v>2</v>
      </c>
      <c r="G41" s="11">
        <f t="shared" si="2"/>
        <v>10</v>
      </c>
    </row>
    <row r="42" spans="1:7" s="1" customFormat="1">
      <c r="A42" s="6" t="str">
        <f>IF(VLOOKUP(B42,'[1]1. Select Services'!$A$6:$E$77,5,FALSE)="x","x","")</f>
        <v/>
      </c>
      <c r="B42" s="27">
        <v>38</v>
      </c>
      <c r="C42" s="27">
        <v>12</v>
      </c>
      <c r="D42" s="24" t="s">
        <v>49</v>
      </c>
      <c r="E42" s="15">
        <v>5</v>
      </c>
      <c r="F42" s="15">
        <v>2</v>
      </c>
      <c r="G42" s="11">
        <f t="shared" si="2"/>
        <v>10</v>
      </c>
    </row>
    <row r="43" spans="1:7" s="1" customFormat="1">
      <c r="A43" s="6" t="str">
        <f>IF(VLOOKUP(B43,'[1]1. Select Services'!$A$6:$E$77,5,FALSE)="x","x","")</f>
        <v>x</v>
      </c>
      <c r="B43" s="30">
        <v>39</v>
      </c>
      <c r="C43" s="31">
        <v>29</v>
      </c>
      <c r="D43" s="32" t="s">
        <v>50</v>
      </c>
      <c r="E43" s="25"/>
      <c r="F43" s="15">
        <v>2</v>
      </c>
      <c r="G43" s="11">
        <f t="shared" si="2"/>
        <v>2</v>
      </c>
    </row>
    <row r="44" spans="1:7" s="1" customFormat="1">
      <c r="A44" s="6" t="str">
        <f>IF(VLOOKUP(B44,'[1]1. Select Services'!$A$6:$E$77,5,FALSE)="x","x","")</f>
        <v>x</v>
      </c>
      <c r="B44" s="30">
        <v>40</v>
      </c>
      <c r="C44" s="31">
        <v>30</v>
      </c>
      <c r="D44" s="32" t="s">
        <v>51</v>
      </c>
      <c r="E44" s="25"/>
      <c r="F44" s="15">
        <v>2</v>
      </c>
      <c r="G44" s="11">
        <f t="shared" si="2"/>
        <v>2</v>
      </c>
    </row>
    <row r="45" spans="1:7" s="1" customFormat="1">
      <c r="A45" s="6" t="str">
        <f>IF(VLOOKUP(B45,'[1]1. Select Services'!$A$6:$E$77,5,FALSE)="x","x","")</f>
        <v>x</v>
      </c>
      <c r="B45" s="30">
        <v>41</v>
      </c>
      <c r="C45" s="31">
        <v>31</v>
      </c>
      <c r="D45" s="32" t="s">
        <v>52</v>
      </c>
      <c r="E45" s="25"/>
      <c r="F45" s="15">
        <v>1</v>
      </c>
      <c r="G45" s="11">
        <f t="shared" si="2"/>
        <v>1</v>
      </c>
    </row>
    <row r="46" spans="1:7" s="1" customFormat="1">
      <c r="A46" s="6" t="str">
        <f>IF(VLOOKUP(B46,'[1]1. Select Services'!$A$6:$E$77,5,FALSE)="x","x","")</f>
        <v>x</v>
      </c>
      <c r="B46" s="30">
        <v>42</v>
      </c>
      <c r="C46" s="31">
        <v>37</v>
      </c>
      <c r="D46" s="32" t="s">
        <v>53</v>
      </c>
      <c r="E46" s="33"/>
      <c r="F46" s="33"/>
      <c r="G46" s="11"/>
    </row>
    <row r="47" spans="1:7" s="1" customFormat="1">
      <c r="A47" s="6"/>
      <c r="B47" s="30"/>
      <c r="C47" s="34"/>
      <c r="D47" s="35" t="s">
        <v>54</v>
      </c>
      <c r="E47" s="25"/>
      <c r="F47" s="33"/>
      <c r="G47" s="11"/>
    </row>
    <row r="48" spans="1:7" s="1" customFormat="1">
      <c r="A48" s="6" t="str">
        <f>IF(VLOOKUP(B48,'[1]1. Select Services'!$A$6:$E$77,5,FALSE)="x","x","")</f>
        <v>x</v>
      </c>
      <c r="B48" s="30">
        <v>43</v>
      </c>
      <c r="C48" s="30">
        <v>66</v>
      </c>
      <c r="D48" s="14" t="s">
        <v>55</v>
      </c>
      <c r="E48" s="25"/>
      <c r="F48" s="15">
        <v>1</v>
      </c>
      <c r="G48" s="11">
        <f t="shared" ref="G48:G53" si="3">IF(E48=0,F48,E48*F48)</f>
        <v>1</v>
      </c>
    </row>
    <row r="49" spans="1:8" s="1" customFormat="1">
      <c r="A49" s="6" t="str">
        <f>IF(VLOOKUP(B49,'[1]1. Select Services'!$A$6:$E$77,5,FALSE)="x","x","")</f>
        <v/>
      </c>
      <c r="B49" s="30">
        <v>44</v>
      </c>
      <c r="C49" s="30">
        <v>67</v>
      </c>
      <c r="D49" s="14" t="s">
        <v>56</v>
      </c>
      <c r="E49" s="15">
        <v>14</v>
      </c>
      <c r="F49" s="15">
        <v>2</v>
      </c>
      <c r="G49" s="11">
        <f t="shared" si="3"/>
        <v>28</v>
      </c>
    </row>
    <row r="50" spans="1:8" s="1" customFormat="1">
      <c r="A50" s="6"/>
      <c r="B50" s="30"/>
      <c r="C50" s="34"/>
      <c r="D50" s="35" t="s">
        <v>57</v>
      </c>
      <c r="E50" s="33"/>
      <c r="F50" s="33"/>
      <c r="G50" s="11"/>
    </row>
    <row r="51" spans="1:8" s="1" customFormat="1">
      <c r="A51" s="6" t="str">
        <f>IF(VLOOKUP(B51,'[1]1. Select Services'!$A$6:$E$77,5,FALSE)="x","x","")</f>
        <v>x</v>
      </c>
      <c r="B51" s="30">
        <v>45</v>
      </c>
      <c r="C51" s="30">
        <v>68</v>
      </c>
      <c r="D51" s="14" t="s">
        <v>58</v>
      </c>
      <c r="E51" s="25"/>
      <c r="F51" s="15">
        <v>1</v>
      </c>
      <c r="G51" s="11">
        <f t="shared" si="3"/>
        <v>1</v>
      </c>
    </row>
    <row r="52" spans="1:8" s="1" customFormat="1">
      <c r="A52" s="6" t="str">
        <f>IF(VLOOKUP(B52,'[1]1. Select Services'!$A$6:$E$77,5,FALSE)="x","x","")</f>
        <v>x</v>
      </c>
      <c r="B52" s="30">
        <v>46</v>
      </c>
      <c r="C52" s="30">
        <v>69</v>
      </c>
      <c r="D52" s="14" t="s">
        <v>59</v>
      </c>
      <c r="E52" s="25"/>
      <c r="F52" s="15">
        <v>1</v>
      </c>
      <c r="G52" s="11">
        <f t="shared" si="3"/>
        <v>1</v>
      </c>
    </row>
    <row r="53" spans="1:8" s="1" customFormat="1">
      <c r="A53" s="6" t="str">
        <f>IF(VLOOKUP(B53,'[1]1. Select Services'!$A$6:$E$77,5,FALSE)="x","x","")</f>
        <v/>
      </c>
      <c r="B53" s="30">
        <v>47</v>
      </c>
      <c r="C53" s="30">
        <v>70</v>
      </c>
      <c r="D53" s="14" t="s">
        <v>60</v>
      </c>
      <c r="E53" s="15">
        <v>14</v>
      </c>
      <c r="F53" s="15">
        <v>4</v>
      </c>
      <c r="G53" s="11">
        <f t="shared" si="3"/>
        <v>56</v>
      </c>
    </row>
    <row r="54" spans="1:8" s="1" customFormat="1" ht="50">
      <c r="A54" s="4" t="str">
        <f>IF(COUNTIF(A55:A57,"x")=0,"","x")</f>
        <v>x</v>
      </c>
      <c r="B54" s="4" t="s">
        <v>3</v>
      </c>
      <c r="C54" s="5" t="s">
        <v>4</v>
      </c>
      <c r="D54" s="60" t="s">
        <v>5</v>
      </c>
      <c r="E54" s="61" t="s">
        <v>61</v>
      </c>
      <c r="F54" s="60" t="s">
        <v>7</v>
      </c>
      <c r="G54" s="60" t="s">
        <v>8</v>
      </c>
    </row>
    <row r="55" spans="1:8" s="1" customFormat="1">
      <c r="A55" s="6" t="str">
        <f>IF(VLOOKUP(B55,'[1]1. Select Services'!$A$6:$E$77,5,FALSE)="x","x","")</f>
        <v>x</v>
      </c>
      <c r="B55" s="36">
        <v>48</v>
      </c>
      <c r="C55" s="36">
        <v>44</v>
      </c>
      <c r="D55" s="37" t="s">
        <v>62</v>
      </c>
      <c r="E55" s="15">
        <v>2</v>
      </c>
      <c r="F55" s="15">
        <v>1</v>
      </c>
      <c r="G55" s="11">
        <f t="shared" ref="G55:G57" si="4">E55*F55</f>
        <v>2</v>
      </c>
    </row>
    <row r="56" spans="1:8" s="1" customFormat="1">
      <c r="A56" s="6" t="str">
        <f>IF(VLOOKUP(B56,'[1]1. Select Services'!$A$6:$E$77,5,FALSE)="x","x","")</f>
        <v>x</v>
      </c>
      <c r="B56" s="38">
        <v>49</v>
      </c>
      <c r="C56" s="38">
        <v>45</v>
      </c>
      <c r="D56" s="37" t="s">
        <v>63</v>
      </c>
      <c r="E56" s="15">
        <v>4</v>
      </c>
      <c r="F56" s="15">
        <v>1</v>
      </c>
      <c r="G56" s="11">
        <f t="shared" si="4"/>
        <v>4</v>
      </c>
    </row>
    <row r="57" spans="1:8" s="1" customFormat="1">
      <c r="A57" s="6" t="str">
        <f>IF(VLOOKUP(B57,'[1]1. Select Services'!$A$6:$E$77,5,FALSE)="x","x","")</f>
        <v>x</v>
      </c>
      <c r="B57" s="38">
        <v>50</v>
      </c>
      <c r="C57" s="38">
        <v>46</v>
      </c>
      <c r="D57" s="37" t="s">
        <v>64</v>
      </c>
      <c r="E57" s="15">
        <v>4</v>
      </c>
      <c r="F57" s="15">
        <v>1</v>
      </c>
      <c r="G57" s="11">
        <f t="shared" si="4"/>
        <v>4</v>
      </c>
    </row>
    <row r="58" spans="1:8" s="1" customFormat="1" ht="50">
      <c r="A58" s="4" t="str">
        <f>IF(COUNTIF(A59:A70,"x")=0,"","x")</f>
        <v>x</v>
      </c>
      <c r="B58" s="4" t="s">
        <v>3</v>
      </c>
      <c r="C58" s="5" t="s">
        <v>4</v>
      </c>
      <c r="D58" s="60" t="s">
        <v>5</v>
      </c>
      <c r="E58" s="61" t="s">
        <v>65</v>
      </c>
      <c r="F58" s="60" t="s">
        <v>7</v>
      </c>
      <c r="G58" s="60" t="s">
        <v>66</v>
      </c>
    </row>
    <row r="59" spans="1:8" s="1" customFormat="1">
      <c r="A59" s="6" t="s">
        <v>18</v>
      </c>
      <c r="B59" s="39">
        <v>300</v>
      </c>
      <c r="C59" s="40">
        <v>300</v>
      </c>
      <c r="D59" s="41" t="s">
        <v>67</v>
      </c>
      <c r="E59" s="42">
        <v>6</v>
      </c>
      <c r="F59" s="42">
        <v>1</v>
      </c>
      <c r="G59" s="43">
        <f t="shared" ref="G59:G61" si="5">E59*F59</f>
        <v>6</v>
      </c>
      <c r="H59" s="44"/>
    </row>
    <row r="60" spans="1:8" s="1" customFormat="1">
      <c r="A60" s="6" t="str">
        <f>IF(VLOOKUP(B60,'[1]1. Select Services'!$A$6:$E$77,5,FALSE)="x","x","")</f>
        <v>x</v>
      </c>
      <c r="B60" s="45">
        <v>51</v>
      </c>
      <c r="C60" s="45">
        <v>55</v>
      </c>
      <c r="D60" s="46" t="s">
        <v>68</v>
      </c>
      <c r="E60" s="15">
        <v>1</v>
      </c>
      <c r="F60" s="15">
        <v>1</v>
      </c>
      <c r="G60" s="11">
        <f t="shared" si="5"/>
        <v>1</v>
      </c>
    </row>
    <row r="61" spans="1:8" s="1" customFormat="1">
      <c r="A61" s="6" t="str">
        <f>IF(VLOOKUP(B61,'[1]1. Select Services'!$A$6:$E$77,5,FALSE)="x","x","")</f>
        <v>x</v>
      </c>
      <c r="B61" s="45">
        <v>52</v>
      </c>
      <c r="C61" s="45">
        <v>56</v>
      </c>
      <c r="D61" s="46" t="s">
        <v>69</v>
      </c>
      <c r="E61" s="15">
        <v>3</v>
      </c>
      <c r="F61" s="15">
        <v>1</v>
      </c>
      <c r="G61" s="11">
        <f t="shared" si="5"/>
        <v>3</v>
      </c>
    </row>
    <row r="62" spans="1:8" s="1" customFormat="1">
      <c r="A62" s="6"/>
      <c r="B62" s="45"/>
      <c r="C62" s="45"/>
      <c r="D62" s="47" t="s">
        <v>70</v>
      </c>
      <c r="E62" s="48"/>
      <c r="F62" s="48"/>
      <c r="G62" s="11"/>
    </row>
    <row r="63" spans="1:8" s="1" customFormat="1">
      <c r="A63" s="6" t="str">
        <f>IF(VLOOKUP(B63,'[1]1. Select Services'!$A$6:$E$77,5,FALSE)="x","x","")</f>
        <v>x</v>
      </c>
      <c r="B63" s="45">
        <v>53</v>
      </c>
      <c r="C63" s="45">
        <v>57</v>
      </c>
      <c r="D63" s="46" t="s">
        <v>71</v>
      </c>
      <c r="E63" s="15">
        <v>3</v>
      </c>
      <c r="F63" s="15">
        <v>1</v>
      </c>
      <c r="G63" s="11">
        <f t="shared" ref="G63:G70" si="6">E63*F63</f>
        <v>3</v>
      </c>
    </row>
    <row r="64" spans="1:8" s="1" customFormat="1">
      <c r="A64" s="6" t="str">
        <f>IF(VLOOKUP(B64,'[1]1. Select Services'!$A$6:$E$77,5,FALSE)="x","x","")</f>
        <v>x</v>
      </c>
      <c r="B64" s="45">
        <v>54</v>
      </c>
      <c r="C64" s="45">
        <v>58</v>
      </c>
      <c r="D64" s="46" t="s">
        <v>72</v>
      </c>
      <c r="E64" s="15">
        <v>3</v>
      </c>
      <c r="F64" s="15">
        <v>1</v>
      </c>
      <c r="G64" s="11">
        <f t="shared" si="6"/>
        <v>3</v>
      </c>
    </row>
    <row r="65" spans="1:7" s="1" customFormat="1">
      <c r="A65" s="6" t="str">
        <f>IF(VLOOKUP(B65,'[1]1. Select Services'!$A$6:$E$77,5,FALSE)="x","x","")</f>
        <v>x</v>
      </c>
      <c r="B65" s="45">
        <v>55</v>
      </c>
      <c r="C65" s="45">
        <v>59</v>
      </c>
      <c r="D65" s="46" t="s">
        <v>73</v>
      </c>
      <c r="E65" s="15">
        <v>3</v>
      </c>
      <c r="F65" s="15">
        <v>1</v>
      </c>
      <c r="G65" s="11">
        <f t="shared" si="6"/>
        <v>3</v>
      </c>
    </row>
    <row r="66" spans="1:7" s="1" customFormat="1">
      <c r="A66" s="6" t="str">
        <f>IF(VLOOKUP(B66,'[1]1. Select Services'!$A$6:$E$77,5,FALSE)="x","x","")</f>
        <v>x</v>
      </c>
      <c r="B66" s="45">
        <v>56</v>
      </c>
      <c r="C66" s="45">
        <v>60</v>
      </c>
      <c r="D66" s="46" t="s">
        <v>74</v>
      </c>
      <c r="E66" s="15">
        <v>3</v>
      </c>
      <c r="F66" s="15">
        <v>1</v>
      </c>
      <c r="G66" s="11">
        <f t="shared" si="6"/>
        <v>3</v>
      </c>
    </row>
    <row r="67" spans="1:7" s="1" customFormat="1">
      <c r="A67" s="6" t="str">
        <f>IF(VLOOKUP(B67,'[1]1. Select Services'!$A$6:$E$77,5,FALSE)="x","x","")</f>
        <v>x</v>
      </c>
      <c r="B67" s="45">
        <v>57</v>
      </c>
      <c r="C67" s="45">
        <v>61</v>
      </c>
      <c r="D67" s="46" t="s">
        <v>75</v>
      </c>
      <c r="E67" s="15">
        <v>2</v>
      </c>
      <c r="F67" s="15">
        <v>1</v>
      </c>
      <c r="G67" s="11">
        <f t="shared" si="6"/>
        <v>2</v>
      </c>
    </row>
    <row r="68" spans="1:7" s="1" customFormat="1">
      <c r="A68" s="6" t="str">
        <f>IF(VLOOKUP(B68,'[1]1. Select Services'!$A$6:$E$77,5,FALSE)="x","x","")</f>
        <v>x</v>
      </c>
      <c r="B68" s="45">
        <v>58</v>
      </c>
      <c r="C68" s="45">
        <v>62</v>
      </c>
      <c r="D68" s="46" t="s">
        <v>76</v>
      </c>
      <c r="E68" s="15">
        <v>1</v>
      </c>
      <c r="F68" s="15">
        <v>1</v>
      </c>
      <c r="G68" s="11">
        <f t="shared" si="6"/>
        <v>1</v>
      </c>
    </row>
    <row r="69" spans="1:7" s="1" customFormat="1">
      <c r="A69" s="6" t="str">
        <f>IF(VLOOKUP(B69,'[1]1. Select Services'!$A$6:$E$77,5,FALSE)="x","x","")</f>
        <v>x</v>
      </c>
      <c r="B69" s="45">
        <v>59</v>
      </c>
      <c r="C69" s="45">
        <v>63</v>
      </c>
      <c r="D69" s="46" t="s">
        <v>77</v>
      </c>
      <c r="E69" s="15">
        <v>3</v>
      </c>
      <c r="F69" s="15">
        <v>1</v>
      </c>
      <c r="G69" s="11">
        <f t="shared" si="6"/>
        <v>3</v>
      </c>
    </row>
    <row r="70" spans="1:7" s="1" customFormat="1">
      <c r="A70" s="6" t="str">
        <f>IF(VLOOKUP(B70,'[1]1. Select Services'!$A$6:$E$77,5,FALSE)="x","x","")</f>
        <v>x</v>
      </c>
      <c r="B70" s="45">
        <v>60</v>
      </c>
      <c r="C70" s="45">
        <v>64</v>
      </c>
      <c r="D70" s="46" t="s">
        <v>78</v>
      </c>
      <c r="E70" s="15">
        <v>1</v>
      </c>
      <c r="F70" s="15">
        <v>1</v>
      </c>
      <c r="G70" s="11">
        <f t="shared" si="6"/>
        <v>1</v>
      </c>
    </row>
    <row r="71" spans="1:7" s="1" customFormat="1" ht="50">
      <c r="A71" s="4" t="str">
        <f>IF(COUNTIF(A72:A82,"x")=0,"","x")</f>
        <v>x</v>
      </c>
      <c r="B71" s="4" t="s">
        <v>3</v>
      </c>
      <c r="C71" s="5" t="s">
        <v>4</v>
      </c>
      <c r="D71" s="60" t="s">
        <v>5</v>
      </c>
      <c r="E71" s="61" t="s">
        <v>79</v>
      </c>
      <c r="F71" s="60" t="s">
        <v>7</v>
      </c>
      <c r="G71" s="60" t="s">
        <v>66</v>
      </c>
    </row>
    <row r="72" spans="1:7" s="1" customFormat="1">
      <c r="A72" s="6" t="s">
        <v>18</v>
      </c>
      <c r="B72" s="49">
        <v>400</v>
      </c>
      <c r="C72" s="49">
        <v>400</v>
      </c>
      <c r="D72" s="50" t="s">
        <v>80</v>
      </c>
      <c r="E72" s="18">
        <v>3</v>
      </c>
      <c r="F72" s="18">
        <v>1</v>
      </c>
      <c r="G72" s="11">
        <f t="shared" ref="G72:G82" si="7">E72*F72</f>
        <v>3</v>
      </c>
    </row>
    <row r="73" spans="1:7" s="1" customFormat="1">
      <c r="A73" s="6" t="str">
        <f>IF(VLOOKUP(B73,'[1]1. Select Services'!$A$6:$E$77,5,FALSE)="x","x","")</f>
        <v>x</v>
      </c>
      <c r="B73" s="51">
        <v>61</v>
      </c>
      <c r="C73" s="51">
        <v>47</v>
      </c>
      <c r="D73" s="52" t="s">
        <v>81</v>
      </c>
      <c r="E73" s="15">
        <v>2</v>
      </c>
      <c r="F73" s="15">
        <v>1</v>
      </c>
      <c r="G73" s="11">
        <f t="shared" si="7"/>
        <v>2</v>
      </c>
    </row>
    <row r="74" spans="1:7" s="1" customFormat="1">
      <c r="A74" s="6" t="str">
        <f>IF(VLOOKUP(B74,'[1]1. Select Services'!$A$6:$E$77,5,FALSE)="x","x","")</f>
        <v>x</v>
      </c>
      <c r="B74" s="51">
        <v>62</v>
      </c>
      <c r="C74" s="51">
        <v>48</v>
      </c>
      <c r="D74" s="52" t="s">
        <v>82</v>
      </c>
      <c r="E74" s="15">
        <v>2</v>
      </c>
      <c r="F74" s="15">
        <v>1</v>
      </c>
      <c r="G74" s="11">
        <f t="shared" si="7"/>
        <v>2</v>
      </c>
    </row>
    <row r="75" spans="1:7" s="1" customFormat="1">
      <c r="A75" s="6" t="str">
        <f>IF(VLOOKUP(B75,'[1]1. Select Services'!$A$6:$E$77,5,FALSE)="x","x","")</f>
        <v>x</v>
      </c>
      <c r="B75" s="51">
        <v>63</v>
      </c>
      <c r="C75" s="51">
        <v>71</v>
      </c>
      <c r="D75" s="52" t="s">
        <v>83</v>
      </c>
      <c r="E75" s="15">
        <v>1</v>
      </c>
      <c r="F75" s="15">
        <v>1</v>
      </c>
      <c r="G75" s="11">
        <f t="shared" si="7"/>
        <v>1</v>
      </c>
    </row>
    <row r="76" spans="1:7" s="1" customFormat="1">
      <c r="A76" s="6" t="str">
        <f>IF(VLOOKUP(B76,'[1]1. Select Services'!$A$6:$E$77,5,FALSE)="x","x","")</f>
        <v>x</v>
      </c>
      <c r="B76" s="51">
        <v>64</v>
      </c>
      <c r="C76" s="51">
        <v>72</v>
      </c>
      <c r="D76" s="52" t="s">
        <v>84</v>
      </c>
      <c r="E76" s="15">
        <v>1</v>
      </c>
      <c r="F76" s="15">
        <v>1</v>
      </c>
      <c r="G76" s="11">
        <f t="shared" si="7"/>
        <v>1</v>
      </c>
    </row>
    <row r="77" spans="1:7" s="1" customFormat="1">
      <c r="A77" s="6" t="str">
        <f>IF(VLOOKUP(B77,'[1]1. Select Services'!$A$6:$E$77,5,FALSE)="x","x","")</f>
        <v>x</v>
      </c>
      <c r="B77" s="51">
        <v>65</v>
      </c>
      <c r="C77" s="51">
        <v>73</v>
      </c>
      <c r="D77" s="52" t="s">
        <v>85</v>
      </c>
      <c r="E77" s="15">
        <v>1</v>
      </c>
      <c r="F77" s="15">
        <v>1</v>
      </c>
      <c r="G77" s="11">
        <f t="shared" si="7"/>
        <v>1</v>
      </c>
    </row>
    <row r="78" spans="1:7" s="1" customFormat="1">
      <c r="A78" s="6" t="str">
        <f>IF(VLOOKUP(B78,'[1]1. Select Services'!$A$6:$E$77,5,FALSE)="x","x","")</f>
        <v>x</v>
      </c>
      <c r="B78" s="51">
        <v>66</v>
      </c>
      <c r="C78" s="51">
        <v>74</v>
      </c>
      <c r="D78" s="52" t="s">
        <v>86</v>
      </c>
      <c r="E78" s="15">
        <v>1</v>
      </c>
      <c r="F78" s="15">
        <v>1</v>
      </c>
      <c r="G78" s="11">
        <f t="shared" si="7"/>
        <v>1</v>
      </c>
    </row>
    <row r="79" spans="1:7" s="1" customFormat="1">
      <c r="A79" s="6" t="str">
        <f>IF(VLOOKUP(B79,'[1]1. Select Services'!$A$6:$E$77,5,FALSE)="x","x","")</f>
        <v>x</v>
      </c>
      <c r="B79" s="51">
        <v>67</v>
      </c>
      <c r="C79" s="51">
        <v>75</v>
      </c>
      <c r="D79" s="52" t="s">
        <v>87</v>
      </c>
      <c r="E79" s="15">
        <v>1</v>
      </c>
      <c r="F79" s="15">
        <v>1</v>
      </c>
      <c r="G79" s="11">
        <f t="shared" si="7"/>
        <v>1</v>
      </c>
    </row>
    <row r="80" spans="1:7" s="1" customFormat="1">
      <c r="A80" s="6" t="str">
        <f>IF(VLOOKUP(B80,'[1]1. Select Services'!$A$6:$E$77,5,FALSE)="x","x","")</f>
        <v>x</v>
      </c>
      <c r="B80" s="51">
        <v>68</v>
      </c>
      <c r="C80" s="51">
        <v>76</v>
      </c>
      <c r="D80" s="52" t="s">
        <v>88</v>
      </c>
      <c r="E80" s="15">
        <v>2</v>
      </c>
      <c r="F80" s="15">
        <v>1</v>
      </c>
      <c r="G80" s="11">
        <f t="shared" si="7"/>
        <v>2</v>
      </c>
    </row>
    <row r="81" spans="1:7" s="1" customFormat="1">
      <c r="A81" s="6" t="str">
        <f>IF(VLOOKUP(B81,'[1]1. Select Services'!$A$6:$E$77,5,FALSE)="x","x","")</f>
        <v/>
      </c>
      <c r="B81" s="53">
        <v>69</v>
      </c>
      <c r="C81" s="53">
        <v>77</v>
      </c>
      <c r="D81" s="54" t="s">
        <v>89</v>
      </c>
      <c r="E81" s="15">
        <v>4</v>
      </c>
      <c r="F81" s="15">
        <v>1</v>
      </c>
      <c r="G81" s="11">
        <f t="shared" si="7"/>
        <v>4</v>
      </c>
    </row>
    <row r="82" spans="1:7" s="1" customFormat="1">
      <c r="A82" s="6" t="str">
        <f>IF(VLOOKUP(B82,'[1]1. Select Services'!$A$6:$E$77,5,FALSE)="x","x","")</f>
        <v/>
      </c>
      <c r="B82" s="53">
        <v>70</v>
      </c>
      <c r="C82" s="53">
        <v>78</v>
      </c>
      <c r="D82" s="54" t="s">
        <v>90</v>
      </c>
      <c r="E82" s="15">
        <v>4</v>
      </c>
      <c r="F82" s="15">
        <v>1</v>
      </c>
      <c r="G82" s="11">
        <f t="shared" si="7"/>
        <v>4</v>
      </c>
    </row>
    <row r="83" spans="1:7" s="1" customFormat="1" ht="50">
      <c r="A83" s="4" t="str">
        <f>IF(COUNTIF(A84:A84,"x")=0,"","x")</f>
        <v/>
      </c>
      <c r="B83" s="4" t="s">
        <v>3</v>
      </c>
      <c r="C83" s="5" t="s">
        <v>4</v>
      </c>
      <c r="D83" s="60" t="s">
        <v>5</v>
      </c>
      <c r="E83" s="61" t="s">
        <v>79</v>
      </c>
      <c r="F83" s="60" t="s">
        <v>7</v>
      </c>
      <c r="G83" s="60" t="s">
        <v>66</v>
      </c>
    </row>
    <row r="84" spans="1:7" s="1" customFormat="1">
      <c r="A84" s="6" t="str">
        <f>IF(VLOOKUP(B84,'[1]1. Select Services'!$A$6:$E$77,5,FALSE)="x","x","")</f>
        <v/>
      </c>
      <c r="B84" s="55">
        <v>71</v>
      </c>
      <c r="C84" s="56">
        <v>54</v>
      </c>
      <c r="D84" s="57" t="s">
        <v>91</v>
      </c>
      <c r="E84" s="15">
        <v>1</v>
      </c>
      <c r="F84" s="15">
        <v>1</v>
      </c>
      <c r="G84" s="11">
        <f>E84*F84</f>
        <v>1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79501</cp:lastModifiedBy>
  <dcterms:created xsi:type="dcterms:W3CDTF">2024-11-16T08:55:00Z</dcterms:created>
  <dcterms:modified xsi:type="dcterms:W3CDTF">2026-03-20T07:26:40Z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88E61C2F504A4E09BA5F2E9BF1DD643E_11</vt:lpwstr>
  </property>
  <property fmtid="{D5CDD505-2E9C-101B-9397-08002B2CF9AE}" pid="3" name="KSOProductBuildVer">
    <vt:lpwstr>2052-12.1.0.19302</vt:lpwstr>
  </property>
</Properties>
</file>