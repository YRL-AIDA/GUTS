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D56" i="1"/>
  <c r="F55" i="1"/>
  <c r="D55" i="1"/>
  <c r="F52" i="1"/>
  <c r="D52" i="1"/>
  <c r="F51" i="1"/>
  <c r="D51" i="1"/>
  <c r="F48" i="1"/>
  <c r="D48" i="1"/>
  <c r="F47" i="1"/>
  <c r="D47" i="1"/>
  <c r="F46" i="1"/>
  <c r="D46" i="1"/>
  <c r="F45" i="1"/>
  <c r="D45" i="1"/>
  <c r="F42" i="1"/>
  <c r="D42" i="1"/>
  <c r="F41" i="1"/>
  <c r="D41" i="1"/>
  <c r="F37" i="1"/>
  <c r="D37" i="1"/>
  <c r="F33" i="1"/>
  <c r="D33" i="1"/>
  <c r="F32" i="1"/>
  <c r="D32" i="1"/>
  <c r="F29" i="1"/>
  <c r="D29" i="1"/>
  <c r="F28" i="1"/>
  <c r="D28" i="1"/>
  <c r="F25" i="1"/>
  <c r="D25" i="1"/>
  <c r="F24" i="1"/>
  <c r="D24" i="1"/>
  <c r="F21" i="1"/>
  <c r="D21" i="1"/>
  <c r="F18" i="1"/>
  <c r="D18" i="1"/>
  <c r="F17" i="1"/>
  <c r="D17" i="1"/>
  <c r="F14" i="1"/>
  <c r="D14" i="1"/>
  <c r="F13" i="1"/>
  <c r="D13" i="1"/>
  <c r="F10" i="1"/>
  <c r="D10" i="1"/>
  <c r="F9" i="1"/>
  <c r="D9" i="1"/>
  <c r="F8" i="1"/>
  <c r="D8" i="1"/>
  <c r="F7" i="1"/>
  <c r="D7" i="1"/>
  <c r="F4" i="1"/>
  <c r="D4" i="1"/>
  <c r="F3" i="1"/>
  <c r="D3" i="1"/>
</calcChain>
</file>

<file path=xl/sharedStrings.xml><?xml version="1.0" encoding="utf-8"?>
<sst xmlns="http://schemas.openxmlformats.org/spreadsheetml/2006/main" count="53" uniqueCount="36">
  <si>
    <t>Item</t>
  </si>
  <si>
    <t>FOB</t>
  </si>
  <si>
    <t>#/Pal</t>
  </si>
  <si>
    <t>freight</t>
  </si>
  <si>
    <t>Brok</t>
  </si>
  <si>
    <t>Del</t>
  </si>
  <si>
    <t>BEETS</t>
  </si>
  <si>
    <t>12's</t>
  </si>
  <si>
    <t>24's</t>
  </si>
  <si>
    <t>Bulk Beets</t>
  </si>
  <si>
    <t>Tx 25#</t>
  </si>
  <si>
    <t>Tx 50#</t>
  </si>
  <si>
    <t>Mx Jbo</t>
  </si>
  <si>
    <t>Gold 25</t>
  </si>
  <si>
    <t>Collards</t>
  </si>
  <si>
    <t>Daikon</t>
  </si>
  <si>
    <t>W/Tops</t>
  </si>
  <si>
    <t>no/Tops</t>
  </si>
  <si>
    <t>BukTturnips</t>
  </si>
  <si>
    <t>25#</t>
  </si>
  <si>
    <t>TURNIP GREENS</t>
  </si>
  <si>
    <t>Plain Mustard</t>
  </si>
  <si>
    <t>Curly Mustard</t>
  </si>
  <si>
    <t>#/pal</t>
  </si>
  <si>
    <t>Cabbage Sprouts</t>
  </si>
  <si>
    <t>Ctn</t>
  </si>
  <si>
    <t>Curly parsly</t>
  </si>
  <si>
    <t>30's</t>
  </si>
  <si>
    <t>60's</t>
  </si>
  <si>
    <t>Plain Parsley</t>
  </si>
  <si>
    <t>Root 12's</t>
  </si>
  <si>
    <t>Root 24's</t>
  </si>
  <si>
    <t>Tx Cilantro</t>
  </si>
  <si>
    <t>Cilantro Root</t>
  </si>
  <si>
    <t>ctn 24's</t>
  </si>
  <si>
    <t>wood 24's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</si>
</sst>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$&quot;#,##0.00"/>
  </numFmts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2" fillId="0" borderId="0" xfId="0" applyFont="1" applyFill="1" applyAlignment="1"/>
    <xf numFmtId="168" fontId="2" fillId="0" borderId="0" xfId="0" applyNumberFormat="1" applyFont="1" applyFill="1" applyAlignment="1" applyProtection="1">
      <protection locked="0"/>
    </xf>
    <xf numFmtId="4" fontId="2" fillId="0" borderId="0" xfId="0" applyNumberFormat="1" applyFont="1" applyFill="1" applyAlignment="1" applyProtection="1"/>
    <xf numFmtId="168" fontId="2" fillId="0" borderId="0" xfId="0" applyNumberFormat="1" applyFont="1" applyFill="1" applyAlignment="1" applyProtection="1"/>
    <xf numFmtId="0" fontId="2" fillId="0" borderId="0" xfId="0" applyFont="1" applyFill="1" applyAlignment="1" applyProtection="1"/>
    <xf numFmtId="168" fontId="2" fillId="2" borderId="0" xfId="0" applyNumberFormat="1" applyFont="1" applyFill="1" applyAlignment="1" applyProtection="1"/>
    <xf numFmtId="0" fontId="2" fillId="2" borderId="0" xfId="0" applyFont="1" applyFill="1" applyAlignment="1" applyProtection="1"/>
    <xf numFmtId="4" fontId="2" fillId="2" borderId="0" xfId="0" applyNumberFormat="1" applyFont="1" applyFill="1" applyAlignment="1" applyProtection="1"/>
    <xf numFmtId="168" fontId="3" fillId="3" borderId="0" xfId="0" applyNumberFormat="1" applyFont="1" applyFill="1" applyAlignment="1" applyProtection="1">
      <protection locked="0"/>
    </xf>
    <xf numFmtId="0" fontId="1" fillId="2" borderId="0" xfId="0" applyFont="1" applyFill="1" applyAlignment="1" applyProtection="1"/>
    <xf numFmtId="0" fontId="2" fillId="0" borderId="0" xfId="0" applyNumberFormat="1" applyFont="1" applyFill="1" applyAlignment="1" applyProtection="1"/>
    <xf numFmtId="168" fontId="2" fillId="0" borderId="0" xfId="0" applyNumberFormat="1" applyFont="1" applyFill="1" applyAlignment="1"/>
    <xf numFmtId="168" fontId="2" fillId="2" borderId="0" xfId="0" applyNumberFormat="1" applyFont="1" applyFill="1" applyAlignment="1"/>
    <xf numFmtId="0" fontId="1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G11" sqref="G11"/>
    </sheetView>
  </sheetViews>
  <sheetFormatPr defaultColWidth="9.26953125" defaultRowHeight="14.5"/>
  <cols>
    <col min="1" max="1" width="11.453125" customWidth="1"/>
  </cols>
  <sheetData>
    <row r="1" spans="1:6" ht="15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ht="15.5">
      <c r="A2" s="2" t="s">
        <v>6</v>
      </c>
      <c r="B2" s="3"/>
      <c r="C2" s="3"/>
      <c r="D2" s="3"/>
      <c r="E2" s="3"/>
      <c r="F2" s="3"/>
    </row>
    <row r="3" spans="1:6" ht="15.5">
      <c r="A3" s="4" t="s">
        <v>7</v>
      </c>
      <c r="B3" s="5">
        <v>9.35</v>
      </c>
      <c r="C3" s="4">
        <v>56</v>
      </c>
      <c r="D3" s="6">
        <f>IF(B3&gt;0,K64/C3,0)</f>
        <v>0</v>
      </c>
      <c r="E3" s="5">
        <v>0.35</v>
      </c>
      <c r="F3" s="15">
        <f t="shared" ref="F3:F10" si="0">SUM(B3+D3+E3)</f>
        <v>9.6999999999999993</v>
      </c>
    </row>
    <row r="4" spans="1:6" ht="15.5">
      <c r="A4" s="4" t="s">
        <v>8</v>
      </c>
      <c r="B4" s="5">
        <v>12.35</v>
      </c>
      <c r="C4" s="4">
        <v>35</v>
      </c>
      <c r="D4" s="6">
        <f>IF(B4&gt;0,K64/C4,0)</f>
        <v>0</v>
      </c>
      <c r="E4" s="5">
        <v>0.35</v>
      </c>
      <c r="F4" s="15">
        <f t="shared" si="0"/>
        <v>12.7</v>
      </c>
    </row>
    <row r="5" spans="1:6" ht="15.5">
      <c r="A5" s="4"/>
      <c r="B5" s="7"/>
      <c r="C5" s="8"/>
      <c r="D5" s="6"/>
      <c r="E5" s="7"/>
      <c r="F5" s="7"/>
    </row>
    <row r="6" spans="1:6" ht="15.5">
      <c r="A6" s="2" t="s">
        <v>9</v>
      </c>
      <c r="B6" s="9"/>
      <c r="C6" s="10"/>
      <c r="D6" s="11"/>
      <c r="E6" s="9"/>
      <c r="F6" s="9"/>
    </row>
    <row r="7" spans="1:6" ht="15.5">
      <c r="A7" s="4" t="s">
        <v>10</v>
      </c>
      <c r="B7" s="12">
        <v>8.85</v>
      </c>
      <c r="C7" s="4">
        <v>80</v>
      </c>
      <c r="D7" s="6">
        <f>IF(B7&gt;0,K64/C7,0)</f>
        <v>0</v>
      </c>
      <c r="E7" s="5">
        <v>0.35</v>
      </c>
      <c r="F7" s="15">
        <f t="shared" si="0"/>
        <v>9.1999999999999993</v>
      </c>
    </row>
    <row r="8" spans="1:6" ht="15.5">
      <c r="A8" s="4" t="s">
        <v>11</v>
      </c>
      <c r="B8" s="5">
        <v>12.85</v>
      </c>
      <c r="C8" s="4">
        <v>40</v>
      </c>
      <c r="D8" s="6">
        <f>IF(B8&gt;0,K64/C8,0)</f>
        <v>0</v>
      </c>
      <c r="E8" s="5">
        <v>0.35</v>
      </c>
      <c r="F8" s="15">
        <f t="shared" si="0"/>
        <v>13.2</v>
      </c>
    </row>
    <row r="9" spans="1:6" ht="15.5">
      <c r="A9" s="4" t="s">
        <v>12</v>
      </c>
      <c r="B9" s="5">
        <v>0</v>
      </c>
      <c r="C9" s="4">
        <v>0</v>
      </c>
      <c r="D9" s="6">
        <f>IF(B9&gt;0,K64/C9,0)</f>
        <v>0</v>
      </c>
      <c r="E9" s="5">
        <v>0.35</v>
      </c>
      <c r="F9" s="15">
        <f t="shared" si="0"/>
        <v>0.35</v>
      </c>
    </row>
    <row r="10" spans="1:6" ht="15.5">
      <c r="A10" s="4" t="s">
        <v>13</v>
      </c>
      <c r="B10" s="5">
        <v>11.85</v>
      </c>
      <c r="C10" s="4">
        <v>80</v>
      </c>
      <c r="D10" s="6">
        <f>IF(B10&gt;0,K64/C10,0)</f>
        <v>0</v>
      </c>
      <c r="E10" s="5">
        <v>0.35</v>
      </c>
      <c r="F10" s="15">
        <f t="shared" si="0"/>
        <v>12.2</v>
      </c>
    </row>
    <row r="11" spans="1:6" ht="15.5">
      <c r="A11" s="4"/>
      <c r="B11" s="7"/>
      <c r="C11" s="8"/>
      <c r="D11" s="6"/>
      <c r="E11" s="7"/>
      <c r="F11" s="7"/>
    </row>
    <row r="12" spans="1:6" ht="15.5">
      <c r="A12" s="2" t="s">
        <v>14</v>
      </c>
      <c r="B12" s="9"/>
      <c r="C12" s="10"/>
      <c r="D12" s="11"/>
      <c r="E12" s="9"/>
      <c r="F12" s="9"/>
    </row>
    <row r="13" spans="1:6" ht="15.5">
      <c r="A13" s="4" t="s">
        <v>7</v>
      </c>
      <c r="B13" s="5">
        <v>5.85</v>
      </c>
      <c r="C13" s="8">
        <v>64</v>
      </c>
      <c r="D13" s="6">
        <f>IF(B13&gt;0,K64/C13,0)</f>
        <v>0</v>
      </c>
      <c r="E13" s="5">
        <v>0.35</v>
      </c>
      <c r="F13" s="15">
        <f t="shared" ref="F13:F17" si="1">SUM(B13+D13+E13)</f>
        <v>6.2</v>
      </c>
    </row>
    <row r="14" spans="1:6" ht="15.5">
      <c r="A14" s="4" t="s">
        <v>8</v>
      </c>
      <c r="B14" s="5">
        <v>8.85</v>
      </c>
      <c r="C14" s="8">
        <v>42</v>
      </c>
      <c r="D14" s="6">
        <f>IF(B14&gt;0,K64/C14,0)</f>
        <v>0</v>
      </c>
      <c r="E14" s="5">
        <v>0.35</v>
      </c>
      <c r="F14" s="15">
        <f t="shared" si="1"/>
        <v>9.1999999999999993</v>
      </c>
    </row>
    <row r="15" spans="1:6" ht="15.5">
      <c r="A15" s="4"/>
      <c r="B15" s="7"/>
      <c r="C15" s="8"/>
      <c r="D15" s="6"/>
      <c r="E15" s="7"/>
      <c r="F15" s="7"/>
    </row>
    <row r="16" spans="1:6" ht="15.5">
      <c r="A16" s="2" t="s">
        <v>15</v>
      </c>
      <c r="B16" s="9"/>
      <c r="C16" s="10"/>
      <c r="D16" s="11"/>
      <c r="E16" s="9"/>
      <c r="F16" s="9"/>
    </row>
    <row r="17" spans="1:6" ht="15.5">
      <c r="A17" s="4" t="s">
        <v>16</v>
      </c>
      <c r="B17" s="5">
        <v>12.35</v>
      </c>
      <c r="C17" s="4">
        <v>35</v>
      </c>
      <c r="D17" s="6">
        <f>IF(B17&gt;0,K64/C17,0)</f>
        <v>0</v>
      </c>
      <c r="E17" s="5">
        <v>0.35</v>
      </c>
      <c r="F17" s="15">
        <f t="shared" si="1"/>
        <v>12.7</v>
      </c>
    </row>
    <row r="18" spans="1:6" ht="15.5">
      <c r="A18" s="4" t="s">
        <v>17</v>
      </c>
      <c r="B18" s="5">
        <v>20</v>
      </c>
      <c r="C18" s="4">
        <v>42</v>
      </c>
      <c r="D18" s="6">
        <f>IF(B18&gt;0,K64/C18,0)</f>
        <v>0</v>
      </c>
      <c r="E18" s="5">
        <v>0.35</v>
      </c>
      <c r="F18" s="15">
        <f>SUM(+B18+D18+E18)</f>
        <v>20.350000000000001</v>
      </c>
    </row>
    <row r="19" spans="1:6" ht="15.5">
      <c r="A19" s="4"/>
      <c r="B19" s="7"/>
      <c r="C19" s="8"/>
      <c r="D19" s="6"/>
      <c r="E19" s="7"/>
      <c r="F19" s="7"/>
    </row>
    <row r="20" spans="1:6" ht="15.5">
      <c r="A20" s="2" t="s">
        <v>18</v>
      </c>
      <c r="B20" s="9"/>
      <c r="C20" s="10"/>
      <c r="D20" s="11"/>
      <c r="E20" s="9"/>
      <c r="F20" s="9"/>
    </row>
    <row r="21" spans="1:6" ht="15.5">
      <c r="A21" s="4" t="s">
        <v>19</v>
      </c>
      <c r="B21" s="5">
        <v>10.85</v>
      </c>
      <c r="C21" s="4">
        <v>80</v>
      </c>
      <c r="D21" s="6">
        <f>IF(B21&gt;0,K64/C21,0)</f>
        <v>0</v>
      </c>
      <c r="E21" s="5">
        <v>0.35</v>
      </c>
      <c r="F21" s="15">
        <f>SUM(B21+D21+E21)</f>
        <v>11.2</v>
      </c>
    </row>
    <row r="22" spans="1:6" ht="15.5">
      <c r="A22" s="8"/>
      <c r="B22" s="7"/>
      <c r="C22" s="8"/>
      <c r="D22" s="6"/>
      <c r="E22" s="7"/>
      <c r="F22" s="7"/>
    </row>
    <row r="23" spans="1:6" ht="15.5">
      <c r="A23" s="13" t="s">
        <v>20</v>
      </c>
      <c r="B23" s="9"/>
      <c r="C23" s="10"/>
      <c r="D23" s="11"/>
      <c r="E23" s="9"/>
      <c r="F23" s="9"/>
    </row>
    <row r="24" spans="1:6" ht="15.5">
      <c r="A24" s="4" t="s">
        <v>7</v>
      </c>
      <c r="B24" s="5">
        <v>5.85</v>
      </c>
      <c r="C24" s="4">
        <v>64</v>
      </c>
      <c r="D24" s="6">
        <f>IF(B24&gt;0,K64/C24,0)</f>
        <v>0</v>
      </c>
      <c r="E24" s="5">
        <v>0.35</v>
      </c>
      <c r="F24" s="15">
        <f>SUM(B24+D24+E24)</f>
        <v>6.2</v>
      </c>
    </row>
    <row r="25" spans="1:6" ht="15.5">
      <c r="A25" s="4" t="s">
        <v>8</v>
      </c>
      <c r="B25" s="5">
        <v>8.85</v>
      </c>
      <c r="C25" s="4">
        <v>42</v>
      </c>
      <c r="D25" s="6">
        <f>IF(B25&gt;0,K64/C25,0)</f>
        <v>0</v>
      </c>
      <c r="E25" s="5">
        <v>0.35</v>
      </c>
      <c r="F25" s="15">
        <f t="shared" ref="F25:F29" si="2">SUM(+B25+D25+E25)</f>
        <v>9.1999999999999993</v>
      </c>
    </row>
    <row r="26" spans="1:6" ht="15.5">
      <c r="A26" s="8"/>
      <c r="B26" s="7"/>
      <c r="C26" s="8"/>
      <c r="D26" s="6"/>
      <c r="E26" s="7"/>
      <c r="F26" s="7"/>
    </row>
    <row r="27" spans="1:6" ht="15.5">
      <c r="A27" s="13" t="s">
        <v>21</v>
      </c>
      <c r="B27" s="9"/>
      <c r="C27" s="10"/>
      <c r="D27" s="11"/>
      <c r="E27" s="9"/>
      <c r="F27" s="9"/>
    </row>
    <row r="28" spans="1:6" ht="15.5">
      <c r="A28" s="4" t="s">
        <v>7</v>
      </c>
      <c r="B28" s="5">
        <v>0</v>
      </c>
      <c r="C28" s="4">
        <v>64</v>
      </c>
      <c r="D28" s="6">
        <f>IF(B28&gt;0,K64/C28,0)</f>
        <v>0</v>
      </c>
      <c r="E28" s="5">
        <v>0.35</v>
      </c>
      <c r="F28" s="15">
        <f t="shared" si="2"/>
        <v>0.35</v>
      </c>
    </row>
    <row r="29" spans="1:6" ht="15.5">
      <c r="A29" s="4" t="s">
        <v>8</v>
      </c>
      <c r="B29" s="5">
        <v>0</v>
      </c>
      <c r="C29" s="4">
        <v>42</v>
      </c>
      <c r="D29" s="6">
        <f>IF(B29&gt;0,K64/C29,0)</f>
        <v>0</v>
      </c>
      <c r="E29" s="5">
        <v>0.35</v>
      </c>
      <c r="F29" s="15">
        <f t="shared" si="2"/>
        <v>0.35</v>
      </c>
    </row>
    <row r="30" spans="1:6" ht="15.5">
      <c r="A30" s="8"/>
      <c r="B30" s="7"/>
      <c r="C30" s="8"/>
      <c r="D30" s="7"/>
      <c r="E30" s="7"/>
      <c r="F30" s="7"/>
    </row>
    <row r="31" spans="1:6" ht="15.5">
      <c r="A31" s="13" t="s">
        <v>22</v>
      </c>
      <c r="B31" s="9"/>
      <c r="C31" s="10"/>
      <c r="D31" s="9"/>
      <c r="E31" s="9"/>
      <c r="F31" s="9"/>
    </row>
    <row r="32" spans="1:6" ht="15.5">
      <c r="A32" s="4" t="s">
        <v>7</v>
      </c>
      <c r="B32" s="5">
        <v>5.85</v>
      </c>
      <c r="C32" s="4">
        <v>64</v>
      </c>
      <c r="D32" s="14">
        <f>IF(B32&gt;0,K64/C32,0)</f>
        <v>0</v>
      </c>
      <c r="E32" s="5">
        <v>0.35</v>
      </c>
      <c r="F32" s="15">
        <f>SUM(+B32+D32+E32)</f>
        <v>6.2</v>
      </c>
    </row>
    <row r="33" spans="1:6" ht="15.5">
      <c r="A33" s="4" t="s">
        <v>8</v>
      </c>
      <c r="B33" s="5">
        <v>8.85</v>
      </c>
      <c r="C33" s="4">
        <v>42</v>
      </c>
      <c r="D33" s="14">
        <f>IF(B33&gt;0,M2/C33,0)</f>
        <v>0</v>
      </c>
      <c r="E33" s="5">
        <v>0.35</v>
      </c>
      <c r="F33" s="15">
        <f>SUM(+B33+D33+E33)</f>
        <v>9.1999999999999993</v>
      </c>
    </row>
    <row r="34" spans="1:6" ht="15.5">
      <c r="A34" s="17" t="s">
        <v>0</v>
      </c>
      <c r="B34" s="17" t="s">
        <v>1</v>
      </c>
      <c r="C34" s="17" t="s">
        <v>23</v>
      </c>
      <c r="D34" s="17" t="s">
        <v>3</v>
      </c>
      <c r="E34" s="17" t="s">
        <v>4</v>
      </c>
      <c r="F34" s="17" t="s">
        <v>5</v>
      </c>
    </row>
    <row r="35" spans="1:6" ht="15.5">
      <c r="A35" s="4"/>
      <c r="B35" s="4"/>
      <c r="C35" s="4"/>
      <c r="D35" s="4"/>
      <c r="E35" s="4"/>
      <c r="F35" s="4"/>
    </row>
    <row r="36" spans="1:6" ht="15.5">
      <c r="A36" s="2" t="s">
        <v>24</v>
      </c>
      <c r="B36" s="3"/>
      <c r="C36" s="3"/>
      <c r="D36" s="3"/>
      <c r="E36" s="3"/>
      <c r="F36" s="3"/>
    </row>
    <row r="37" spans="1:6" ht="15.5">
      <c r="A37" s="1" t="s">
        <v>25</v>
      </c>
      <c r="B37" s="5">
        <v>0</v>
      </c>
      <c r="C37" s="4">
        <v>42</v>
      </c>
      <c r="D37" s="15">
        <f>IF(B41&gt;0,K64/C41,0)</f>
        <v>0</v>
      </c>
      <c r="E37" s="5">
        <v>0.35</v>
      </c>
      <c r="F37" s="15">
        <f t="shared" ref="F37:F42" si="3">SUM(B37+D37+E37)</f>
        <v>0.35</v>
      </c>
    </row>
    <row r="38" spans="1:6" ht="15.5">
      <c r="A38" s="1"/>
      <c r="B38" s="4"/>
      <c r="C38" s="4"/>
      <c r="D38" s="15"/>
      <c r="E38" s="4"/>
      <c r="F38" s="4"/>
    </row>
    <row r="39" spans="1:6" ht="15.5">
      <c r="A39" s="4"/>
      <c r="B39" s="4"/>
      <c r="C39" s="4"/>
      <c r="D39" s="15"/>
      <c r="E39" s="4"/>
      <c r="F39" s="4"/>
    </row>
    <row r="40" spans="1:6" ht="15.5">
      <c r="A40" s="2" t="s">
        <v>26</v>
      </c>
      <c r="B40" s="3"/>
      <c r="C40" s="3"/>
      <c r="D40" s="16"/>
      <c r="E40" s="3"/>
      <c r="F40" s="3"/>
    </row>
    <row r="41" spans="1:6" ht="15.5">
      <c r="A41" s="4" t="s">
        <v>27</v>
      </c>
      <c r="B41" s="5">
        <v>11.35</v>
      </c>
      <c r="C41" s="4">
        <v>64</v>
      </c>
      <c r="D41" s="15">
        <f>IF(B41&gt;0,K64/C41,0)</f>
        <v>0</v>
      </c>
      <c r="E41" s="5">
        <v>0.35</v>
      </c>
      <c r="F41" s="15">
        <f t="shared" si="3"/>
        <v>11.7</v>
      </c>
    </row>
    <row r="42" spans="1:6" ht="15.5">
      <c r="A42" s="4" t="s">
        <v>28</v>
      </c>
      <c r="B42" s="5">
        <v>14.85</v>
      </c>
      <c r="C42" s="4">
        <v>42</v>
      </c>
      <c r="D42" s="15">
        <f>IF(B42&gt;0,K64/C42,0)</f>
        <v>0</v>
      </c>
      <c r="E42" s="5">
        <v>0.35</v>
      </c>
      <c r="F42" s="15">
        <f t="shared" si="3"/>
        <v>15.2</v>
      </c>
    </row>
    <row r="43" spans="1:6" ht="15.5">
      <c r="A43" s="4"/>
      <c r="B43" s="4"/>
      <c r="C43" s="4"/>
      <c r="D43" s="15"/>
      <c r="E43" s="4"/>
      <c r="F43" s="4"/>
    </row>
    <row r="44" spans="1:6" ht="15.5">
      <c r="A44" s="2" t="s">
        <v>29</v>
      </c>
      <c r="B44" s="3"/>
      <c r="C44" s="3"/>
      <c r="D44" s="16"/>
      <c r="E44" s="3"/>
      <c r="F44" s="3"/>
    </row>
    <row r="45" spans="1:6" ht="15.5">
      <c r="A45" s="4" t="s">
        <v>27</v>
      </c>
      <c r="B45" s="5">
        <v>11.35</v>
      </c>
      <c r="C45" s="4">
        <v>64</v>
      </c>
      <c r="D45" s="15">
        <f>IF(B45&gt;0,K64/C45,0)</f>
        <v>0</v>
      </c>
      <c r="E45" s="5">
        <v>0.35</v>
      </c>
      <c r="F45" s="15">
        <f t="shared" ref="F45:F48" si="4">SUM(B45+D45+E45)</f>
        <v>11.7</v>
      </c>
    </row>
    <row r="46" spans="1:6" ht="15.5">
      <c r="A46" s="4" t="s">
        <v>28</v>
      </c>
      <c r="B46" s="5">
        <v>14.85</v>
      </c>
      <c r="C46" s="4">
        <v>42</v>
      </c>
      <c r="D46" s="15">
        <f>IF(B46&gt;0,K64/C46,0)</f>
        <v>0</v>
      </c>
      <c r="E46" s="5">
        <v>0.35</v>
      </c>
      <c r="F46" s="15">
        <f t="shared" si="4"/>
        <v>15.2</v>
      </c>
    </row>
    <row r="47" spans="1:6" ht="15.5">
      <c r="A47" s="4" t="s">
        <v>30</v>
      </c>
      <c r="B47" s="5">
        <v>0</v>
      </c>
      <c r="C47" s="4">
        <v>80</v>
      </c>
      <c r="D47" s="15">
        <f>IF(B47&gt;0,K64/C47,0)</f>
        <v>0</v>
      </c>
      <c r="E47" s="5">
        <v>0.35</v>
      </c>
      <c r="F47" s="15">
        <f t="shared" si="4"/>
        <v>0.35</v>
      </c>
    </row>
    <row r="48" spans="1:6" ht="15.5">
      <c r="A48" s="4" t="s">
        <v>31</v>
      </c>
      <c r="B48" s="5">
        <v>0</v>
      </c>
      <c r="C48" s="4">
        <v>42</v>
      </c>
      <c r="D48" s="15">
        <f>IF(B48&gt;0,K64/C48,0)</f>
        <v>0</v>
      </c>
      <c r="E48" s="5">
        <v>0.35</v>
      </c>
      <c r="F48" s="15">
        <f t="shared" si="4"/>
        <v>0.35</v>
      </c>
    </row>
    <row r="49" spans="1:6" ht="15.5">
      <c r="A49" s="4"/>
      <c r="B49" s="4"/>
      <c r="C49" s="4"/>
      <c r="D49" s="15"/>
      <c r="E49" s="4"/>
      <c r="F49" s="4"/>
    </row>
    <row r="50" spans="1:6" ht="15.5">
      <c r="A50" s="2" t="s">
        <v>32</v>
      </c>
      <c r="B50" s="3"/>
      <c r="C50" s="3"/>
      <c r="D50" s="16"/>
      <c r="E50" s="3"/>
      <c r="F50" s="3"/>
    </row>
    <row r="51" spans="1:6" ht="15.5">
      <c r="A51" s="4" t="s">
        <v>27</v>
      </c>
      <c r="B51" s="5">
        <v>7.85</v>
      </c>
      <c r="C51" s="4">
        <v>64</v>
      </c>
      <c r="D51" s="15">
        <f>IF(B51&gt;0,K64/C51,0)</f>
        <v>0</v>
      </c>
      <c r="E51" s="5">
        <v>0.35</v>
      </c>
      <c r="F51" s="15">
        <f t="shared" ref="F51:F56" si="5">SUM(B51+D51+E51)</f>
        <v>8.1999999999999993</v>
      </c>
    </row>
    <row r="52" spans="1:6" ht="15.5">
      <c r="A52" s="4" t="s">
        <v>28</v>
      </c>
      <c r="B52" s="5">
        <v>10.85</v>
      </c>
      <c r="C52" s="4">
        <v>42</v>
      </c>
      <c r="D52" s="15">
        <f>IF(B52&gt;0,K64/C52,0)</f>
        <v>0</v>
      </c>
      <c r="E52" s="5">
        <v>0.35</v>
      </c>
      <c r="F52" s="15">
        <f t="shared" si="5"/>
        <v>11.2</v>
      </c>
    </row>
    <row r="53" spans="1:6" ht="15.5">
      <c r="A53" s="4"/>
      <c r="B53" s="4"/>
      <c r="C53" s="4"/>
      <c r="D53" s="15"/>
      <c r="E53" s="4"/>
      <c r="F53" s="4"/>
    </row>
    <row r="54" spans="1:6" ht="15.5">
      <c r="A54" s="2" t="s">
        <v>33</v>
      </c>
      <c r="B54" s="3"/>
      <c r="C54" s="3"/>
      <c r="D54" s="16"/>
      <c r="E54" s="3"/>
      <c r="F54" s="3"/>
    </row>
    <row r="55" spans="1:6" ht="15.5">
      <c r="A55" s="4" t="s">
        <v>34</v>
      </c>
      <c r="B55" s="5">
        <v>8.35</v>
      </c>
      <c r="C55" s="4">
        <v>64</v>
      </c>
      <c r="D55" s="15">
        <f>IF(B55&gt;0,K64/C55,0)</f>
        <v>0</v>
      </c>
      <c r="E55" s="5">
        <v>0.35</v>
      </c>
      <c r="F55" s="15">
        <f t="shared" si="5"/>
        <v>8.6999999999999993</v>
      </c>
    </row>
    <row r="56" spans="1:6" ht="15.5">
      <c r="A56" s="4" t="s">
        <v>35</v>
      </c>
      <c r="B56" s="5">
        <v>8.85</v>
      </c>
      <c r="C56" s="4">
        <v>48</v>
      </c>
      <c r="D56" s="15">
        <f>IF(B56&gt;0,K64/C56,0)</f>
        <v>0</v>
      </c>
      <c r="E56" s="5">
        <v>0.35</v>
      </c>
      <c r="F56" s="15">
        <f t="shared" si="5"/>
        <v>9.1999999999999993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2024-12-18T13:57:16Z</dcterms:created>
  <dcterms:modified xsi:type="dcterms:W3CDTF">2025-12-26T02:11:28Z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EA4958F88CD741B63C646267A4749BB2_41</vt:lpwstr>
  </property>
  <property fmtid="{D5CDD505-2E9C-101B-9397-08002B2CF9AE}" pid="3" name="KSOProductBuildVer">
    <vt:lpwstr>2052-6.8.2.8850</vt:lpwstr>
  </property>
</Properties>
</file>