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<sst xmlns="http://schemas.openxmlformats.org/spreadsheetml/2006/main" count="165" uniqueCount="17">
  <si>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</si>
  <si>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</si>
  <si>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</si>
  <si>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</si>
  <si>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</si>
  <si>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</si>
  <si>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</si>
  <si>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</si>
  <si>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</si>
  <si>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</si>
  <si>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Phagocytosis Index</t>
  </si>
  <si>
    <t>ROI 3</t>
  </si>
  <si>
    <t>ROI 4</t>
  </si>
  <si>
    <t>ROI 5</t>
  </si>
  <si>
    <t>ROI 6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</si>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</sst>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6" fillId="0" borderId="11" xfId="2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/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 applyAlignment="1"/>
    <xf numFmtId="0" fontId="1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zoomScale="55" zoomScaleNormal="55" workbookViewId="0">
      <selection activeCell="A5" sqref="A5:A8"/>
    </sheetView>
  </sheetViews>
  <sheetFormatPr defaultColWidth="13" defaultRowHeight="15.5"/>
  <cols>
    <col min="1" max="1" width="40.81640625" style="1" customWidth="1"/>
    <col min="2" max="2" width="5.90625" style="1" customWidth="1"/>
    <col min="3" max="3" width="8.08984375" style="1" customWidth="1"/>
    <col min="4" max="4" width="9.1796875" style="1" customWidth="1"/>
    <col min="5" max="5" width="5.90625" style="1" customWidth="1"/>
    <col min="6" max="6" width="13" style="1"/>
    <col min="7" max="7" width="40.81640625" style="1" customWidth="1"/>
    <col min="8" max="8" width="12.6328125" style="1" customWidth="1"/>
    <col min="9" max="9" width="8.08984375" style="1" customWidth="1"/>
    <col min="10" max="11" width="5.90625" style="1" customWidth="1"/>
    <col min="12" max="12" width="13" style="1"/>
    <col min="13" max="13" width="35.26953125" style="1" customWidth="1"/>
    <col min="14" max="18" width="13" style="1"/>
    <col min="19" max="19" width="35.26953125" style="1" customWidth="1"/>
    <col min="20" max="16384" width="13" style="1"/>
  </cols>
  <sheetData>
    <row r="1" spans="1:24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9.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13"/>
    </row>
    <row r="3" spans="1:24" ht="19.5">
      <c r="A3" s="24" t="s">
        <v>1</v>
      </c>
      <c r="B3" s="25"/>
      <c r="C3" s="25"/>
      <c r="D3" s="25"/>
      <c r="E3" s="25"/>
      <c r="F3" s="4"/>
      <c r="G3" s="25" t="s">
        <v>2</v>
      </c>
      <c r="H3" s="25"/>
      <c r="I3" s="25"/>
      <c r="J3" s="25"/>
      <c r="K3" s="26"/>
    </row>
    <row r="4" spans="1:24" ht="17">
      <c r="A4" s="5"/>
      <c r="B4" s="6" t="s">
        <v>3</v>
      </c>
      <c r="C4" s="6" t="s">
        <v>4</v>
      </c>
      <c r="D4" s="6" t="s">
        <v>5</v>
      </c>
      <c r="E4" s="6" t="s">
        <v>6</v>
      </c>
      <c r="F4" s="4"/>
      <c r="G4" s="4"/>
      <c r="H4" s="6" t="s">
        <v>3</v>
      </c>
      <c r="I4" s="6" t="s">
        <v>4</v>
      </c>
      <c r="J4" s="14" t="s">
        <v>5</v>
      </c>
      <c r="K4" s="15" t="s">
        <v>6</v>
      </c>
    </row>
    <row r="5" spans="1:24" ht="17">
      <c r="A5" s="27" t="s">
        <v>7</v>
      </c>
      <c r="B5" s="4">
        <v>5</v>
      </c>
      <c r="C5" s="4">
        <v>4</v>
      </c>
      <c r="D5" s="4">
        <v>0</v>
      </c>
      <c r="E5" s="4">
        <v>24</v>
      </c>
      <c r="F5" s="4"/>
      <c r="G5" s="28" t="s">
        <v>7</v>
      </c>
      <c r="H5" s="4">
        <v>1</v>
      </c>
      <c r="I5" s="4">
        <v>30</v>
      </c>
      <c r="J5" s="4">
        <v>15</v>
      </c>
      <c r="K5" s="16">
        <v>10</v>
      </c>
    </row>
    <row r="6" spans="1:24" ht="17">
      <c r="A6" s="27" t="s">
        <v>8</v>
      </c>
      <c r="B6" s="4">
        <v>0</v>
      </c>
      <c r="C6" s="4">
        <v>0</v>
      </c>
      <c r="D6" s="4">
        <v>0</v>
      </c>
      <c r="E6" s="4">
        <v>0</v>
      </c>
      <c r="F6" s="4"/>
      <c r="G6" s="28" t="s">
        <v>8</v>
      </c>
      <c r="H6" s="4">
        <v>0</v>
      </c>
      <c r="I6" s="4">
        <v>20</v>
      </c>
      <c r="J6" s="4">
        <v>4</v>
      </c>
      <c r="K6" s="16">
        <v>0</v>
      </c>
    </row>
    <row r="7" spans="1:24" ht="17">
      <c r="A7" s="27" t="s">
        <v>9</v>
      </c>
      <c r="B7" s="4">
        <v>0</v>
      </c>
      <c r="C7" s="4">
        <v>0</v>
      </c>
      <c r="D7" s="4">
        <v>0</v>
      </c>
      <c r="E7" s="4">
        <v>0</v>
      </c>
      <c r="F7" s="4"/>
      <c r="G7" s="28" t="s">
        <v>9</v>
      </c>
      <c r="H7" s="4">
        <v>0</v>
      </c>
      <c r="I7" s="4">
        <v>41</v>
      </c>
      <c r="J7" s="4">
        <v>16</v>
      </c>
      <c r="K7" s="16">
        <v>0</v>
      </c>
    </row>
    <row r="8" spans="1:24" ht="17">
      <c r="A8" s="27" t="s">
        <v>10</v>
      </c>
      <c r="B8" s="7">
        <f>B7/B5</f>
        <v>0</v>
      </c>
      <c r="C8" s="7">
        <f t="shared" ref="C8:K8" si="0">C7/C5</f>
        <v>0</v>
      </c>
      <c r="D8" s="7" t="e">
        <f t="shared" si="0"/>
        <v>#DIV/0!</v>
      </c>
      <c r="E8" s="7">
        <f t="shared" si="0"/>
        <v>0</v>
      </c>
      <c r="F8" s="4"/>
      <c r="G8" s="27" t="s">
        <v>10</v>
      </c>
      <c r="H8" s="7">
        <f t="shared" si="0"/>
        <v>0</v>
      </c>
      <c r="I8" s="7">
        <f t="shared" si="0"/>
        <v>1.36666666666667</v>
      </c>
      <c r="J8" s="7">
        <f t="shared" si="0"/>
        <v>1.06666666666667</v>
      </c>
      <c r="K8" s="17">
        <f t="shared" si="0"/>
        <v>0</v>
      </c>
    </row>
    <row r="9" spans="1:24">
      <c r="A9" s="5"/>
      <c r="B9" s="4"/>
      <c r="C9" s="4"/>
      <c r="D9" s="4"/>
      <c r="E9" s="4"/>
      <c r="F9" s="4"/>
      <c r="G9" s="4"/>
      <c r="H9" s="4"/>
      <c r="I9" s="4"/>
      <c r="J9" s="4"/>
      <c r="K9" s="18"/>
    </row>
    <row r="10" spans="1:24" ht="19.5">
      <c r="A10" s="24" t="s">
        <v>11</v>
      </c>
      <c r="B10" s="25"/>
      <c r="C10" s="25"/>
      <c r="D10" s="25"/>
      <c r="E10" s="25"/>
      <c r="F10" s="4"/>
      <c r="G10" s="25" t="s">
        <v>12</v>
      </c>
      <c r="H10" s="25"/>
      <c r="I10" s="25"/>
      <c r="J10" s="25"/>
      <c r="K10" s="26"/>
    </row>
    <row r="11" spans="1:24" ht="17">
      <c r="A11" s="5"/>
      <c r="B11" s="6" t="s">
        <v>3</v>
      </c>
      <c r="C11" s="6" t="s">
        <v>4</v>
      </c>
      <c r="D11" s="6" t="s">
        <v>5</v>
      </c>
      <c r="E11" s="6" t="s">
        <v>6</v>
      </c>
      <c r="F11" s="4"/>
      <c r="G11" s="4"/>
      <c r="H11" s="6" t="s">
        <v>3</v>
      </c>
      <c r="I11" s="6" t="s">
        <v>4</v>
      </c>
      <c r="J11" s="14" t="s">
        <v>5</v>
      </c>
      <c r="K11" s="15" t="s">
        <v>6</v>
      </c>
    </row>
    <row r="12" spans="1:24" ht="17">
      <c r="A12" s="27" t="s">
        <v>7</v>
      </c>
      <c r="B12" s="4">
        <v>1</v>
      </c>
      <c r="C12" s="4">
        <v>21</v>
      </c>
      <c r="D12" s="8">
        <v>19</v>
      </c>
      <c r="E12" s="4">
        <v>12</v>
      </c>
      <c r="F12" s="4"/>
      <c r="G12" s="28" t="s">
        <v>7</v>
      </c>
      <c r="H12" s="8">
        <v>8</v>
      </c>
      <c r="I12" s="4">
        <v>238</v>
      </c>
      <c r="J12" s="4">
        <v>44</v>
      </c>
      <c r="K12" s="16">
        <v>9</v>
      </c>
    </row>
    <row r="13" spans="1:24" ht="17">
      <c r="A13" s="27" t="s">
        <v>8</v>
      </c>
      <c r="B13" s="4">
        <v>0</v>
      </c>
      <c r="C13" s="4">
        <v>8</v>
      </c>
      <c r="D13" s="8">
        <v>4</v>
      </c>
      <c r="E13" s="4">
        <v>0</v>
      </c>
      <c r="F13" s="4"/>
      <c r="G13" s="28" t="s">
        <v>8</v>
      </c>
      <c r="H13" s="8">
        <v>7</v>
      </c>
      <c r="I13" s="4">
        <v>116</v>
      </c>
      <c r="J13" s="4">
        <v>15</v>
      </c>
      <c r="K13" s="16">
        <v>4</v>
      </c>
    </row>
    <row r="14" spans="1:24" ht="17">
      <c r="A14" s="27" t="s">
        <v>9</v>
      </c>
      <c r="B14" s="4">
        <v>0</v>
      </c>
      <c r="C14" s="4">
        <v>59</v>
      </c>
      <c r="D14" s="8">
        <v>14</v>
      </c>
      <c r="E14" s="4">
        <v>0</v>
      </c>
      <c r="F14" s="4"/>
      <c r="G14" s="28" t="s">
        <v>9</v>
      </c>
      <c r="H14" s="8">
        <v>38</v>
      </c>
      <c r="I14" s="4">
        <v>640</v>
      </c>
      <c r="J14" s="4">
        <v>51</v>
      </c>
      <c r="K14" s="16">
        <v>8</v>
      </c>
    </row>
    <row r="15" spans="1:24" ht="17">
      <c r="A15" s="27" t="s">
        <v>10</v>
      </c>
      <c r="B15" s="7">
        <f>B14/B12</f>
        <v>0</v>
      </c>
      <c r="C15" s="7">
        <f t="shared" ref="C15:K15" si="1">C14/C12</f>
        <v>2.8095238095238102</v>
      </c>
      <c r="D15" s="7">
        <f t="shared" si="1"/>
        <v>0.73684210526315796</v>
      </c>
      <c r="E15" s="7">
        <f t="shared" si="1"/>
        <v>0</v>
      </c>
      <c r="F15" s="4"/>
      <c r="G15" s="27" t="s">
        <v>10</v>
      </c>
      <c r="H15" s="7">
        <f t="shared" si="1"/>
        <v>4.75</v>
      </c>
      <c r="I15" s="7">
        <f t="shared" si="1"/>
        <v>2.6890756302521002</v>
      </c>
      <c r="J15" s="7">
        <f t="shared" si="1"/>
        <v>1.1590909090909101</v>
      </c>
      <c r="K15" s="17">
        <f t="shared" si="1"/>
        <v>0.88888888888888895</v>
      </c>
    </row>
    <row r="16" spans="1:24">
      <c r="A16" s="5"/>
      <c r="B16" s="4"/>
      <c r="C16" s="4"/>
      <c r="D16" s="4"/>
      <c r="E16" s="4"/>
      <c r="F16" s="4"/>
      <c r="G16" s="4"/>
      <c r="H16" s="4"/>
      <c r="I16" s="4"/>
      <c r="J16" s="4"/>
      <c r="K16" s="18"/>
    </row>
    <row r="17" spans="1:11" ht="19.5">
      <c r="A17" s="24" t="s">
        <v>13</v>
      </c>
      <c r="B17" s="25"/>
      <c r="C17" s="25"/>
      <c r="D17" s="25"/>
      <c r="E17" s="25"/>
      <c r="F17" s="4"/>
      <c r="G17" s="25" t="s">
        <v>14</v>
      </c>
      <c r="H17" s="25"/>
      <c r="I17" s="25"/>
      <c r="J17" s="25"/>
      <c r="K17" s="26"/>
    </row>
    <row r="18" spans="1:11" ht="17">
      <c r="A18" s="5"/>
      <c r="B18" s="6" t="s">
        <v>3</v>
      </c>
      <c r="C18" s="6" t="s">
        <v>4</v>
      </c>
      <c r="D18" s="6" t="s">
        <v>5</v>
      </c>
      <c r="E18" s="6" t="s">
        <v>6</v>
      </c>
      <c r="F18" s="4"/>
      <c r="G18" s="4"/>
      <c r="H18" s="6" t="s">
        <v>3</v>
      </c>
      <c r="I18" s="6" t="s">
        <v>4</v>
      </c>
      <c r="J18" s="14" t="s">
        <v>5</v>
      </c>
      <c r="K18" s="15" t="s">
        <v>6</v>
      </c>
    </row>
    <row r="19" spans="1:11" ht="17">
      <c r="A19" s="27" t="s">
        <v>7</v>
      </c>
      <c r="B19" s="4">
        <v>7</v>
      </c>
      <c r="C19" s="4">
        <v>28</v>
      </c>
      <c r="D19" s="4">
        <v>40</v>
      </c>
      <c r="E19" s="4">
        <v>4</v>
      </c>
      <c r="F19" s="4"/>
      <c r="G19" s="28" t="s">
        <v>7</v>
      </c>
      <c r="H19" s="4">
        <v>0</v>
      </c>
      <c r="I19" s="4">
        <v>27</v>
      </c>
      <c r="J19" s="4">
        <v>38</v>
      </c>
      <c r="K19" s="16">
        <v>8</v>
      </c>
    </row>
    <row r="20" spans="1:11" ht="17">
      <c r="A20" s="27" t="s">
        <v>8</v>
      </c>
      <c r="B20" s="4">
        <v>6</v>
      </c>
      <c r="C20" s="4">
        <v>26</v>
      </c>
      <c r="D20" s="4">
        <v>7</v>
      </c>
      <c r="E20" s="4">
        <v>0</v>
      </c>
      <c r="F20" s="4"/>
      <c r="G20" s="28" t="s">
        <v>8</v>
      </c>
      <c r="H20" s="4">
        <v>0</v>
      </c>
      <c r="I20" s="4">
        <v>22</v>
      </c>
      <c r="J20" s="4">
        <v>2</v>
      </c>
      <c r="K20" s="16">
        <v>2</v>
      </c>
    </row>
    <row r="21" spans="1:11" ht="17">
      <c r="A21" s="27" t="s">
        <v>9</v>
      </c>
      <c r="B21" s="4">
        <v>19</v>
      </c>
      <c r="C21" s="4">
        <v>78</v>
      </c>
      <c r="D21" s="4">
        <v>21</v>
      </c>
      <c r="E21" s="4">
        <v>0</v>
      </c>
      <c r="F21" s="4"/>
      <c r="G21" s="28" t="s">
        <v>9</v>
      </c>
      <c r="H21" s="4">
        <v>0</v>
      </c>
      <c r="I21" s="4">
        <v>96</v>
      </c>
      <c r="J21" s="4">
        <v>4</v>
      </c>
      <c r="K21" s="16">
        <v>4</v>
      </c>
    </row>
    <row r="22" spans="1:11" ht="17">
      <c r="A22" s="29" t="s">
        <v>10</v>
      </c>
      <c r="B22" s="9">
        <f>B21/B19</f>
        <v>2.71428571428571</v>
      </c>
      <c r="C22" s="9">
        <f t="shared" ref="C22:K22" si="2">C21/C19</f>
        <v>2.78571428571429</v>
      </c>
      <c r="D22" s="9">
        <f t="shared" si="2"/>
        <v>0.52500000000000002</v>
      </c>
      <c r="E22" s="9">
        <f t="shared" si="2"/>
        <v>0</v>
      </c>
      <c r="F22" s="10"/>
      <c r="G22" s="29" t="s">
        <v>10</v>
      </c>
      <c r="H22" s="9" t="e">
        <f t="shared" si="2"/>
        <v>#DIV/0!</v>
      </c>
      <c r="I22" s="9">
        <f t="shared" si="2"/>
        <v>3.5555555555555598</v>
      </c>
      <c r="J22" s="9">
        <f t="shared" si="2"/>
        <v>0.105263157894737</v>
      </c>
      <c r="K22" s="19">
        <f t="shared" si="2"/>
        <v>0.5</v>
      </c>
    </row>
    <row r="24" spans="1:11" ht="19.5">
      <c r="A24" s="11" t="s">
        <v>15</v>
      </c>
      <c r="B24" s="12"/>
      <c r="C24" s="12"/>
      <c r="D24" s="12"/>
      <c r="E24" s="12"/>
      <c r="F24" s="12"/>
      <c r="G24" s="12"/>
      <c r="H24" s="12"/>
      <c r="I24" s="12"/>
      <c r="J24" s="12"/>
      <c r="K24" s="20"/>
    </row>
    <row r="25" spans="1:11" ht="19.5">
      <c r="A25" s="24" t="s">
        <v>1</v>
      </c>
      <c r="B25" s="25"/>
      <c r="C25" s="25"/>
      <c r="D25" s="25"/>
      <c r="E25" s="25"/>
      <c r="F25" s="4"/>
      <c r="G25" s="25" t="s">
        <v>2</v>
      </c>
      <c r="H25" s="25"/>
      <c r="I25" s="25"/>
      <c r="J25" s="25"/>
      <c r="K25" s="26"/>
    </row>
    <row r="26" spans="1:11" ht="17">
      <c r="A26" s="5"/>
      <c r="B26" s="6" t="s">
        <v>3</v>
      </c>
      <c r="C26" s="6" t="s">
        <v>4</v>
      </c>
      <c r="D26" s="6" t="s">
        <v>5</v>
      </c>
      <c r="E26" s="6" t="s">
        <v>6</v>
      </c>
      <c r="F26" s="4"/>
      <c r="G26" s="4"/>
      <c r="H26" s="6" t="s">
        <v>3</v>
      </c>
      <c r="I26" s="6" t="s">
        <v>4</v>
      </c>
      <c r="J26" s="6" t="s">
        <v>5</v>
      </c>
      <c r="K26" s="15" t="s">
        <v>6</v>
      </c>
    </row>
    <row r="27" spans="1:11" ht="17">
      <c r="A27" s="27" t="s">
        <v>7</v>
      </c>
      <c r="B27" s="4">
        <v>7</v>
      </c>
      <c r="C27" s="4">
        <v>4</v>
      </c>
      <c r="D27" s="4">
        <v>0</v>
      </c>
      <c r="E27" s="4">
        <v>25</v>
      </c>
      <c r="F27" s="4"/>
      <c r="G27" s="28" t="s">
        <v>7</v>
      </c>
      <c r="H27" s="4">
        <v>1</v>
      </c>
      <c r="I27" s="4">
        <v>26</v>
      </c>
      <c r="J27" s="4">
        <v>15</v>
      </c>
      <c r="K27" s="21">
        <v>11</v>
      </c>
    </row>
    <row r="28" spans="1:11" ht="17">
      <c r="A28" s="27" t="s">
        <v>8</v>
      </c>
      <c r="B28" s="4">
        <v>2</v>
      </c>
      <c r="C28" s="4">
        <v>0</v>
      </c>
      <c r="D28" s="4">
        <v>0</v>
      </c>
      <c r="E28" s="4">
        <v>0</v>
      </c>
      <c r="F28" s="4"/>
      <c r="G28" s="28" t="s">
        <v>8</v>
      </c>
      <c r="H28" s="4">
        <v>0</v>
      </c>
      <c r="I28" s="4">
        <v>0</v>
      </c>
      <c r="J28" s="4">
        <v>0</v>
      </c>
      <c r="K28" s="21">
        <v>0</v>
      </c>
    </row>
    <row r="29" spans="1:11" ht="17">
      <c r="A29" s="27" t="s">
        <v>9</v>
      </c>
      <c r="B29" s="4">
        <v>2</v>
      </c>
      <c r="C29" s="4">
        <v>0</v>
      </c>
      <c r="D29" s="4">
        <v>0</v>
      </c>
      <c r="E29" s="4">
        <v>0</v>
      </c>
      <c r="F29" s="4"/>
      <c r="G29" s="28" t="s">
        <v>9</v>
      </c>
      <c r="H29" s="4">
        <v>0</v>
      </c>
      <c r="I29" s="4">
        <v>0</v>
      </c>
      <c r="J29" s="4">
        <v>0</v>
      </c>
      <c r="K29" s="21">
        <v>0</v>
      </c>
    </row>
    <row r="30" spans="1:11" ht="17">
      <c r="A30" s="27" t="s">
        <v>10</v>
      </c>
      <c r="B30" s="7">
        <f t="shared" ref="B30:E30" si="3">B29/B27</f>
        <v>0.28571428571428598</v>
      </c>
      <c r="C30" s="7">
        <f t="shared" si="3"/>
        <v>0</v>
      </c>
      <c r="D30" s="7" t="e">
        <f t="shared" si="3"/>
        <v>#DIV/0!</v>
      </c>
      <c r="E30" s="7">
        <f t="shared" si="3"/>
        <v>0</v>
      </c>
      <c r="F30" s="4"/>
      <c r="G30" s="27" t="s">
        <v>10</v>
      </c>
      <c r="H30" s="7">
        <f t="shared" ref="H30:K30" si="4">H29/H27</f>
        <v>0</v>
      </c>
      <c r="I30" s="7">
        <f t="shared" si="4"/>
        <v>0</v>
      </c>
      <c r="J30" s="7">
        <f t="shared" si="4"/>
        <v>0</v>
      </c>
      <c r="K30" s="17">
        <f t="shared" si="4"/>
        <v>0</v>
      </c>
    </row>
    <row r="31" spans="1:11">
      <c r="A31" s="5"/>
      <c r="B31" s="4"/>
      <c r="C31" s="4"/>
      <c r="D31" s="4"/>
      <c r="E31" s="4"/>
      <c r="F31" s="4"/>
      <c r="G31" s="4"/>
      <c r="H31" s="4"/>
      <c r="I31" s="4"/>
      <c r="J31" s="4"/>
      <c r="K31" s="22"/>
    </row>
    <row r="32" spans="1:11" ht="19.5">
      <c r="A32" s="24" t="s">
        <v>11</v>
      </c>
      <c r="B32" s="25"/>
      <c r="C32" s="25"/>
      <c r="D32" s="25"/>
      <c r="E32" s="25"/>
      <c r="F32" s="4"/>
      <c r="G32" s="25" t="s">
        <v>12</v>
      </c>
      <c r="H32" s="25"/>
      <c r="I32" s="25"/>
      <c r="J32" s="25"/>
      <c r="K32" s="26"/>
    </row>
    <row r="33" spans="1:11" ht="17">
      <c r="A33" s="5"/>
      <c r="B33" s="6" t="s">
        <v>3</v>
      </c>
      <c r="C33" s="6" t="s">
        <v>4</v>
      </c>
      <c r="D33" s="6" t="s">
        <v>5</v>
      </c>
      <c r="E33" s="6" t="s">
        <v>6</v>
      </c>
      <c r="F33" s="4"/>
      <c r="G33" s="4"/>
      <c r="H33" s="6" t="s">
        <v>3</v>
      </c>
      <c r="I33" s="6" t="s">
        <v>4</v>
      </c>
      <c r="J33" s="6" t="s">
        <v>5</v>
      </c>
      <c r="K33" s="15" t="s">
        <v>6</v>
      </c>
    </row>
    <row r="34" spans="1:11" ht="17">
      <c r="A34" s="27" t="s">
        <v>7</v>
      </c>
      <c r="B34" s="4">
        <v>1</v>
      </c>
      <c r="C34" s="4">
        <v>17</v>
      </c>
      <c r="D34" s="4">
        <v>19</v>
      </c>
      <c r="E34" s="4">
        <v>11</v>
      </c>
      <c r="F34" s="4"/>
      <c r="G34" s="28" t="s">
        <v>7</v>
      </c>
      <c r="H34" s="4">
        <v>10</v>
      </c>
      <c r="I34" s="4">
        <v>200</v>
      </c>
      <c r="J34" s="4">
        <v>44</v>
      </c>
      <c r="K34" s="21">
        <v>9</v>
      </c>
    </row>
    <row r="35" spans="1:11" ht="17">
      <c r="A35" s="27" t="s">
        <v>8</v>
      </c>
      <c r="B35" s="4">
        <v>0</v>
      </c>
      <c r="C35" s="4">
        <v>4</v>
      </c>
      <c r="D35" s="4">
        <v>1</v>
      </c>
      <c r="E35" s="4">
        <v>0</v>
      </c>
      <c r="F35" s="4"/>
      <c r="G35" s="28" t="s">
        <v>8</v>
      </c>
      <c r="H35" s="4">
        <v>8</v>
      </c>
      <c r="I35" s="4">
        <v>110</v>
      </c>
      <c r="J35" s="4">
        <v>0</v>
      </c>
      <c r="K35" s="21">
        <v>5</v>
      </c>
    </row>
    <row r="36" spans="1:11" ht="17">
      <c r="A36" s="27" t="s">
        <v>9</v>
      </c>
      <c r="B36" s="4">
        <v>0</v>
      </c>
      <c r="C36" s="4">
        <v>40</v>
      </c>
      <c r="D36" s="4">
        <v>2</v>
      </c>
      <c r="E36" s="4">
        <v>0</v>
      </c>
      <c r="F36" s="4"/>
      <c r="G36" s="28" t="s">
        <v>9</v>
      </c>
      <c r="H36" s="4">
        <v>38</v>
      </c>
      <c r="I36" s="4">
        <v>450</v>
      </c>
      <c r="J36" s="4">
        <v>0</v>
      </c>
      <c r="K36" s="21">
        <v>13</v>
      </c>
    </row>
    <row r="37" spans="1:11" ht="17">
      <c r="A37" s="27" t="s">
        <v>10</v>
      </c>
      <c r="B37" s="7">
        <f t="shared" ref="B37:E37" si="5">B36/B34</f>
        <v>0</v>
      </c>
      <c r="C37" s="7">
        <f t="shared" si="5"/>
        <v>2.3529411764705901</v>
      </c>
      <c r="D37" s="7">
        <f t="shared" si="5"/>
        <v>0.105263157894737</v>
      </c>
      <c r="E37" s="7">
        <f t="shared" si="5"/>
        <v>0</v>
      </c>
      <c r="F37" s="4"/>
      <c r="G37" s="27" t="s">
        <v>10</v>
      </c>
      <c r="H37" s="7">
        <f t="shared" ref="H37:K37" si="6">H36/H34</f>
        <v>3.8</v>
      </c>
      <c r="I37" s="7">
        <f t="shared" si="6"/>
        <v>2.25</v>
      </c>
      <c r="J37" s="7">
        <f t="shared" si="6"/>
        <v>0</v>
      </c>
      <c r="K37" s="17">
        <f t="shared" si="6"/>
        <v>1.44444444444444</v>
      </c>
    </row>
    <row r="38" spans="1:11">
      <c r="A38" s="5"/>
      <c r="B38" s="4"/>
      <c r="C38" s="4"/>
      <c r="D38" s="4"/>
      <c r="E38" s="4"/>
      <c r="F38" s="4"/>
      <c r="G38" s="4"/>
      <c r="H38" s="4"/>
      <c r="I38" s="4"/>
      <c r="J38" s="4"/>
      <c r="K38" s="22"/>
    </row>
    <row r="39" spans="1:11" ht="19.5">
      <c r="A39" s="24" t="s">
        <v>13</v>
      </c>
      <c r="B39" s="25"/>
      <c r="C39" s="25"/>
      <c r="D39" s="25"/>
      <c r="E39" s="25"/>
      <c r="F39" s="4"/>
      <c r="G39" s="25" t="s">
        <v>14</v>
      </c>
      <c r="H39" s="25"/>
      <c r="I39" s="25"/>
      <c r="J39" s="25"/>
      <c r="K39" s="26"/>
    </row>
    <row r="40" spans="1:11" ht="17">
      <c r="A40" s="5"/>
      <c r="B40" s="6" t="s">
        <v>3</v>
      </c>
      <c r="C40" s="6" t="s">
        <v>4</v>
      </c>
      <c r="D40" s="6" t="s">
        <v>5</v>
      </c>
      <c r="E40" s="6" t="s">
        <v>6</v>
      </c>
      <c r="F40" s="4"/>
      <c r="G40" s="4"/>
      <c r="H40" s="6" t="s">
        <v>3</v>
      </c>
      <c r="I40" s="6" t="s">
        <v>4</v>
      </c>
      <c r="J40" s="6" t="s">
        <v>5</v>
      </c>
      <c r="K40" s="15" t="s">
        <v>6</v>
      </c>
    </row>
    <row r="41" spans="1:11" ht="17">
      <c r="A41" s="27" t="s">
        <v>7</v>
      </c>
      <c r="B41" s="4">
        <v>8</v>
      </c>
      <c r="C41" s="4">
        <v>44</v>
      </c>
      <c r="D41" s="4">
        <v>29</v>
      </c>
      <c r="E41" s="4">
        <v>4</v>
      </c>
      <c r="F41" s="4"/>
      <c r="G41" s="28" t="s">
        <v>7</v>
      </c>
      <c r="H41" s="4">
        <v>0</v>
      </c>
      <c r="I41" s="4">
        <v>39</v>
      </c>
      <c r="J41" s="4">
        <v>42</v>
      </c>
      <c r="K41" s="21">
        <v>9</v>
      </c>
    </row>
    <row r="42" spans="1:11" ht="17">
      <c r="A42" s="27" t="s">
        <v>8</v>
      </c>
      <c r="B42" s="4">
        <v>6</v>
      </c>
      <c r="C42" s="4">
        <v>36</v>
      </c>
      <c r="D42" s="4">
        <v>0</v>
      </c>
      <c r="E42" s="4">
        <v>0</v>
      </c>
      <c r="F42" s="4"/>
      <c r="G42" s="28" t="s">
        <v>8</v>
      </c>
      <c r="H42" s="4">
        <v>0</v>
      </c>
      <c r="I42" s="4">
        <v>29</v>
      </c>
      <c r="J42" s="4">
        <v>9</v>
      </c>
      <c r="K42" s="21">
        <v>1</v>
      </c>
    </row>
    <row r="43" spans="1:11" ht="17">
      <c r="A43" s="27" t="s">
        <v>9</v>
      </c>
      <c r="B43" s="4">
        <v>34</v>
      </c>
      <c r="C43" s="4">
        <v>61</v>
      </c>
      <c r="D43" s="4">
        <v>0</v>
      </c>
      <c r="E43" s="4">
        <v>0</v>
      </c>
      <c r="F43" s="4"/>
      <c r="G43" s="28" t="s">
        <v>9</v>
      </c>
      <c r="H43" s="4">
        <v>0</v>
      </c>
      <c r="I43" s="4">
        <v>14</v>
      </c>
      <c r="J43" s="4">
        <v>69</v>
      </c>
      <c r="K43" s="21">
        <v>6</v>
      </c>
    </row>
    <row r="44" spans="1:11" ht="17">
      <c r="A44" s="29" t="s">
        <v>10</v>
      </c>
      <c r="B44" s="9">
        <f t="shared" ref="B44:E44" si="7">B43/B41</f>
        <v>4.25</v>
      </c>
      <c r="C44" s="9">
        <f t="shared" si="7"/>
        <v>1.38636363636364</v>
      </c>
      <c r="D44" s="9">
        <f t="shared" si="7"/>
        <v>0</v>
      </c>
      <c r="E44" s="9">
        <f t="shared" si="7"/>
        <v>0</v>
      </c>
      <c r="F44" s="10"/>
      <c r="G44" s="29" t="s">
        <v>10</v>
      </c>
      <c r="H44" s="9" t="e">
        <f t="shared" ref="H44:K44" si="8">H43/H41</f>
        <v>#DIV/0!</v>
      </c>
      <c r="I44" s="9">
        <f t="shared" si="8"/>
        <v>0.35897435897435898</v>
      </c>
      <c r="J44" s="9">
        <f t="shared" si="8"/>
        <v>1.6428571428571399</v>
      </c>
      <c r="K44" s="19">
        <f t="shared" si="8"/>
        <v>0.66666666666666696</v>
      </c>
    </row>
    <row r="46" spans="1:11" ht="19.5">
      <c r="A46" s="11" t="s">
        <v>16</v>
      </c>
      <c r="B46" s="12"/>
      <c r="C46" s="12"/>
      <c r="D46" s="12"/>
      <c r="E46" s="12"/>
      <c r="F46" s="12"/>
      <c r="G46" s="12"/>
      <c r="H46" s="12"/>
      <c r="I46" s="12"/>
      <c r="J46" s="12"/>
      <c r="K46" s="20"/>
    </row>
    <row r="47" spans="1:11" ht="19.5">
      <c r="A47" s="24" t="s">
        <v>1</v>
      </c>
      <c r="B47" s="25"/>
      <c r="C47" s="25"/>
      <c r="D47" s="25"/>
      <c r="E47" s="25"/>
      <c r="F47" s="4"/>
      <c r="G47" s="25" t="s">
        <v>2</v>
      </c>
      <c r="H47" s="25"/>
      <c r="I47" s="25"/>
      <c r="J47" s="25"/>
      <c r="K47" s="26"/>
    </row>
    <row r="48" spans="1:11" ht="17">
      <c r="A48" s="5"/>
      <c r="B48" s="6" t="s">
        <v>3</v>
      </c>
      <c r="C48" s="6" t="s">
        <v>4</v>
      </c>
      <c r="D48" s="6" t="s">
        <v>5</v>
      </c>
      <c r="E48" s="6" t="s">
        <v>6</v>
      </c>
      <c r="F48" s="4"/>
      <c r="G48" s="4"/>
      <c r="H48" s="6" t="s">
        <v>3</v>
      </c>
      <c r="I48" s="6" t="s">
        <v>4</v>
      </c>
      <c r="J48" s="6" t="s">
        <v>5</v>
      </c>
      <c r="K48" s="15" t="s">
        <v>6</v>
      </c>
    </row>
    <row r="49" spans="1:11" ht="17">
      <c r="A49" s="27" t="s">
        <v>7</v>
      </c>
      <c r="B49" s="4">
        <v>6</v>
      </c>
      <c r="C49" s="4">
        <v>4</v>
      </c>
      <c r="D49" s="4">
        <v>0</v>
      </c>
      <c r="E49" s="4">
        <v>25</v>
      </c>
      <c r="F49" s="4"/>
      <c r="G49" s="28" t="s">
        <v>7</v>
      </c>
      <c r="H49" s="4">
        <v>1</v>
      </c>
      <c r="I49" s="4">
        <v>27</v>
      </c>
      <c r="J49" s="4">
        <v>15</v>
      </c>
      <c r="K49" s="21">
        <v>10</v>
      </c>
    </row>
    <row r="50" spans="1:11" ht="17">
      <c r="A50" s="27" t="s">
        <v>8</v>
      </c>
      <c r="B50" s="4">
        <v>1</v>
      </c>
      <c r="C50" s="4">
        <v>0</v>
      </c>
      <c r="D50" s="4">
        <v>0</v>
      </c>
      <c r="E50" s="4">
        <v>0</v>
      </c>
      <c r="F50" s="4"/>
      <c r="G50" s="28" t="s">
        <v>8</v>
      </c>
      <c r="H50" s="4">
        <v>0</v>
      </c>
      <c r="I50" s="4">
        <v>0</v>
      </c>
      <c r="J50" s="4">
        <v>0</v>
      </c>
      <c r="K50" s="21">
        <v>0</v>
      </c>
    </row>
    <row r="51" spans="1:11" ht="17">
      <c r="A51" s="27" t="s">
        <v>9</v>
      </c>
      <c r="B51" s="4">
        <v>12</v>
      </c>
      <c r="C51" s="4">
        <v>0</v>
      </c>
      <c r="D51" s="4">
        <v>0</v>
      </c>
      <c r="E51" s="4">
        <v>0</v>
      </c>
      <c r="F51" s="4"/>
      <c r="G51" s="28" t="s">
        <v>9</v>
      </c>
      <c r="H51" s="4">
        <v>0</v>
      </c>
      <c r="I51" s="4">
        <v>0</v>
      </c>
      <c r="J51" s="4">
        <v>0</v>
      </c>
      <c r="K51" s="21">
        <v>0</v>
      </c>
    </row>
    <row r="52" spans="1:11" ht="17">
      <c r="A52" s="27" t="s">
        <v>10</v>
      </c>
      <c r="B52" s="7">
        <f>B51/B49</f>
        <v>2</v>
      </c>
      <c r="C52" s="7">
        <f t="shared" ref="C52:K52" si="9">C51/C49</f>
        <v>0</v>
      </c>
      <c r="D52" s="7" t="e">
        <f t="shared" si="9"/>
        <v>#DIV/0!</v>
      </c>
      <c r="E52" s="7">
        <f t="shared" si="9"/>
        <v>0</v>
      </c>
      <c r="F52" s="4"/>
      <c r="G52" s="27" t="s">
        <v>10</v>
      </c>
      <c r="H52" s="7">
        <f t="shared" si="9"/>
        <v>0</v>
      </c>
      <c r="I52" s="7">
        <f t="shared" si="9"/>
        <v>0</v>
      </c>
      <c r="J52" s="7">
        <f t="shared" si="9"/>
        <v>0</v>
      </c>
      <c r="K52" s="17">
        <f t="shared" si="9"/>
        <v>0</v>
      </c>
    </row>
    <row r="53" spans="1:11">
      <c r="A53" s="5"/>
      <c r="B53" s="4"/>
      <c r="C53" s="4"/>
      <c r="D53" s="4"/>
      <c r="E53" s="4"/>
      <c r="F53" s="4"/>
      <c r="G53" s="4"/>
      <c r="H53" s="4"/>
      <c r="I53" s="4"/>
      <c r="J53" s="4"/>
      <c r="K53" s="22"/>
    </row>
    <row r="54" spans="1:11" ht="19.5">
      <c r="A54" s="24" t="s">
        <v>11</v>
      </c>
      <c r="B54" s="25"/>
      <c r="C54" s="25"/>
      <c r="D54" s="25"/>
      <c r="E54" s="25"/>
      <c r="F54" s="4"/>
      <c r="G54" s="25" t="s">
        <v>12</v>
      </c>
      <c r="H54" s="25"/>
      <c r="I54" s="25"/>
      <c r="J54" s="25"/>
      <c r="K54" s="26"/>
    </row>
    <row r="55" spans="1:11" ht="17">
      <c r="A55" s="5"/>
      <c r="B55" s="6" t="s">
        <v>3</v>
      </c>
      <c r="C55" s="6" t="s">
        <v>4</v>
      </c>
      <c r="D55" s="6" t="s">
        <v>5</v>
      </c>
      <c r="E55" s="6" t="s">
        <v>6</v>
      </c>
      <c r="F55" s="4"/>
      <c r="G55" s="4"/>
      <c r="H55" s="6" t="s">
        <v>3</v>
      </c>
      <c r="I55" s="6" t="s">
        <v>4</v>
      </c>
      <c r="J55" s="6" t="s">
        <v>5</v>
      </c>
      <c r="K55" s="15" t="s">
        <v>6</v>
      </c>
    </row>
    <row r="56" spans="1:11" ht="17">
      <c r="A56" s="27" t="s">
        <v>7</v>
      </c>
      <c r="B56" s="4">
        <v>1</v>
      </c>
      <c r="C56" s="4">
        <v>18</v>
      </c>
      <c r="D56" s="4">
        <v>20</v>
      </c>
      <c r="E56" s="4">
        <v>12</v>
      </c>
      <c r="F56" s="4"/>
      <c r="G56" s="28" t="s">
        <v>7</v>
      </c>
      <c r="H56" s="4">
        <v>12</v>
      </c>
      <c r="I56" s="4">
        <v>230</v>
      </c>
      <c r="J56" s="4">
        <v>40</v>
      </c>
      <c r="K56" s="21">
        <v>9</v>
      </c>
    </row>
    <row r="57" spans="1:11" ht="17">
      <c r="A57" s="27" t="s">
        <v>8</v>
      </c>
      <c r="B57" s="4">
        <v>0</v>
      </c>
      <c r="C57" s="4">
        <v>0</v>
      </c>
      <c r="D57" s="4">
        <v>1</v>
      </c>
      <c r="E57" s="4">
        <v>0</v>
      </c>
      <c r="F57" s="4"/>
      <c r="G57" s="28" t="s">
        <v>8</v>
      </c>
      <c r="H57" s="4">
        <v>9</v>
      </c>
      <c r="I57" s="4">
        <v>90</v>
      </c>
      <c r="J57" s="4">
        <v>0</v>
      </c>
      <c r="K57" s="21">
        <v>3</v>
      </c>
    </row>
    <row r="58" spans="1:11" ht="17">
      <c r="A58" s="27" t="s">
        <v>9</v>
      </c>
      <c r="B58" s="4">
        <v>0</v>
      </c>
      <c r="C58" s="4">
        <v>0</v>
      </c>
      <c r="D58" s="4">
        <v>2</v>
      </c>
      <c r="E58" s="4">
        <v>0</v>
      </c>
      <c r="F58" s="4"/>
      <c r="G58" s="28" t="s">
        <v>9</v>
      </c>
      <c r="H58" s="4">
        <v>37</v>
      </c>
      <c r="I58" s="4">
        <v>230</v>
      </c>
      <c r="J58" s="4">
        <v>0</v>
      </c>
      <c r="K58" s="21">
        <v>18</v>
      </c>
    </row>
    <row r="59" spans="1:11" ht="17">
      <c r="A59" s="27" t="s">
        <v>10</v>
      </c>
      <c r="B59" s="7">
        <f>B58/B56</f>
        <v>0</v>
      </c>
      <c r="C59" s="7">
        <f t="shared" ref="C59:K59" si="10">C58/C56</f>
        <v>0</v>
      </c>
      <c r="D59" s="7">
        <f t="shared" si="10"/>
        <v>0.1</v>
      </c>
      <c r="E59" s="7">
        <f t="shared" si="10"/>
        <v>0</v>
      </c>
      <c r="F59" s="4"/>
      <c r="G59" s="27" t="s">
        <v>10</v>
      </c>
      <c r="H59" s="7">
        <f t="shared" si="10"/>
        <v>3.0833333333333299</v>
      </c>
      <c r="I59" s="7">
        <f t="shared" si="10"/>
        <v>1</v>
      </c>
      <c r="J59" s="7">
        <f t="shared" si="10"/>
        <v>0</v>
      </c>
      <c r="K59" s="17">
        <f t="shared" si="10"/>
        <v>2</v>
      </c>
    </row>
    <row r="60" spans="1:11">
      <c r="A60" s="5"/>
      <c r="B60" s="4"/>
      <c r="C60" s="4"/>
      <c r="D60" s="4"/>
      <c r="E60" s="4"/>
      <c r="F60" s="4"/>
      <c r="G60" s="4"/>
      <c r="H60" s="4"/>
      <c r="I60" s="4"/>
      <c r="J60" s="4"/>
      <c r="K60" s="22"/>
    </row>
    <row r="61" spans="1:11" ht="19.5">
      <c r="A61" s="24" t="s">
        <v>13</v>
      </c>
      <c r="B61" s="25"/>
      <c r="C61" s="25"/>
      <c r="D61" s="25"/>
      <c r="E61" s="25"/>
      <c r="F61" s="4"/>
      <c r="G61" s="25" t="s">
        <v>14</v>
      </c>
      <c r="H61" s="25"/>
      <c r="I61" s="25"/>
      <c r="J61" s="25"/>
      <c r="K61" s="26"/>
    </row>
    <row r="62" spans="1:11" ht="17">
      <c r="A62" s="5"/>
      <c r="B62" s="6" t="s">
        <v>3</v>
      </c>
      <c r="C62" s="6" t="s">
        <v>4</v>
      </c>
      <c r="D62" s="6" t="s">
        <v>5</v>
      </c>
      <c r="E62" s="6" t="s">
        <v>6</v>
      </c>
      <c r="F62" s="4"/>
      <c r="G62" s="4"/>
      <c r="H62" s="6" t="s">
        <v>3</v>
      </c>
      <c r="I62" s="6" t="s">
        <v>4</v>
      </c>
      <c r="J62" s="6" t="s">
        <v>5</v>
      </c>
      <c r="K62" s="15" t="s">
        <v>6</v>
      </c>
    </row>
    <row r="63" spans="1:11" ht="17">
      <c r="A63" s="27" t="s">
        <v>7</v>
      </c>
      <c r="B63" s="4">
        <v>7</v>
      </c>
      <c r="C63" s="4">
        <v>38</v>
      </c>
      <c r="D63" s="4">
        <v>16</v>
      </c>
      <c r="E63" s="4">
        <v>4</v>
      </c>
      <c r="F63" s="4"/>
      <c r="G63" s="28" t="s">
        <v>7</v>
      </c>
      <c r="H63" s="4">
        <v>0</v>
      </c>
      <c r="I63" s="4">
        <v>28</v>
      </c>
      <c r="J63" s="4">
        <v>47</v>
      </c>
      <c r="K63" s="21">
        <v>8</v>
      </c>
    </row>
    <row r="64" spans="1:11" ht="17">
      <c r="A64" s="27" t="s">
        <v>8</v>
      </c>
      <c r="B64" s="4">
        <v>5</v>
      </c>
      <c r="C64" s="4">
        <v>26</v>
      </c>
      <c r="D64" s="4">
        <v>0</v>
      </c>
      <c r="E64" s="4">
        <v>0</v>
      </c>
      <c r="F64" s="4"/>
      <c r="G64" s="28" t="s">
        <v>8</v>
      </c>
      <c r="H64" s="4">
        <v>0</v>
      </c>
      <c r="I64" s="4">
        <v>22</v>
      </c>
      <c r="J64" s="4">
        <v>8</v>
      </c>
      <c r="K64" s="21">
        <v>0</v>
      </c>
    </row>
    <row r="65" spans="1:11" ht="17">
      <c r="A65" s="27" t="s">
        <v>9</v>
      </c>
      <c r="B65" s="4">
        <v>21</v>
      </c>
      <c r="C65" s="4">
        <v>116</v>
      </c>
      <c r="D65" s="4">
        <v>0</v>
      </c>
      <c r="E65" s="4">
        <v>0</v>
      </c>
      <c r="F65" s="4"/>
      <c r="G65" s="28" t="s">
        <v>9</v>
      </c>
      <c r="H65" s="4">
        <v>0</v>
      </c>
      <c r="I65" s="4">
        <v>82</v>
      </c>
      <c r="J65" s="4">
        <v>38</v>
      </c>
      <c r="K65" s="21">
        <v>0</v>
      </c>
    </row>
    <row r="66" spans="1:11" ht="17">
      <c r="A66" s="29" t="s">
        <v>10</v>
      </c>
      <c r="B66" s="9">
        <f>B65/B63</f>
        <v>3</v>
      </c>
      <c r="C66" s="9">
        <f t="shared" ref="C66:K66" si="11">C65/C63</f>
        <v>3.0526315789473699</v>
      </c>
      <c r="D66" s="9">
        <f t="shared" si="11"/>
        <v>0</v>
      </c>
      <c r="E66" s="9">
        <f t="shared" si="11"/>
        <v>0</v>
      </c>
      <c r="F66" s="10"/>
      <c r="G66" s="29" t="s">
        <v>10</v>
      </c>
      <c r="H66" s="9" t="e">
        <f t="shared" si="11"/>
        <v>#DIV/0!</v>
      </c>
      <c r="I66" s="9">
        <f t="shared" si="11"/>
        <v>2.9285714285714302</v>
      </c>
      <c r="J66" s="9">
        <f t="shared" si="11"/>
        <v>0.80851063829787195</v>
      </c>
      <c r="K66" s="19">
        <f t="shared" si="11"/>
        <v>0</v>
      </c>
    </row>
  </sheetData>
  <mergeCells count="19">
    <mergeCell ref="A61:E61"/>
    <mergeCell ref="G61:K61"/>
    <mergeCell ref="A39:E39"/>
    <mergeCell ref="G39:K39"/>
    <mergeCell ref="A47:E47"/>
    <mergeCell ref="G47:K47"/>
    <mergeCell ref="A54:E54"/>
    <mergeCell ref="G54:K54"/>
    <mergeCell ref="A17:E17"/>
    <mergeCell ref="G17:K17"/>
    <mergeCell ref="A25:E25"/>
    <mergeCell ref="G25:K25"/>
    <mergeCell ref="A32:E32"/>
    <mergeCell ref="G32:K32"/>
    <mergeCell ref="A1:X1"/>
    <mergeCell ref="A3:E3"/>
    <mergeCell ref="G3:K3"/>
    <mergeCell ref="A10:E10"/>
    <mergeCell ref="G10:K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79501</cp:lastModifiedBy>
  <dcterms:created xsi:type="dcterms:W3CDTF">2023-05-12T11:15:00Z</dcterms:created>
  <dcterms:modified xsi:type="dcterms:W3CDTF">2026-02-19T09:11:45Z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336758B5D7FE413EAEEE83A71B0A3B7A_12</vt:lpwstr>
  </property>
</Properties>
</file>