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Q7" i="1"/>
  <c r="F8" i="1"/>
  <c r="Q8" i="1"/>
  <c r="F9" i="1"/>
  <c r="Q9" i="1"/>
  <c r="F10" i="1"/>
  <c r="Q10" i="1"/>
  <c r="Q22" i="1" s="1"/>
  <c r="F11" i="1"/>
  <c r="Q11" i="1"/>
  <c r="F12" i="1"/>
  <c r="Q12" i="1"/>
  <c r="F13" i="1"/>
  <c r="Q13" i="1"/>
  <c r="F14" i="1"/>
  <c r="Q14" i="1"/>
  <c r="F15" i="1"/>
  <c r="Q15" i="1"/>
  <c r="F16" i="1"/>
  <c r="Q16" i="1"/>
  <c r="Q24" i="1" l="1"/>
  <c r="Q26" i="1"/>
</calcChain>
</file>

<file path=xl/sharedStrings.xml><?xml version="1.0" encoding="utf-8"?>
<sst xmlns="http://schemas.openxmlformats.org/spreadsheetml/2006/main" count="41" uniqueCount="24">
  <si>
    <t>Cornwall Glass Plymouth Trade Counter</t>
  </si>
  <si>
    <t>Customer Ref: Jones</t>
  </si>
  <si>
    <t>Product</t>
  </si>
  <si>
    <t>Quanity</t>
  </si>
  <si>
    <t>Width in mm</t>
  </si>
  <si>
    <t>X</t>
  </si>
  <si>
    <t>Height in mm</t>
  </si>
  <si>
    <t>M/2</t>
  </si>
  <si>
    <t>Price</t>
  </si>
  <si>
    <t>Corner Notch's</t>
  </si>
  <si>
    <t>Cut - Outs</t>
  </si>
  <si>
    <t>Holes 6 -15 mm</t>
  </si>
  <si>
    <t>Holes 16 -38 mm</t>
  </si>
  <si>
    <t>Total</t>
  </si>
  <si>
    <t>quanity</t>
  </si>
  <si>
    <t>price</t>
  </si>
  <si>
    <t>6mm White Toughened, Lacobel, P/A/R</t>
  </si>
  <si>
    <t>6mm Black Toughened, Lacobel, P/A/R</t>
  </si>
  <si>
    <t>6mm Light Grey Toughened, Lacobel, P/A/R</t>
  </si>
  <si>
    <t>6mm Dark Grey Toughened, Lacobel, P/A/R</t>
  </si>
  <si>
    <t>Template Charge</t>
  </si>
  <si>
    <t>Silicone</t>
  </si>
  <si>
    <t>Vat 20%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</si>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</sst>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£&quot;#,##0.00"/>
    <numFmt numFmtId="165" formatCode="0.000"/>
  </numFmts>
  <fonts count="4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b/>
      <sz val="11"/>
      <color indexed="8"/>
      <name val="等线"/>
      <family val="3"/>
      <charset val="134"/>
    </font>
    <font>
      <b/>
      <sz val="10"/>
      <color indexed="8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vertical="center"/>
    </xf>
    <xf numFmtId="0" fontId="2" fillId="4" borderId="0" xfId="0" applyNumberFormat="1" applyFont="1" applyFill="1" applyBorder="1" applyAlignment="1" applyProtection="1">
      <alignment vertical="center"/>
    </xf>
    <xf numFmtId="0" fontId="2" fillId="3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/>
    <xf numFmtId="164" fontId="2" fillId="0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/>
    </xf>
    <xf numFmtId="0" fontId="2" fillId="3" borderId="1" xfId="0" applyNumberFormat="1" applyFont="1" applyFill="1" applyBorder="1" applyAlignment="1" applyProtection="1">
      <alignment horizontal="center" wrapText="1"/>
    </xf>
    <xf numFmtId="164" fontId="3" fillId="2" borderId="1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165" fontId="2" fillId="0" borderId="1" xfId="0" applyNumberFormat="1" applyFont="1" applyFill="1" applyBorder="1" applyAlignment="1" applyProtection="1">
      <alignment horizontal="center"/>
    </xf>
    <xf numFmtId="2" fontId="2" fillId="5" borderId="1" xfId="0" applyNumberFormat="1" applyFont="1" applyFill="1" applyBorder="1" applyAlignment="1" applyProtection="1">
      <alignment horizontal="center"/>
    </xf>
    <xf numFmtId="2" fontId="2" fillId="0" borderId="1" xfId="0" applyNumberFormat="1" applyFont="1" applyFill="1" applyBorder="1" applyAlignment="1" applyProtection="1">
      <alignment horizontal="center"/>
    </xf>
    <xf numFmtId="164" fontId="2" fillId="0" borderId="1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left" wrapText="1"/>
    </xf>
    <xf numFmtId="0" fontId="2" fillId="0" borderId="1" xfId="0" applyNumberFormat="1" applyFont="1" applyFill="1" applyBorder="1" applyAlignment="1" applyProtection="1">
      <alignment horizontal="left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left" vertical="center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0" borderId="1" xfId="0" applyNumberFormat="1" applyFont="1" applyFill="1" applyBorder="1" applyAlignment="1" applyProtection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tabSelected="1" zoomScale="70" zoomScaleNormal="70" workbookViewId="0">
      <selection activeCell="O26" sqref="O26"/>
    </sheetView>
  </sheetViews>
  <sheetFormatPr defaultRowHeight="14.5"/>
  <cols>
    <col min="1" max="1" width="39.26953125" customWidth="1"/>
    <col min="2" max="2" width="12.36328125" customWidth="1"/>
    <col min="3" max="3" width="15.08984375" customWidth="1"/>
    <col min="9" max="9" width="14.08984375" customWidth="1"/>
    <col min="13" max="13" width="9.7265625" customWidth="1"/>
    <col min="15" max="15" width="10.6328125" customWidth="1"/>
    <col min="17" max="17" width="12.6328125" customWidth="1"/>
  </cols>
  <sheetData>
    <row r="1" spans="1:17">
      <c r="A1" s="4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3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4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3"/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1"/>
      <c r="N4" s="1"/>
      <c r="O4" s="1"/>
      <c r="P4" s="1"/>
      <c r="Q4" s="1"/>
    </row>
    <row r="5" spans="1:17" ht="14" customHeight="1">
      <c r="A5" s="19" t="s">
        <v>2</v>
      </c>
      <c r="B5" s="20" t="s">
        <v>3</v>
      </c>
      <c r="C5" s="20" t="s">
        <v>4</v>
      </c>
      <c r="D5" s="20" t="s">
        <v>5</v>
      </c>
      <c r="E5" s="20" t="s">
        <v>6</v>
      </c>
      <c r="F5" s="20" t="s">
        <v>7</v>
      </c>
      <c r="G5" s="20" t="s">
        <v>8</v>
      </c>
      <c r="H5" s="21" t="s">
        <v>9</v>
      </c>
      <c r="I5" s="21"/>
      <c r="J5" s="21" t="s">
        <v>10</v>
      </c>
      <c r="K5" s="21"/>
      <c r="L5" s="21" t="s">
        <v>11</v>
      </c>
      <c r="M5" s="21"/>
      <c r="N5" s="21" t="s">
        <v>12</v>
      </c>
      <c r="O5" s="21"/>
      <c r="P5" s="6"/>
      <c r="Q5" s="18" t="s">
        <v>13</v>
      </c>
    </row>
    <row r="6" spans="1:17">
      <c r="A6" s="19"/>
      <c r="B6" s="20"/>
      <c r="C6" s="20"/>
      <c r="D6" s="20"/>
      <c r="E6" s="20"/>
      <c r="F6" s="20"/>
      <c r="G6" s="20"/>
      <c r="H6" s="10" t="s">
        <v>14</v>
      </c>
      <c r="I6" s="10" t="s">
        <v>15</v>
      </c>
      <c r="J6" s="10" t="s">
        <v>14</v>
      </c>
      <c r="K6" s="10" t="s">
        <v>15</v>
      </c>
      <c r="L6" s="10" t="s">
        <v>14</v>
      </c>
      <c r="M6" s="10" t="s">
        <v>15</v>
      </c>
      <c r="N6" s="10" t="s">
        <v>14</v>
      </c>
      <c r="O6" s="10" t="s">
        <v>15</v>
      </c>
      <c r="P6" s="6"/>
      <c r="Q6" s="18"/>
    </row>
    <row r="7" spans="1:17" ht="30" customHeight="1">
      <c r="A7" s="11" t="s">
        <v>16</v>
      </c>
      <c r="B7" s="8">
        <v>1</v>
      </c>
      <c r="C7" s="12">
        <v>0.6</v>
      </c>
      <c r="D7" s="12" t="s">
        <v>5</v>
      </c>
      <c r="E7" s="12">
        <v>0.25</v>
      </c>
      <c r="F7" s="13">
        <f t="shared" ref="F7:F16" si="0">C7*E7</f>
        <v>0.15</v>
      </c>
      <c r="G7" s="14">
        <v>20.475000000000001</v>
      </c>
      <c r="H7" s="8">
        <v>2</v>
      </c>
      <c r="I7" s="7">
        <v>65</v>
      </c>
      <c r="J7" s="8"/>
      <c r="K7" s="7">
        <v>0</v>
      </c>
      <c r="L7" s="8">
        <v>1</v>
      </c>
      <c r="M7" s="15">
        <v>4</v>
      </c>
      <c r="N7" s="8">
        <v>1</v>
      </c>
      <c r="O7" s="15">
        <v>8</v>
      </c>
      <c r="P7" s="6"/>
      <c r="Q7" s="7">
        <f t="shared" ref="Q7:Q16" si="1">O7+M7+K7+I7+G7</f>
        <v>97.474999999999994</v>
      </c>
    </row>
    <row r="8" spans="1:17" ht="37" customHeight="1">
      <c r="A8" s="11" t="s">
        <v>17</v>
      </c>
      <c r="B8" s="8">
        <v>1</v>
      </c>
      <c r="C8" s="12">
        <v>1.2</v>
      </c>
      <c r="D8" s="6" t="s">
        <v>5</v>
      </c>
      <c r="E8" s="12">
        <v>0.8</v>
      </c>
      <c r="F8" s="13">
        <f t="shared" si="0"/>
        <v>0.96</v>
      </c>
      <c r="G8" s="14">
        <v>131.04</v>
      </c>
      <c r="H8" s="8">
        <v>1</v>
      </c>
      <c r="I8" s="7">
        <v>32.5</v>
      </c>
      <c r="J8" s="8">
        <v>2</v>
      </c>
      <c r="K8" s="7">
        <v>100</v>
      </c>
      <c r="L8" s="8">
        <v>2</v>
      </c>
      <c r="M8" s="15">
        <v>8</v>
      </c>
      <c r="N8" s="8"/>
      <c r="O8" s="15">
        <v>0</v>
      </c>
      <c r="P8" s="6"/>
      <c r="Q8" s="7">
        <f t="shared" si="1"/>
        <v>271.53999999999996</v>
      </c>
    </row>
    <row r="9" spans="1:17" ht="34.5" customHeight="1">
      <c r="A9" s="11" t="s">
        <v>18</v>
      </c>
      <c r="B9" s="8">
        <v>1</v>
      </c>
      <c r="C9" s="12">
        <v>0.6</v>
      </c>
      <c r="D9" s="6" t="s">
        <v>5</v>
      </c>
      <c r="E9" s="12">
        <v>0.3</v>
      </c>
      <c r="F9" s="13">
        <f t="shared" si="0"/>
        <v>0.18</v>
      </c>
      <c r="G9" s="14">
        <v>24.57</v>
      </c>
      <c r="H9" s="8">
        <v>3</v>
      </c>
      <c r="I9" s="7">
        <v>97.5</v>
      </c>
      <c r="J9" s="8">
        <v>1</v>
      </c>
      <c r="K9" s="7">
        <v>50</v>
      </c>
      <c r="L9" s="8">
        <v>3</v>
      </c>
      <c r="M9" s="15">
        <v>12</v>
      </c>
      <c r="N9" s="8">
        <v>1</v>
      </c>
      <c r="O9" s="15">
        <v>8</v>
      </c>
      <c r="P9" s="6"/>
      <c r="Q9" s="7">
        <f t="shared" si="1"/>
        <v>192.07</v>
      </c>
    </row>
    <row r="10" spans="1:17" ht="29" customHeight="1">
      <c r="A10" s="11" t="s">
        <v>19</v>
      </c>
      <c r="B10" s="8"/>
      <c r="C10" s="12"/>
      <c r="D10" s="6" t="s">
        <v>5</v>
      </c>
      <c r="E10" s="12"/>
      <c r="F10" s="13">
        <f t="shared" si="0"/>
        <v>0</v>
      </c>
      <c r="G10" s="14">
        <v>0</v>
      </c>
      <c r="H10" s="8"/>
      <c r="I10" s="7">
        <v>0</v>
      </c>
      <c r="J10" s="8"/>
      <c r="K10" s="7">
        <v>0</v>
      </c>
      <c r="L10" s="8"/>
      <c r="M10" s="15">
        <v>0</v>
      </c>
      <c r="N10" s="8"/>
      <c r="O10" s="15">
        <v>0</v>
      </c>
      <c r="P10" s="6"/>
      <c r="Q10" s="7">
        <f t="shared" si="1"/>
        <v>0</v>
      </c>
    </row>
    <row r="11" spans="1:17">
      <c r="A11" s="16"/>
      <c r="B11" s="8"/>
      <c r="C11" s="12"/>
      <c r="D11" s="8" t="s">
        <v>5</v>
      </c>
      <c r="E11" s="12"/>
      <c r="F11" s="13">
        <f t="shared" si="0"/>
        <v>0</v>
      </c>
      <c r="G11" s="14">
        <v>0</v>
      </c>
      <c r="H11" s="8"/>
      <c r="I11" s="7">
        <v>0</v>
      </c>
      <c r="J11" s="8"/>
      <c r="K11" s="7">
        <v>0</v>
      </c>
      <c r="L11" s="8"/>
      <c r="M11" s="15">
        <v>0</v>
      </c>
      <c r="N11" s="8"/>
      <c r="O11" s="15">
        <v>0</v>
      </c>
      <c r="P11" s="6"/>
      <c r="Q11" s="7">
        <f t="shared" si="1"/>
        <v>0</v>
      </c>
    </row>
    <row r="12" spans="1:17">
      <c r="A12" s="16"/>
      <c r="B12" s="8"/>
      <c r="C12" s="12"/>
      <c r="D12" s="8" t="s">
        <v>5</v>
      </c>
      <c r="E12" s="12"/>
      <c r="F12" s="13">
        <f t="shared" si="0"/>
        <v>0</v>
      </c>
      <c r="G12" s="14">
        <v>0</v>
      </c>
      <c r="H12" s="8"/>
      <c r="I12" s="7">
        <v>0</v>
      </c>
      <c r="J12" s="8"/>
      <c r="K12" s="7">
        <v>0</v>
      </c>
      <c r="L12" s="8"/>
      <c r="M12" s="15">
        <v>0</v>
      </c>
      <c r="N12" s="8"/>
      <c r="O12" s="15">
        <v>0</v>
      </c>
      <c r="P12" s="6"/>
      <c r="Q12" s="7">
        <f t="shared" si="1"/>
        <v>0</v>
      </c>
    </row>
    <row r="13" spans="1:17">
      <c r="A13" s="16"/>
      <c r="B13" s="8"/>
      <c r="C13" s="12"/>
      <c r="D13" s="8" t="s">
        <v>5</v>
      </c>
      <c r="E13" s="12"/>
      <c r="F13" s="13">
        <f t="shared" si="0"/>
        <v>0</v>
      </c>
      <c r="G13" s="14">
        <v>0</v>
      </c>
      <c r="H13" s="8"/>
      <c r="I13" s="7">
        <v>0</v>
      </c>
      <c r="J13" s="8"/>
      <c r="K13" s="7">
        <v>0</v>
      </c>
      <c r="L13" s="8"/>
      <c r="M13" s="15">
        <v>0</v>
      </c>
      <c r="N13" s="8"/>
      <c r="O13" s="15">
        <v>0</v>
      </c>
      <c r="P13" s="6"/>
      <c r="Q13" s="7">
        <f t="shared" si="1"/>
        <v>0</v>
      </c>
    </row>
    <row r="14" spans="1:17">
      <c r="A14" s="16"/>
      <c r="B14" s="8"/>
      <c r="C14" s="12"/>
      <c r="D14" s="8" t="s">
        <v>5</v>
      </c>
      <c r="E14" s="12"/>
      <c r="F14" s="13">
        <f t="shared" si="0"/>
        <v>0</v>
      </c>
      <c r="G14" s="14">
        <v>0</v>
      </c>
      <c r="H14" s="8"/>
      <c r="I14" s="7">
        <v>0</v>
      </c>
      <c r="J14" s="8"/>
      <c r="K14" s="7">
        <v>0</v>
      </c>
      <c r="L14" s="8"/>
      <c r="M14" s="15">
        <v>0</v>
      </c>
      <c r="N14" s="8"/>
      <c r="O14" s="15">
        <v>0</v>
      </c>
      <c r="P14" s="6"/>
      <c r="Q14" s="7">
        <f t="shared" si="1"/>
        <v>0</v>
      </c>
    </row>
    <row r="15" spans="1:17">
      <c r="A15" s="16"/>
      <c r="B15" s="8"/>
      <c r="C15" s="12"/>
      <c r="D15" s="8" t="s">
        <v>5</v>
      </c>
      <c r="E15" s="12"/>
      <c r="F15" s="13">
        <f t="shared" si="0"/>
        <v>0</v>
      </c>
      <c r="G15" s="14">
        <v>0</v>
      </c>
      <c r="H15" s="8"/>
      <c r="I15" s="7">
        <v>0</v>
      </c>
      <c r="J15" s="8"/>
      <c r="K15" s="7">
        <v>0</v>
      </c>
      <c r="L15" s="8"/>
      <c r="M15" s="15">
        <v>0</v>
      </c>
      <c r="N15" s="8"/>
      <c r="O15" s="15">
        <v>0</v>
      </c>
      <c r="P15" s="6"/>
      <c r="Q15" s="7">
        <f t="shared" si="1"/>
        <v>0</v>
      </c>
    </row>
    <row r="16" spans="1:17">
      <c r="A16" s="16"/>
      <c r="B16" s="8"/>
      <c r="C16" s="12"/>
      <c r="D16" s="8" t="s">
        <v>5</v>
      </c>
      <c r="E16" s="12"/>
      <c r="F16" s="13">
        <f t="shared" si="0"/>
        <v>0</v>
      </c>
      <c r="G16" s="14">
        <v>0</v>
      </c>
      <c r="H16" s="8"/>
      <c r="I16" s="7">
        <v>0</v>
      </c>
      <c r="J16" s="8"/>
      <c r="K16" s="7">
        <v>0</v>
      </c>
      <c r="L16" s="8"/>
      <c r="M16" s="15">
        <v>0</v>
      </c>
      <c r="N16" s="8"/>
      <c r="O16" s="15">
        <v>0</v>
      </c>
      <c r="P16" s="6"/>
      <c r="Q16" s="7">
        <f t="shared" si="1"/>
        <v>0</v>
      </c>
    </row>
    <row r="17" spans="1: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>
      <c r="A18" s="6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8"/>
      <c r="P18" s="6"/>
      <c r="Q18" s="7">
        <v>0</v>
      </c>
    </row>
    <row r="19" spans="1:17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>
      <c r="A20" s="6" t="s">
        <v>21</v>
      </c>
      <c r="B20" s="6"/>
      <c r="C20" s="1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8"/>
      <c r="P20" s="6"/>
      <c r="Q20" s="7">
        <v>0</v>
      </c>
    </row>
    <row r="21" spans="1:17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5" t="s">
        <v>13</v>
      </c>
      <c r="P22" s="6"/>
      <c r="Q22" s="7">
        <f>SUM(Q7:Q21)</f>
        <v>561.08500000000004</v>
      </c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8"/>
      <c r="P23" s="6"/>
      <c r="Q23" s="6"/>
    </row>
    <row r="24" spans="1:17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5" t="s">
        <v>22</v>
      </c>
      <c r="P24" s="6"/>
      <c r="Q24" s="7">
        <f>Q22*20%</f>
        <v>112.21700000000001</v>
      </c>
    </row>
    <row r="25" spans="1:17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8"/>
      <c r="P25" s="6"/>
      <c r="Q25" s="6"/>
    </row>
    <row r="26" spans="1:17" ht="2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9" t="s">
        <v>23</v>
      </c>
      <c r="P26" s="6"/>
      <c r="Q26" s="7">
        <f>Q22+Q24</f>
        <v>673.30200000000002</v>
      </c>
    </row>
  </sheetData>
  <mergeCells count="12">
    <mergeCell ref="Q5:Q6"/>
    <mergeCell ref="A5:A6"/>
    <mergeCell ref="B5:B6"/>
    <mergeCell ref="C5:C6"/>
    <mergeCell ref="D5:D6"/>
    <mergeCell ref="E5:E6"/>
    <mergeCell ref="F5:F6"/>
    <mergeCell ref="G5:G6"/>
    <mergeCell ref="H5:I5"/>
    <mergeCell ref="J5:K5"/>
    <mergeCell ref="L5:M5"/>
    <mergeCell ref="N5:O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79501</cp:lastModifiedBy>
  <dcterms:created xsi:type="dcterms:W3CDTF">2024-12-05T04:33:13Z</dcterms:created>
  <dcterms:modified xsi:type="dcterms:W3CDTF">2026-04-22T08:13:50Z</dcterms:modified>
</cp:coreProperties>
</file>