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definedNames>
    <definedName name="Edge">Sheet1!$B$17:$B$23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<sst xmlns="http://schemas.openxmlformats.org/spreadsheetml/2006/main" count="53" uniqueCount="35">
  <si>
    <t>Category</t>
  </si>
  <si>
    <t>Item</t>
  </si>
  <si>
    <t>Unit</t>
  </si>
  <si>
    <t>Unit Cost</t>
  </si>
  <si>
    <t>Tax 5%</t>
  </si>
  <si>
    <t>Taxable Amt/Unit</t>
  </si>
  <si>
    <t>Flashing</t>
  </si>
  <si>
    <r>
      <rPr>
        <sz val="11"/>
        <rFont val="Calibri"/>
        <charset val="134"/>
        <scheme val="minor"/>
      </rPr>
      <t>Step flashing</t>
    </r>
  </si>
  <si>
    <t>LF</t>
  </si>
  <si>
    <r>
      <rPr>
        <sz val="11"/>
        <rFont val="Calibri"/>
        <charset val="134"/>
        <scheme val="minor"/>
      </rPr>
      <t>Aluminum sidewall/endwall flashing - mill finish</t>
    </r>
  </si>
  <si>
    <r>
      <rPr>
        <sz val="11"/>
        <rFont val="Calibri"/>
        <charset val="134"/>
        <scheme val="minor"/>
      </rPr>
      <t>Counterflashing - Apron flashing</t>
    </r>
  </si>
  <si>
    <r>
      <rPr>
        <sz val="11"/>
        <rFont val="Calibri"/>
        <charset val="134"/>
        <scheme val="minor"/>
      </rPr>
      <t>R&amp;R Chimney flashing - small (24" x 24")</t>
    </r>
  </si>
  <si>
    <t>EA</t>
  </si>
  <si>
    <r>
      <rPr>
        <sz val="11"/>
        <rFont val="Calibri"/>
        <charset val="134"/>
        <scheme val="minor"/>
      </rPr>
      <t>R&amp;R Chimney flashing - average (32" x 36")</t>
    </r>
  </si>
  <si>
    <r>
      <rPr>
        <sz val="11"/>
        <rFont val="Calibri"/>
        <charset val="134"/>
        <scheme val="minor"/>
      </rPr>
      <t>R&amp;R Chimney flashing - large (32" x 60")</t>
    </r>
  </si>
  <si>
    <r>
      <rPr>
        <sz val="11"/>
        <rFont val="Calibri"/>
        <charset val="134"/>
        <scheme val="minor"/>
      </rPr>
      <t>Detach &amp; Reset Skylight - Dome style fixed, 4 - 9 sf*</t>
    </r>
  </si>
  <si>
    <r>
      <rPr>
        <sz val="11"/>
        <rFont val="Calibri"/>
        <charset val="134"/>
        <scheme val="minor"/>
      </rPr>
      <t>Detach &amp; Reset Skylight - Dome Style fixed, 9.1 - 15.5 sf*</t>
    </r>
  </si>
  <si>
    <r>
      <rPr>
        <sz val="11"/>
        <rFont val="Calibri"/>
        <charset val="134"/>
        <scheme val="minor"/>
      </rPr>
      <t>R&amp;R Skylight cladding - preformed aluminum (Velux Style)*</t>
    </r>
  </si>
  <si>
    <t>Underlayment</t>
  </si>
  <si>
    <r>
      <rPr>
        <sz val="11"/>
        <rFont val="Calibri"/>
        <charset val="134"/>
        <scheme val="minor"/>
      </rPr>
      <t>Roofing felt - 15 lb.</t>
    </r>
  </si>
  <si>
    <t>SQ</t>
  </si>
  <si>
    <r>
      <rPr>
        <sz val="11"/>
        <rFont val="Calibri"/>
        <charset val="134"/>
        <scheme val="minor"/>
      </rPr>
      <t>Roofing felt - 30 lb.</t>
    </r>
  </si>
  <si>
    <r>
      <rPr>
        <sz val="11"/>
        <rFont val="Calibri"/>
        <charset val="134"/>
        <scheme val="minor"/>
      </rPr>
      <t>Roofing felt - synthetic underlayment</t>
    </r>
  </si>
  <si>
    <r>
      <rPr>
        <sz val="11"/>
        <rFont val="Calibri"/>
        <charset val="134"/>
        <scheme val="minor"/>
      </rPr>
      <t>Ice &amp; water shield</t>
    </r>
  </si>
  <si>
    <t>SF</t>
  </si>
  <si>
    <r>
      <rPr>
        <sz val="11"/>
        <rFont val="Calibri"/>
        <charset val="134"/>
        <scheme val="minor"/>
      </rPr>
      <t>Asphalt starter - universal starter course</t>
    </r>
  </si>
  <si>
    <r>
      <rPr>
        <sz val="11"/>
        <rFont val="Calibri"/>
        <charset val="134"/>
        <scheme val="minor"/>
      </rPr>
      <t>Asphalt starter - laminated double layer starter</t>
    </r>
  </si>
  <si>
    <t>Edge/Valley Metal</t>
  </si>
  <si>
    <t>Drip Edge</t>
  </si>
  <si>
    <t>Rake Edge</t>
  </si>
  <si>
    <r>
      <rPr>
        <sz val="11"/>
        <rFont val="Calibri"/>
        <charset val="134"/>
        <scheme val="minor"/>
      </rPr>
      <t>Gravel stop</t>
    </r>
  </si>
  <si>
    <r>
      <rPr>
        <sz val="11"/>
        <rFont val="Calibri"/>
        <charset val="134"/>
        <scheme val="minor"/>
      </rPr>
      <t>Valley metal</t>
    </r>
  </si>
  <si>
    <r>
      <rPr>
        <sz val="11"/>
        <rFont val="Calibri"/>
        <charset val="134"/>
        <scheme val="minor"/>
      </rPr>
      <t>Valley metal - painted</t>
    </r>
  </si>
  <si>
    <r>
      <rPr>
        <sz val="11"/>
        <rFont val="Calibri"/>
        <charset val="134"/>
        <scheme val="minor"/>
      </rPr>
      <t>Valley metal - (W) profile</t>
    </r>
  </si>
  <si>
    <r>
      <rPr>
        <sz val="11"/>
        <rFont val="Calibri"/>
        <charset val="134"/>
        <scheme val="minor"/>
      </rPr>
      <t>Valley metal - (W) profile - painted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</si>
</sst>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right" indent="1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horizontal="center"/>
    </xf>
    <xf numFmtId="4" fontId="1" fillId="0" borderId="2" xfId="0" applyNumberFormat="1" applyFont="1" applyFill="1" applyBorder="1" applyAlignment="1">
      <alignment horizontal="right" indent="1"/>
    </xf>
    <xf numFmtId="0" fontId="1" fillId="0" borderId="4" xfId="0" applyFont="1" applyFill="1" applyBorder="1" applyAlignment="1"/>
    <xf numFmtId="0" fontId="1" fillId="0" borderId="4" xfId="0" applyFont="1" applyFill="1" applyBorder="1" applyAlignment="1">
      <alignment horizontal="center"/>
    </xf>
    <xf numFmtId="4" fontId="1" fillId="0" borderId="4" xfId="0" applyNumberFormat="1" applyFont="1" applyFill="1" applyBorder="1" applyAlignment="1">
      <alignment horizontal="right" indent="1"/>
    </xf>
    <xf numFmtId="0" fontId="1" fillId="0" borderId="6" xfId="0" applyFont="1" applyFill="1" applyBorder="1" applyAlignment="1"/>
    <xf numFmtId="0" fontId="1" fillId="0" borderId="6" xfId="0" applyFont="1" applyFill="1" applyBorder="1" applyAlignment="1">
      <alignment horizontal="center"/>
    </xf>
    <xf numFmtId="4" fontId="1" fillId="0" borderId="6" xfId="0" applyNumberFormat="1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5" xfId="0" applyFont="1" applyFill="1" applyBorder="1" applyAlignment="1">
      <alignment horizontal="center" vertical="center" textRotation="90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right" indent="1"/>
    </xf>
    <xf numFmtId="4" fontId="3" fillId="2" borderId="0" xfId="0" applyNumberFormat="1" applyFont="1" applyFill="1" applyBorder="1" applyAlignment="1">
      <alignment horizontal="right" wrapText="1" inden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B4" sqref="B4"/>
    </sheetView>
  </sheetViews>
  <sheetFormatPr defaultColWidth="9.26953125" defaultRowHeight="14.5"/>
  <cols>
    <col min="2" max="2" width="54.6328125" customWidth="1"/>
    <col min="4" max="4" width="12.453125" customWidth="1"/>
    <col min="6" max="6" width="14.08984375" customWidth="1"/>
  </cols>
  <sheetData>
    <row r="1" spans="1:6" ht="41" customHeight="1">
      <c r="A1" s="16" t="s">
        <v>0</v>
      </c>
      <c r="B1" s="16" t="s">
        <v>1</v>
      </c>
      <c r="C1" s="17" t="s">
        <v>2</v>
      </c>
      <c r="D1" s="18" t="s">
        <v>3</v>
      </c>
      <c r="E1" s="18" t="s">
        <v>4</v>
      </c>
      <c r="F1" s="19" t="s">
        <v>5</v>
      </c>
    </row>
    <row r="2" spans="1:6">
      <c r="A2" s="13" t="s">
        <v>6</v>
      </c>
      <c r="B2" s="1" t="s">
        <v>7</v>
      </c>
      <c r="C2" s="2" t="s">
        <v>8</v>
      </c>
      <c r="D2" s="3">
        <v>8.14</v>
      </c>
      <c r="E2" s="3">
        <v>0.13</v>
      </c>
      <c r="F2" s="3">
        <f t="shared" ref="F2:F23" si="0">E2*20</f>
        <v>2.6</v>
      </c>
    </row>
    <row r="3" spans="1:6">
      <c r="A3" s="13"/>
      <c r="B3" s="4" t="s">
        <v>9</v>
      </c>
      <c r="C3" s="5" t="s">
        <v>8</v>
      </c>
      <c r="D3" s="6">
        <v>5.27</v>
      </c>
      <c r="E3" s="6">
        <v>0.21</v>
      </c>
      <c r="F3" s="6">
        <f t="shared" si="0"/>
        <v>4.2</v>
      </c>
    </row>
    <row r="4" spans="1:6">
      <c r="A4" s="13"/>
      <c r="B4" s="4" t="s">
        <v>10</v>
      </c>
      <c r="C4" s="5" t="s">
        <v>8</v>
      </c>
      <c r="D4" s="6">
        <v>7.68</v>
      </c>
      <c r="E4" s="6">
        <v>0.1</v>
      </c>
      <c r="F4" s="6">
        <f t="shared" si="0"/>
        <v>2</v>
      </c>
    </row>
    <row r="5" spans="1:6">
      <c r="A5" s="13"/>
      <c r="B5" s="4" t="s">
        <v>11</v>
      </c>
      <c r="C5" s="5" t="s">
        <v>12</v>
      </c>
      <c r="D5" s="6">
        <v>242.28</v>
      </c>
      <c r="E5" s="6">
        <v>2.44</v>
      </c>
      <c r="F5" s="6">
        <f t="shared" si="0"/>
        <v>48.8</v>
      </c>
    </row>
    <row r="6" spans="1:6">
      <c r="A6" s="13"/>
      <c r="B6" s="4" t="s">
        <v>13</v>
      </c>
      <c r="C6" s="5" t="s">
        <v>12</v>
      </c>
      <c r="D6" s="6">
        <v>308.02</v>
      </c>
      <c r="E6" s="6">
        <v>4.45</v>
      </c>
      <c r="F6" s="6">
        <f t="shared" si="0"/>
        <v>89</v>
      </c>
    </row>
    <row r="7" spans="1:6">
      <c r="A7" s="13"/>
      <c r="B7" s="4" t="s">
        <v>14</v>
      </c>
      <c r="C7" s="5" t="s">
        <v>12</v>
      </c>
      <c r="D7" s="6">
        <v>408.56</v>
      </c>
      <c r="E7" s="6">
        <v>6.46</v>
      </c>
      <c r="F7" s="6">
        <f t="shared" si="0"/>
        <v>129.19999999999999</v>
      </c>
    </row>
    <row r="8" spans="1:6">
      <c r="A8" s="13"/>
      <c r="B8" s="4" t="s">
        <v>15</v>
      </c>
      <c r="C8" s="5" t="s">
        <v>12</v>
      </c>
      <c r="D8" s="6">
        <v>113.08</v>
      </c>
      <c r="E8" s="6">
        <v>0</v>
      </c>
      <c r="F8" s="6">
        <f t="shared" si="0"/>
        <v>0</v>
      </c>
    </row>
    <row r="9" spans="1:6">
      <c r="A9" s="13"/>
      <c r="B9" s="4" t="s">
        <v>16</v>
      </c>
      <c r="C9" s="5" t="s">
        <v>12</v>
      </c>
      <c r="D9" s="6">
        <v>148.53</v>
      </c>
      <c r="E9" s="6">
        <v>0</v>
      </c>
      <c r="F9" s="6">
        <f t="shared" si="0"/>
        <v>0</v>
      </c>
    </row>
    <row r="10" spans="1:6">
      <c r="A10" s="14"/>
      <c r="B10" s="7" t="s">
        <v>17</v>
      </c>
      <c r="C10" s="8" t="s">
        <v>8</v>
      </c>
      <c r="D10" s="9">
        <v>16.86</v>
      </c>
      <c r="E10" s="9">
        <v>0.63</v>
      </c>
      <c r="F10" s="9">
        <f t="shared" si="0"/>
        <v>12.6</v>
      </c>
    </row>
    <row r="11" spans="1:6">
      <c r="A11" s="15" t="s">
        <v>18</v>
      </c>
      <c r="B11" s="10" t="s">
        <v>19</v>
      </c>
      <c r="C11" s="11" t="s">
        <v>20</v>
      </c>
      <c r="D11" s="12">
        <v>25.97</v>
      </c>
      <c r="E11" s="12">
        <v>0.54</v>
      </c>
      <c r="F11" s="12">
        <f t="shared" si="0"/>
        <v>10.8</v>
      </c>
    </row>
    <row r="12" spans="1:6">
      <c r="A12" s="13"/>
      <c r="B12" s="4" t="s">
        <v>21</v>
      </c>
      <c r="C12" s="5" t="s">
        <v>20</v>
      </c>
      <c r="D12" s="6">
        <v>31.46</v>
      </c>
      <c r="E12" s="6">
        <v>0.98</v>
      </c>
      <c r="F12" s="6">
        <f t="shared" si="0"/>
        <v>19.600000000000001</v>
      </c>
    </row>
    <row r="13" spans="1:6">
      <c r="A13" s="13"/>
      <c r="B13" s="4" t="s">
        <v>22</v>
      </c>
      <c r="C13" s="5" t="s">
        <v>20</v>
      </c>
      <c r="D13" s="6">
        <v>34.42</v>
      </c>
      <c r="E13" s="6">
        <v>1.1299999999999999</v>
      </c>
      <c r="F13" s="6">
        <f t="shared" si="0"/>
        <v>22.6</v>
      </c>
    </row>
    <row r="14" spans="1:6">
      <c r="A14" s="13"/>
      <c r="B14" s="4" t="s">
        <v>23</v>
      </c>
      <c r="C14" s="5" t="s">
        <v>24</v>
      </c>
      <c r="D14" s="6">
        <v>1.65</v>
      </c>
      <c r="E14" s="6">
        <v>0.03</v>
      </c>
      <c r="F14" s="6">
        <f t="shared" si="0"/>
        <v>0.6</v>
      </c>
    </row>
    <row r="15" spans="1:6">
      <c r="A15" s="13"/>
      <c r="B15" s="4" t="s">
        <v>25</v>
      </c>
      <c r="C15" s="5" t="s">
        <v>8</v>
      </c>
      <c r="D15" s="6">
        <v>1.63</v>
      </c>
      <c r="E15" s="6">
        <v>0.04</v>
      </c>
      <c r="F15" s="6">
        <f t="shared" si="0"/>
        <v>0.8</v>
      </c>
    </row>
    <row r="16" spans="1:6">
      <c r="A16" s="14"/>
      <c r="B16" s="7" t="s">
        <v>26</v>
      </c>
      <c r="C16" s="8" t="s">
        <v>8</v>
      </c>
      <c r="D16" s="9">
        <v>3.89</v>
      </c>
      <c r="E16" s="9">
        <v>0.15</v>
      </c>
      <c r="F16" s="9">
        <f t="shared" si="0"/>
        <v>3</v>
      </c>
    </row>
    <row r="17" spans="1:6">
      <c r="A17" s="15" t="s">
        <v>27</v>
      </c>
      <c r="B17" s="10" t="s">
        <v>28</v>
      </c>
      <c r="C17" s="11" t="s">
        <v>8</v>
      </c>
      <c r="D17" s="12">
        <v>1.84</v>
      </c>
      <c r="E17" s="12">
        <v>0.05</v>
      </c>
      <c r="F17" s="12">
        <f t="shared" si="0"/>
        <v>1</v>
      </c>
    </row>
    <row r="18" spans="1:6">
      <c r="A18" s="13"/>
      <c r="B18" s="4" t="s">
        <v>29</v>
      </c>
      <c r="C18" s="5" t="s">
        <v>8</v>
      </c>
      <c r="D18" s="6">
        <v>1.84</v>
      </c>
      <c r="E18" s="6">
        <v>0.05</v>
      </c>
      <c r="F18" s="6">
        <f t="shared" si="0"/>
        <v>1</v>
      </c>
    </row>
    <row r="19" spans="1:6">
      <c r="A19" s="13"/>
      <c r="B19" s="4" t="s">
        <v>30</v>
      </c>
      <c r="C19" s="5" t="s">
        <v>8</v>
      </c>
      <c r="D19" s="6">
        <v>1.64</v>
      </c>
      <c r="E19" s="6">
        <v>0.05</v>
      </c>
      <c r="F19" s="6">
        <f t="shared" si="0"/>
        <v>1</v>
      </c>
    </row>
    <row r="20" spans="1:6">
      <c r="A20" s="13"/>
      <c r="B20" s="4" t="s">
        <v>31</v>
      </c>
      <c r="C20" s="5" t="s">
        <v>8</v>
      </c>
      <c r="D20" s="6">
        <v>4.34</v>
      </c>
      <c r="E20" s="6">
        <v>0.13</v>
      </c>
      <c r="F20" s="6">
        <f t="shared" si="0"/>
        <v>2.6</v>
      </c>
    </row>
    <row r="21" spans="1:6">
      <c r="A21" s="13"/>
      <c r="B21" s="4" t="s">
        <v>32</v>
      </c>
      <c r="C21" s="5" t="s">
        <v>8</v>
      </c>
      <c r="D21" s="6">
        <v>4.6500000000000004</v>
      </c>
      <c r="E21" s="6">
        <v>0.16</v>
      </c>
      <c r="F21" s="6">
        <f t="shared" si="0"/>
        <v>3.2</v>
      </c>
    </row>
    <row r="22" spans="1:6">
      <c r="A22" s="13"/>
      <c r="B22" s="4" t="s">
        <v>33</v>
      </c>
      <c r="C22" s="5" t="s">
        <v>8</v>
      </c>
      <c r="D22" s="6">
        <v>5.0199999999999996</v>
      </c>
      <c r="E22" s="6">
        <v>0.19</v>
      </c>
      <c r="F22" s="6">
        <f t="shared" si="0"/>
        <v>3.8</v>
      </c>
    </row>
    <row r="23" spans="1:6">
      <c r="A23" s="14"/>
      <c r="B23" s="7" t="s">
        <v>34</v>
      </c>
      <c r="C23" s="8" t="s">
        <v>8</v>
      </c>
      <c r="D23" s="9">
        <v>6.61</v>
      </c>
      <c r="E23" s="9">
        <v>0.31</v>
      </c>
      <c r="F23" s="9">
        <f t="shared" si="0"/>
        <v>6.2</v>
      </c>
    </row>
  </sheetData>
  <mergeCells count="3">
    <mergeCell ref="A2:A10"/>
    <mergeCell ref="A11:A16"/>
    <mergeCell ref="A17:A2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Edge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2025-01-15T21:22:52Z</dcterms:created>
  <dcterms:modified xsi:type="dcterms:W3CDTF">2026-01-12T00:36:49Z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2A642317C70D08D7ACB68767F39FF940_41</vt:lpwstr>
  </property>
  <property fmtid="{D5CDD505-2E9C-101B-9397-08002B2CF9AE}" pid="3" name="KSOProductBuildVer">
    <vt:lpwstr>2052-6.8.2.8850</vt:lpwstr>
  </property>
</Properties>
</file>