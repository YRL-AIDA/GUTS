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<sst xmlns="http://schemas.openxmlformats.org/spreadsheetml/2006/main" count="255" uniqueCount="45">
  <si>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</si>
  <si>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</si>
  <si>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</si>
  <si>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</si>
  <si>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Immobile (s)</t>
  </si>
  <si>
    <t>Latency to Immobility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</si>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</sst>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3" borderId="0" xfId="0" applyFont="1" applyFill="1" applyAlignment="1"/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="85" zoomScaleNormal="85" workbookViewId="0">
      <selection activeCell="A14" sqref="A14"/>
    </sheetView>
  </sheetViews>
  <sheetFormatPr defaultColWidth="13" defaultRowHeight="15.5"/>
  <cols>
    <col min="1" max="4" width="13" style="2"/>
    <col min="5" max="5" width="23.1796875" style="1" customWidth="1"/>
    <col min="6" max="6" width="38.36328125" style="1" customWidth="1"/>
    <col min="7" max="7" width="25.36328125" style="1" customWidth="1"/>
    <col min="8" max="16384" width="13" style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1">
        <v>37</v>
      </c>
      <c r="F2" s="1">
        <v>105</v>
      </c>
    </row>
    <row r="3" spans="1:7">
      <c r="A3" s="2" t="s">
        <v>10</v>
      </c>
      <c r="B3" s="2" t="s">
        <v>7</v>
      </c>
      <c r="C3" s="2" t="s">
        <v>8</v>
      </c>
      <c r="D3" s="2" t="s">
        <v>9</v>
      </c>
      <c r="E3" s="1">
        <v>20</v>
      </c>
      <c r="F3" s="1">
        <v>90</v>
      </c>
    </row>
    <row r="4" spans="1:7">
      <c r="A4" s="2" t="s">
        <v>11</v>
      </c>
      <c r="B4" s="2" t="s">
        <v>7</v>
      </c>
      <c r="C4" s="2" t="s">
        <v>8</v>
      </c>
      <c r="D4" s="2" t="s">
        <v>9</v>
      </c>
      <c r="E4" s="1">
        <v>19</v>
      </c>
      <c r="F4" s="1">
        <v>78</v>
      </c>
    </row>
    <row r="5" spans="1:7">
      <c r="A5" s="2" t="s">
        <v>12</v>
      </c>
      <c r="B5" s="2" t="s">
        <v>7</v>
      </c>
      <c r="C5" s="2" t="s">
        <v>8</v>
      </c>
      <c r="D5" s="2" t="s">
        <v>9</v>
      </c>
      <c r="E5" s="1">
        <v>33</v>
      </c>
      <c r="F5" s="1">
        <v>99</v>
      </c>
    </row>
    <row r="6" spans="1:7">
      <c r="A6" s="2" t="s">
        <v>13</v>
      </c>
      <c r="B6" s="2" t="s">
        <v>7</v>
      </c>
      <c r="C6" s="2" t="s">
        <v>8</v>
      </c>
      <c r="D6" s="2" t="s">
        <v>9</v>
      </c>
      <c r="E6" s="1">
        <v>56</v>
      </c>
      <c r="F6" s="1">
        <v>85</v>
      </c>
    </row>
    <row r="7" spans="1:7">
      <c r="A7" s="2" t="s">
        <v>14</v>
      </c>
      <c r="B7" s="2" t="s">
        <v>7</v>
      </c>
      <c r="C7" s="2" t="s">
        <v>8</v>
      </c>
      <c r="D7" s="2" t="s">
        <v>9</v>
      </c>
      <c r="E7" s="1">
        <v>10</v>
      </c>
      <c r="F7" s="1">
        <v>79</v>
      </c>
    </row>
    <row r="8" spans="1:7">
      <c r="A8" s="2" t="s">
        <v>15</v>
      </c>
      <c r="B8" s="2" t="s">
        <v>7</v>
      </c>
      <c r="C8" s="2" t="s">
        <v>8</v>
      </c>
      <c r="D8" s="2" t="s">
        <v>9</v>
      </c>
      <c r="E8" s="1">
        <v>30</v>
      </c>
      <c r="F8" s="1">
        <v>104</v>
      </c>
    </row>
    <row r="9" spans="1:7">
      <c r="A9" s="2" t="s">
        <v>16</v>
      </c>
      <c r="B9" s="2" t="s">
        <v>7</v>
      </c>
      <c r="C9" s="2" t="s">
        <v>8</v>
      </c>
      <c r="D9" s="2" t="s">
        <v>9</v>
      </c>
      <c r="E9" s="1">
        <v>76</v>
      </c>
      <c r="F9" s="1">
        <v>79</v>
      </c>
    </row>
    <row r="10" spans="1:7">
      <c r="A10" s="2" t="s">
        <v>17</v>
      </c>
      <c r="B10" s="2" t="s">
        <v>7</v>
      </c>
      <c r="C10" s="2" t="s">
        <v>8</v>
      </c>
      <c r="D10" s="2" t="s">
        <v>9</v>
      </c>
      <c r="E10" s="1">
        <v>120</v>
      </c>
      <c r="F10" s="1">
        <v>81</v>
      </c>
    </row>
    <row r="11" spans="1:7">
      <c r="A11" s="2" t="s">
        <v>18</v>
      </c>
      <c r="B11" s="2" t="s">
        <v>7</v>
      </c>
      <c r="C11" s="2" t="s">
        <v>8</v>
      </c>
      <c r="D11" s="2" t="s">
        <v>9</v>
      </c>
      <c r="E11" s="1">
        <v>111</v>
      </c>
      <c r="F11" s="1">
        <v>98</v>
      </c>
    </row>
    <row r="12" spans="1:7">
      <c r="A12" s="6" t="s">
        <v>19</v>
      </c>
      <c r="E12" s="4">
        <f>AVERAGE(E2:E11)</f>
        <v>51.2</v>
      </c>
      <c r="F12" s="4">
        <f>AVERAGE(F2:F11)</f>
        <v>89.8</v>
      </c>
      <c r="G12" s="3"/>
    </row>
    <row r="13" spans="1:7">
      <c r="A13" s="6" t="s">
        <v>20</v>
      </c>
      <c r="E13" s="4">
        <f>STDEV(E2:E11)</f>
        <v>38.926711765687202</v>
      </c>
      <c r="F13" s="4">
        <f>STDEV(F2:F11)</f>
        <v>10.8402541995615</v>
      </c>
      <c r="G13" s="3"/>
    </row>
    <row r="14" spans="1:7">
      <c r="A14" s="6" t="s">
        <v>21</v>
      </c>
      <c r="E14" s="4">
        <f>E13/SQRT(10)</f>
        <v>12.3097071000446</v>
      </c>
      <c r="F14" s="4">
        <f>F13/SQRT(10)</f>
        <v>3.4279893685819798</v>
      </c>
      <c r="G14" s="3"/>
    </row>
    <row r="16" spans="1:7">
      <c r="A16" s="2" t="s">
        <v>22</v>
      </c>
      <c r="B16" s="2" t="s">
        <v>7</v>
      </c>
      <c r="C16" s="2" t="s">
        <v>8</v>
      </c>
      <c r="D16" s="2" t="s">
        <v>23</v>
      </c>
      <c r="E16" s="1">
        <v>85</v>
      </c>
      <c r="F16" s="1">
        <v>80</v>
      </c>
    </row>
    <row r="17" spans="1:6">
      <c r="A17" s="2" t="s">
        <v>24</v>
      </c>
      <c r="B17" s="2" t="s">
        <v>7</v>
      </c>
      <c r="C17" s="2" t="s">
        <v>8</v>
      </c>
      <c r="D17" s="2" t="s">
        <v>23</v>
      </c>
      <c r="E17" s="1">
        <v>66</v>
      </c>
      <c r="F17" s="1">
        <v>101</v>
      </c>
    </row>
    <row r="18" spans="1:6">
      <c r="A18" s="2" t="s">
        <v>25</v>
      </c>
      <c r="B18" s="2" t="s">
        <v>7</v>
      </c>
      <c r="C18" s="2" t="s">
        <v>8</v>
      </c>
      <c r="D18" s="2" t="s">
        <v>23</v>
      </c>
      <c r="E18" s="1">
        <v>175</v>
      </c>
      <c r="F18" s="1">
        <v>74</v>
      </c>
    </row>
    <row r="19" spans="1:6">
      <c r="A19" s="2" t="s">
        <v>26</v>
      </c>
      <c r="B19" s="2" t="s">
        <v>7</v>
      </c>
      <c r="C19" s="2" t="s">
        <v>8</v>
      </c>
      <c r="D19" s="2" t="s">
        <v>23</v>
      </c>
      <c r="E19" s="1">
        <v>110</v>
      </c>
      <c r="F19" s="1">
        <v>70</v>
      </c>
    </row>
    <row r="20" spans="1:6">
      <c r="A20" s="2" t="s">
        <v>27</v>
      </c>
      <c r="B20" s="2" t="s">
        <v>7</v>
      </c>
      <c r="C20" s="2" t="s">
        <v>8</v>
      </c>
      <c r="D20" s="2" t="s">
        <v>23</v>
      </c>
      <c r="E20" s="1">
        <v>161</v>
      </c>
      <c r="F20" s="1">
        <v>59</v>
      </c>
    </row>
    <row r="21" spans="1:6">
      <c r="A21" s="2" t="s">
        <v>28</v>
      </c>
      <c r="B21" s="2" t="s">
        <v>7</v>
      </c>
      <c r="C21" s="2" t="s">
        <v>8</v>
      </c>
      <c r="D21" s="2" t="s">
        <v>23</v>
      </c>
      <c r="E21" s="1">
        <v>159</v>
      </c>
      <c r="F21" s="1">
        <v>99</v>
      </c>
    </row>
    <row r="22" spans="1:6">
      <c r="A22" s="2" t="s">
        <v>29</v>
      </c>
      <c r="B22" s="2" t="s">
        <v>7</v>
      </c>
      <c r="C22" s="2" t="s">
        <v>8</v>
      </c>
      <c r="D22" s="2" t="s">
        <v>23</v>
      </c>
      <c r="E22" s="1">
        <v>172</v>
      </c>
      <c r="F22" s="1">
        <v>70</v>
      </c>
    </row>
    <row r="23" spans="1:6">
      <c r="A23" s="2" t="s">
        <v>30</v>
      </c>
      <c r="B23" s="2" t="s">
        <v>7</v>
      </c>
      <c r="C23" s="2" t="s">
        <v>8</v>
      </c>
      <c r="D23" s="2" t="s">
        <v>23</v>
      </c>
      <c r="E23" s="1">
        <v>104</v>
      </c>
      <c r="F23" s="1">
        <v>102</v>
      </c>
    </row>
    <row r="24" spans="1:6">
      <c r="A24" s="2" t="s">
        <v>31</v>
      </c>
      <c r="B24" s="2" t="s">
        <v>7</v>
      </c>
      <c r="C24" s="2" t="s">
        <v>8</v>
      </c>
      <c r="D24" s="2" t="s">
        <v>23</v>
      </c>
      <c r="E24" s="1">
        <v>133</v>
      </c>
      <c r="F24" s="1">
        <v>100</v>
      </c>
    </row>
    <row r="25" spans="1:6">
      <c r="A25" s="2" t="s">
        <v>32</v>
      </c>
      <c r="B25" s="2" t="s">
        <v>7</v>
      </c>
      <c r="C25" s="2" t="s">
        <v>8</v>
      </c>
      <c r="D25" s="2" t="s">
        <v>23</v>
      </c>
      <c r="E25" s="1">
        <v>166</v>
      </c>
      <c r="F25" s="1">
        <v>72</v>
      </c>
    </row>
    <row r="26" spans="1:6">
      <c r="A26" s="6" t="s">
        <v>19</v>
      </c>
      <c r="E26" s="4">
        <f>AVERAGE(E16:E25)</f>
        <v>133.1</v>
      </c>
      <c r="F26" s="4">
        <f>AVERAGE(F16:F25)</f>
        <v>82.7</v>
      </c>
    </row>
    <row r="27" spans="1:6">
      <c r="A27" s="6" t="s">
        <v>20</v>
      </c>
      <c r="E27" s="4">
        <f>STDEV(E16:E25)</f>
        <v>39.436165015263697</v>
      </c>
      <c r="F27" s="4">
        <f>STDEV(F16:F25)</f>
        <v>16.173022805482798</v>
      </c>
    </row>
    <row r="28" spans="1:6">
      <c r="A28" s="6" t="s">
        <v>21</v>
      </c>
      <c r="E28" s="4">
        <f>E27/SQRT(10)</f>
        <v>12.4708103630482</v>
      </c>
      <c r="F28" s="4">
        <f>F27/SQRT(10)</f>
        <v>5.1143588715171999</v>
      </c>
    </row>
    <row r="30" spans="1:6">
      <c r="A30" s="2">
        <v>351</v>
      </c>
      <c r="B30" s="2" t="s">
        <v>7</v>
      </c>
      <c r="C30" s="2" t="s">
        <v>33</v>
      </c>
      <c r="D30" s="2" t="s">
        <v>9</v>
      </c>
      <c r="E30" s="1">
        <v>208</v>
      </c>
      <c r="F30" s="1">
        <v>4</v>
      </c>
    </row>
    <row r="31" spans="1:6">
      <c r="A31" s="2">
        <v>191</v>
      </c>
      <c r="B31" s="2" t="s">
        <v>7</v>
      </c>
      <c r="C31" s="2" t="s">
        <v>33</v>
      </c>
      <c r="D31" s="2" t="s">
        <v>9</v>
      </c>
      <c r="E31" s="1">
        <v>262</v>
      </c>
      <c r="F31" s="1">
        <v>3</v>
      </c>
    </row>
    <row r="32" spans="1:6">
      <c r="A32" s="2">
        <v>251</v>
      </c>
      <c r="B32" s="2" t="s">
        <v>7</v>
      </c>
      <c r="C32" s="2" t="s">
        <v>33</v>
      </c>
      <c r="D32" s="2" t="s">
        <v>9</v>
      </c>
      <c r="E32" s="1">
        <v>279</v>
      </c>
      <c r="F32" s="1">
        <v>2</v>
      </c>
    </row>
    <row r="33" spans="1:6">
      <c r="A33" s="2">
        <v>361</v>
      </c>
      <c r="B33" s="2" t="s">
        <v>7</v>
      </c>
      <c r="C33" s="2" t="s">
        <v>33</v>
      </c>
      <c r="D33" s="2" t="s">
        <v>9</v>
      </c>
      <c r="E33" s="1">
        <v>208</v>
      </c>
      <c r="F33" s="1">
        <v>3</v>
      </c>
    </row>
    <row r="34" spans="1:6">
      <c r="A34" s="2">
        <v>541</v>
      </c>
      <c r="B34" s="2" t="s">
        <v>7</v>
      </c>
      <c r="C34" s="2" t="s">
        <v>33</v>
      </c>
      <c r="D34" s="2" t="s">
        <v>9</v>
      </c>
      <c r="E34" s="1">
        <v>286</v>
      </c>
      <c r="F34" s="1">
        <v>3</v>
      </c>
    </row>
    <row r="35" spans="1:6">
      <c r="A35" s="2">
        <v>852</v>
      </c>
      <c r="B35" s="2" t="s">
        <v>7</v>
      </c>
      <c r="C35" s="2" t="s">
        <v>33</v>
      </c>
      <c r="D35" s="2" t="s">
        <v>9</v>
      </c>
      <c r="E35" s="1">
        <v>215</v>
      </c>
      <c r="F35" s="1">
        <v>4</v>
      </c>
    </row>
    <row r="36" spans="1:6">
      <c r="A36" s="2">
        <v>4163</v>
      </c>
      <c r="B36" s="2" t="s">
        <v>7</v>
      </c>
      <c r="C36" s="2" t="s">
        <v>33</v>
      </c>
      <c r="D36" s="2" t="s">
        <v>9</v>
      </c>
      <c r="E36" s="1">
        <v>192</v>
      </c>
      <c r="F36" s="1">
        <v>6</v>
      </c>
    </row>
    <row r="37" spans="1:6">
      <c r="A37" s="2">
        <v>4213</v>
      </c>
      <c r="B37" s="2" t="s">
        <v>7</v>
      </c>
      <c r="C37" s="2" t="s">
        <v>33</v>
      </c>
      <c r="D37" s="2" t="s">
        <v>9</v>
      </c>
      <c r="E37" s="1">
        <v>237</v>
      </c>
      <c r="F37" s="1">
        <v>3</v>
      </c>
    </row>
    <row r="38" spans="1:6">
      <c r="A38" s="2">
        <v>4223</v>
      </c>
      <c r="B38" s="2" t="s">
        <v>7</v>
      </c>
      <c r="C38" s="2" t="s">
        <v>33</v>
      </c>
      <c r="D38" s="2" t="s">
        <v>9</v>
      </c>
      <c r="E38" s="1">
        <v>201</v>
      </c>
      <c r="F38" s="1">
        <v>4</v>
      </c>
    </row>
    <row r="39" spans="1:6">
      <c r="A39" s="2">
        <v>4303</v>
      </c>
      <c r="B39" s="2" t="s">
        <v>7</v>
      </c>
      <c r="C39" s="2" t="s">
        <v>33</v>
      </c>
      <c r="D39" s="2" t="s">
        <v>9</v>
      </c>
      <c r="E39" s="1">
        <v>180</v>
      </c>
      <c r="F39" s="1">
        <v>3</v>
      </c>
    </row>
    <row r="40" spans="1:6">
      <c r="A40" s="2">
        <v>4323</v>
      </c>
      <c r="B40" s="2" t="s">
        <v>7</v>
      </c>
      <c r="C40" s="2" t="s">
        <v>33</v>
      </c>
      <c r="D40" s="2" t="s">
        <v>9</v>
      </c>
      <c r="E40" s="1">
        <v>205</v>
      </c>
      <c r="F40" s="1">
        <v>3</v>
      </c>
    </row>
    <row r="41" spans="1:6">
      <c r="A41" s="2" t="s">
        <v>34</v>
      </c>
      <c r="B41" s="2" t="s">
        <v>7</v>
      </c>
      <c r="C41" s="2" t="s">
        <v>33</v>
      </c>
      <c r="D41" s="2" t="s">
        <v>9</v>
      </c>
      <c r="E41" s="1">
        <v>228</v>
      </c>
      <c r="F41" s="1">
        <v>46</v>
      </c>
    </row>
    <row r="42" spans="1:6">
      <c r="A42" s="2" t="s">
        <v>35</v>
      </c>
      <c r="B42" s="2" t="s">
        <v>7</v>
      </c>
      <c r="C42" s="2" t="s">
        <v>33</v>
      </c>
      <c r="D42" s="2" t="s">
        <v>9</v>
      </c>
      <c r="E42" s="1">
        <v>279</v>
      </c>
      <c r="F42" s="1">
        <v>48</v>
      </c>
    </row>
    <row r="43" spans="1:6">
      <c r="A43" s="2" t="s">
        <v>36</v>
      </c>
      <c r="B43" s="2" t="s">
        <v>7</v>
      </c>
      <c r="C43" s="2" t="s">
        <v>33</v>
      </c>
      <c r="D43" s="2" t="s">
        <v>9</v>
      </c>
      <c r="E43" s="1">
        <v>283</v>
      </c>
      <c r="F43" s="1">
        <v>53</v>
      </c>
    </row>
    <row r="44" spans="1:6">
      <c r="A44" s="2" t="s">
        <v>37</v>
      </c>
      <c r="B44" s="2" t="s">
        <v>7</v>
      </c>
      <c r="C44" s="2" t="s">
        <v>33</v>
      </c>
      <c r="D44" s="2" t="s">
        <v>9</v>
      </c>
      <c r="E44" s="1">
        <v>209</v>
      </c>
      <c r="F44" s="1">
        <v>16</v>
      </c>
    </row>
    <row r="45" spans="1:6">
      <c r="A45" s="2" t="s">
        <v>38</v>
      </c>
      <c r="B45" s="2" t="s">
        <v>7</v>
      </c>
      <c r="C45" s="2" t="s">
        <v>33</v>
      </c>
      <c r="D45" s="2" t="s">
        <v>9</v>
      </c>
      <c r="E45" s="1">
        <v>143</v>
      </c>
      <c r="F45" s="1">
        <v>27</v>
      </c>
    </row>
    <row r="46" spans="1:6">
      <c r="A46" s="6" t="s">
        <v>19</v>
      </c>
      <c r="E46" s="4">
        <f>AVERAGE(E30:E45)</f>
        <v>225.9375</v>
      </c>
      <c r="F46" s="4">
        <f>AVERAGE(F30:F45)</f>
        <v>14.25</v>
      </c>
    </row>
    <row r="47" spans="1:6">
      <c r="A47" s="6" t="s">
        <v>20</v>
      </c>
      <c r="E47" s="4">
        <f>STDEV(E30:E45)</f>
        <v>41.771551323837599</v>
      </c>
      <c r="F47" s="4">
        <f>STDEV(F30:F45)</f>
        <v>18.451738852115401</v>
      </c>
    </row>
    <row r="48" spans="1:6">
      <c r="A48" s="6" t="s">
        <v>21</v>
      </c>
      <c r="E48" s="4">
        <f>E47/SQRT(16)</f>
        <v>10.4428878309594</v>
      </c>
      <c r="F48" s="4">
        <f>F47/SQRT(16)</f>
        <v>4.61293471302886</v>
      </c>
    </row>
    <row r="50" spans="1:6">
      <c r="A50" s="2">
        <v>211</v>
      </c>
      <c r="B50" s="2" t="s">
        <v>7</v>
      </c>
      <c r="C50" s="2" t="s">
        <v>33</v>
      </c>
      <c r="D50" s="2" t="s">
        <v>23</v>
      </c>
      <c r="E50" s="1">
        <v>250</v>
      </c>
      <c r="F50" s="1">
        <v>8</v>
      </c>
    </row>
    <row r="51" spans="1:6">
      <c r="A51" s="2">
        <v>291</v>
      </c>
      <c r="B51" s="2" t="s">
        <v>7</v>
      </c>
      <c r="C51" s="2" t="s">
        <v>33</v>
      </c>
      <c r="D51" s="2" t="s">
        <v>23</v>
      </c>
      <c r="E51" s="1">
        <v>189</v>
      </c>
      <c r="F51" s="1">
        <v>7</v>
      </c>
    </row>
    <row r="52" spans="1:6">
      <c r="A52" s="2">
        <v>111</v>
      </c>
      <c r="B52" s="2" t="s">
        <v>7</v>
      </c>
      <c r="C52" s="2" t="s">
        <v>33</v>
      </c>
      <c r="D52" s="2" t="s">
        <v>23</v>
      </c>
      <c r="E52" s="1">
        <v>186</v>
      </c>
      <c r="F52" s="1">
        <v>3</v>
      </c>
    </row>
    <row r="53" spans="1:6">
      <c r="A53" s="2">
        <v>11</v>
      </c>
      <c r="B53" s="2" t="s">
        <v>7</v>
      </c>
      <c r="C53" s="2" t="s">
        <v>33</v>
      </c>
      <c r="D53" s="2" t="s">
        <v>23</v>
      </c>
      <c r="E53" s="1">
        <v>247</v>
      </c>
      <c r="F53" s="1">
        <v>8</v>
      </c>
    </row>
    <row r="54" spans="1:6">
      <c r="A54" s="2">
        <v>672</v>
      </c>
      <c r="B54" s="2" t="s">
        <v>7</v>
      </c>
      <c r="C54" s="2" t="s">
        <v>33</v>
      </c>
      <c r="D54" s="2" t="s">
        <v>23</v>
      </c>
      <c r="E54" s="1">
        <v>167</v>
      </c>
      <c r="F54" s="1">
        <v>10</v>
      </c>
    </row>
    <row r="55" spans="1:6">
      <c r="A55" s="2">
        <v>4333</v>
      </c>
      <c r="B55" s="2" t="s">
        <v>7</v>
      </c>
      <c r="C55" s="2" t="s">
        <v>33</v>
      </c>
      <c r="D55" s="2" t="s">
        <v>23</v>
      </c>
      <c r="E55" s="1">
        <v>204</v>
      </c>
      <c r="F55" s="1">
        <v>13</v>
      </c>
    </row>
    <row r="56" spans="1:6">
      <c r="A56" s="2">
        <v>4353</v>
      </c>
      <c r="B56" s="2" t="s">
        <v>7</v>
      </c>
      <c r="C56" s="2" t="s">
        <v>33</v>
      </c>
      <c r="D56" s="2" t="s">
        <v>23</v>
      </c>
      <c r="E56" s="1">
        <v>225</v>
      </c>
      <c r="F56" s="1">
        <v>8</v>
      </c>
    </row>
    <row r="57" spans="1:6">
      <c r="A57" s="2">
        <v>4383</v>
      </c>
      <c r="B57" s="2" t="s">
        <v>7</v>
      </c>
      <c r="C57" s="2" t="s">
        <v>33</v>
      </c>
      <c r="D57" s="2" t="s">
        <v>23</v>
      </c>
      <c r="E57" s="1">
        <v>106</v>
      </c>
      <c r="F57" s="1">
        <v>15</v>
      </c>
    </row>
    <row r="58" spans="1:6">
      <c r="A58" s="2">
        <v>4393</v>
      </c>
      <c r="B58" s="2" t="s">
        <v>7</v>
      </c>
      <c r="C58" s="2" t="s">
        <v>33</v>
      </c>
      <c r="D58" s="2" t="s">
        <v>23</v>
      </c>
      <c r="E58" s="1">
        <v>168</v>
      </c>
      <c r="F58" s="1">
        <v>4</v>
      </c>
    </row>
    <row r="59" spans="1:6">
      <c r="A59" s="2" t="s">
        <v>39</v>
      </c>
      <c r="B59" s="2" t="s">
        <v>7</v>
      </c>
      <c r="C59" s="2" t="s">
        <v>33</v>
      </c>
      <c r="D59" s="2" t="s">
        <v>23</v>
      </c>
      <c r="E59" s="1">
        <v>57</v>
      </c>
      <c r="F59" s="1">
        <v>111</v>
      </c>
    </row>
    <row r="60" spans="1:6">
      <c r="A60" s="2" t="s">
        <v>40</v>
      </c>
      <c r="B60" s="2" t="s">
        <v>7</v>
      </c>
      <c r="C60" s="2" t="s">
        <v>33</v>
      </c>
      <c r="D60" s="2" t="s">
        <v>23</v>
      </c>
      <c r="E60" s="1">
        <v>168</v>
      </c>
      <c r="F60" s="1">
        <v>55</v>
      </c>
    </row>
    <row r="61" spans="1:6">
      <c r="A61" s="2" t="s">
        <v>41</v>
      </c>
      <c r="B61" s="2" t="s">
        <v>7</v>
      </c>
      <c r="C61" s="2" t="s">
        <v>33</v>
      </c>
      <c r="D61" s="2" t="s">
        <v>23</v>
      </c>
      <c r="E61" s="1">
        <v>245</v>
      </c>
      <c r="F61" s="1">
        <v>50</v>
      </c>
    </row>
    <row r="62" spans="1:6">
      <c r="A62" s="2" t="s">
        <v>42</v>
      </c>
      <c r="B62" s="2" t="s">
        <v>7</v>
      </c>
      <c r="C62" s="2" t="s">
        <v>33</v>
      </c>
      <c r="D62" s="2" t="s">
        <v>23</v>
      </c>
      <c r="E62" s="1">
        <v>78</v>
      </c>
      <c r="F62" s="1">
        <v>115</v>
      </c>
    </row>
    <row r="63" spans="1:6">
      <c r="A63" s="2" t="s">
        <v>43</v>
      </c>
      <c r="B63" s="2" t="s">
        <v>7</v>
      </c>
      <c r="C63" s="2" t="s">
        <v>33</v>
      </c>
      <c r="D63" s="2" t="s">
        <v>23</v>
      </c>
      <c r="E63" s="1">
        <v>44</v>
      </c>
      <c r="F63" s="1">
        <v>138</v>
      </c>
    </row>
    <row r="64" spans="1:6">
      <c r="A64" s="6" t="s">
        <v>19</v>
      </c>
      <c r="E64" s="4">
        <f>AVERAGE(E50:E63)</f>
        <v>166.71428571428601</v>
      </c>
      <c r="F64" s="4">
        <f>AVERAGE(F50:F63)</f>
        <v>38.928571428571402</v>
      </c>
    </row>
    <row r="65" spans="1:6">
      <c r="A65" s="6" t="s">
        <v>20</v>
      </c>
      <c r="E65" s="4">
        <f>STDEV(E50:E63)</f>
        <v>70.0674714075694</v>
      </c>
      <c r="F65" s="4">
        <f>STDEV(F50:F63)</f>
        <v>47.764589854368502</v>
      </c>
    </row>
    <row r="66" spans="1:6">
      <c r="A66" s="6" t="s">
        <v>21</v>
      </c>
      <c r="E66" s="4">
        <f>E65/SQRT(14)</f>
        <v>18.726319426050299</v>
      </c>
      <c r="F66" s="4">
        <f>F65/SQRT(14)</f>
        <v>12.765623603916101</v>
      </c>
    </row>
    <row r="68" spans="1:6">
      <c r="A68" s="2">
        <v>411</v>
      </c>
      <c r="B68" s="2" t="s">
        <v>44</v>
      </c>
      <c r="C68" s="2" t="s">
        <v>33</v>
      </c>
      <c r="D68" s="2" t="s">
        <v>9</v>
      </c>
      <c r="E68" s="1">
        <v>239</v>
      </c>
      <c r="F68" s="1">
        <v>3</v>
      </c>
    </row>
    <row r="69" spans="1:6">
      <c r="A69" s="2">
        <v>131</v>
      </c>
      <c r="B69" s="2" t="s">
        <v>44</v>
      </c>
      <c r="C69" s="2" t="s">
        <v>33</v>
      </c>
      <c r="D69" s="2" t="s">
        <v>9</v>
      </c>
      <c r="E69" s="1">
        <v>279</v>
      </c>
      <c r="F69" s="1">
        <v>3</v>
      </c>
    </row>
    <row r="70" spans="1:6">
      <c r="A70" s="2">
        <v>141</v>
      </c>
      <c r="B70" s="2" t="s">
        <v>44</v>
      </c>
      <c r="C70" s="2" t="s">
        <v>33</v>
      </c>
      <c r="D70" s="2" t="s">
        <v>9</v>
      </c>
      <c r="E70" s="1">
        <v>274</v>
      </c>
      <c r="F70" s="1">
        <v>1</v>
      </c>
    </row>
    <row r="71" spans="1:6">
      <c r="A71" s="2">
        <v>151</v>
      </c>
      <c r="B71" s="2" t="s">
        <v>44</v>
      </c>
      <c r="C71" s="2" t="s">
        <v>33</v>
      </c>
      <c r="D71" s="2" t="s">
        <v>9</v>
      </c>
      <c r="E71" s="1">
        <v>270</v>
      </c>
      <c r="F71" s="1">
        <v>1</v>
      </c>
    </row>
    <row r="72" spans="1:6">
      <c r="A72" s="2">
        <v>802</v>
      </c>
      <c r="B72" s="2" t="s">
        <v>44</v>
      </c>
      <c r="C72" s="2" t="s">
        <v>33</v>
      </c>
      <c r="D72" s="2" t="s">
        <v>9</v>
      </c>
      <c r="E72" s="1">
        <v>282</v>
      </c>
      <c r="F72" s="1">
        <v>16</v>
      </c>
    </row>
    <row r="73" spans="1:6">
      <c r="A73" s="2">
        <v>812</v>
      </c>
      <c r="B73" s="2" t="s">
        <v>44</v>
      </c>
      <c r="C73" s="2" t="s">
        <v>33</v>
      </c>
      <c r="D73" s="2" t="s">
        <v>9</v>
      </c>
      <c r="E73" s="1">
        <v>290</v>
      </c>
      <c r="F73" s="1">
        <v>10</v>
      </c>
    </row>
    <row r="74" spans="1:6">
      <c r="A74" s="2">
        <v>4043</v>
      </c>
      <c r="B74" s="2" t="s">
        <v>44</v>
      </c>
      <c r="C74" s="2" t="s">
        <v>33</v>
      </c>
      <c r="D74" s="2" t="s">
        <v>9</v>
      </c>
      <c r="E74" s="1">
        <v>238</v>
      </c>
      <c r="F74" s="1">
        <v>1</v>
      </c>
    </row>
    <row r="75" spans="1:6">
      <c r="A75" s="2">
        <v>4113</v>
      </c>
      <c r="B75" s="2" t="s">
        <v>44</v>
      </c>
      <c r="C75" s="2" t="s">
        <v>33</v>
      </c>
      <c r="D75" s="2" t="s">
        <v>9</v>
      </c>
      <c r="E75" s="1">
        <v>197</v>
      </c>
      <c r="F75" s="1">
        <v>2</v>
      </c>
    </row>
    <row r="76" spans="1:6">
      <c r="A76" s="6" t="s">
        <v>19</v>
      </c>
      <c r="E76" s="4">
        <f>AVERAGE(E68:E75)</f>
        <v>258.625</v>
      </c>
      <c r="F76" s="4">
        <f>AVERAGE(F68:F75)</f>
        <v>4.625</v>
      </c>
    </row>
    <row r="77" spans="1:6">
      <c r="A77" s="6" t="s">
        <v>20</v>
      </c>
      <c r="E77" s="4">
        <f>STDEV(E68:E75)</f>
        <v>31.441271784528201</v>
      </c>
      <c r="F77" s="4">
        <f>STDEV(F68:F75)</f>
        <v>5.4755952057418202</v>
      </c>
    </row>
    <row r="78" spans="1:6">
      <c r="A78" s="6" t="s">
        <v>21</v>
      </c>
      <c r="E78" s="4">
        <f>E77/SQRT(8)</f>
        <v>11.1161682439846</v>
      </c>
      <c r="F78" s="4">
        <f>F77/SQRT(8)</f>
        <v>1.9359152505063</v>
      </c>
    </row>
    <row r="80" spans="1:6">
      <c r="A80" s="2">
        <v>121</v>
      </c>
      <c r="B80" s="2" t="s">
        <v>44</v>
      </c>
      <c r="C80" s="2" t="s">
        <v>33</v>
      </c>
      <c r="D80" s="2" t="s">
        <v>23</v>
      </c>
      <c r="E80" s="1">
        <v>276</v>
      </c>
      <c r="F80" s="1">
        <v>2</v>
      </c>
    </row>
    <row r="81" spans="1:6">
      <c r="A81" s="2">
        <v>201</v>
      </c>
      <c r="B81" s="2" t="s">
        <v>44</v>
      </c>
      <c r="C81" s="2" t="s">
        <v>33</v>
      </c>
      <c r="D81" s="2" t="s">
        <v>23</v>
      </c>
      <c r="E81" s="1">
        <v>171</v>
      </c>
      <c r="F81" s="1">
        <v>3</v>
      </c>
    </row>
    <row r="82" spans="1:6">
      <c r="A82" s="2">
        <v>181</v>
      </c>
      <c r="B82" s="2" t="s">
        <v>44</v>
      </c>
      <c r="C82" s="2" t="s">
        <v>33</v>
      </c>
      <c r="D82" s="2" t="s">
        <v>23</v>
      </c>
      <c r="E82" s="1">
        <v>203</v>
      </c>
      <c r="F82" s="1">
        <v>1</v>
      </c>
    </row>
    <row r="83" spans="1:6">
      <c r="A83" s="2">
        <v>391</v>
      </c>
      <c r="B83" s="2" t="s">
        <v>44</v>
      </c>
      <c r="C83" s="2" t="s">
        <v>33</v>
      </c>
      <c r="D83" s="2" t="s">
        <v>23</v>
      </c>
      <c r="E83" s="1">
        <v>230</v>
      </c>
      <c r="F83" s="1">
        <v>3</v>
      </c>
    </row>
    <row r="84" spans="1:6">
      <c r="A84" s="2">
        <v>702</v>
      </c>
      <c r="B84" s="2" t="s">
        <v>44</v>
      </c>
      <c r="C84" s="2" t="s">
        <v>33</v>
      </c>
      <c r="D84" s="2" t="s">
        <v>23</v>
      </c>
      <c r="E84" s="1">
        <v>265</v>
      </c>
      <c r="F84" s="1">
        <v>9</v>
      </c>
    </row>
    <row r="85" spans="1:6">
      <c r="A85" s="2">
        <v>642</v>
      </c>
      <c r="B85" s="2" t="s">
        <v>44</v>
      </c>
      <c r="C85" s="2" t="s">
        <v>33</v>
      </c>
      <c r="D85" s="2" t="s">
        <v>23</v>
      </c>
      <c r="E85" s="1">
        <v>256</v>
      </c>
      <c r="F85" s="1">
        <v>5</v>
      </c>
    </row>
    <row r="86" spans="1:6">
      <c r="A86" s="2">
        <v>4153</v>
      </c>
      <c r="B86" s="2" t="s">
        <v>44</v>
      </c>
      <c r="C86" s="2" t="s">
        <v>33</v>
      </c>
      <c r="D86" s="2" t="s">
        <v>23</v>
      </c>
      <c r="E86" s="1">
        <v>279</v>
      </c>
      <c r="F86" s="1">
        <v>7</v>
      </c>
    </row>
    <row r="87" spans="1:6">
      <c r="A87" s="2">
        <v>4313</v>
      </c>
      <c r="B87" s="2" t="s">
        <v>44</v>
      </c>
      <c r="C87" s="2" t="s">
        <v>33</v>
      </c>
      <c r="D87" s="2" t="s">
        <v>23</v>
      </c>
      <c r="E87" s="1">
        <v>272</v>
      </c>
      <c r="F87" s="1">
        <v>2</v>
      </c>
    </row>
    <row r="88" spans="1:6">
      <c r="A88" s="2">
        <v>4783</v>
      </c>
      <c r="B88" s="2" t="s">
        <v>44</v>
      </c>
      <c r="C88" s="2" t="s">
        <v>33</v>
      </c>
      <c r="D88" s="2" t="s">
        <v>23</v>
      </c>
      <c r="E88" s="1">
        <v>255</v>
      </c>
      <c r="F88" s="1">
        <v>2</v>
      </c>
    </row>
    <row r="89" spans="1:6">
      <c r="A89" s="6" t="s">
        <v>19</v>
      </c>
      <c r="E89" s="4">
        <f>AVERAGE(E80:E88)</f>
        <v>245.222222222222</v>
      </c>
      <c r="F89" s="4">
        <f>AVERAGE(F80:F88)</f>
        <v>3.7777777777777799</v>
      </c>
    </row>
    <row r="90" spans="1:6">
      <c r="A90" s="6" t="s">
        <v>20</v>
      </c>
      <c r="E90" s="4">
        <f>STDEV(E80:E88)</f>
        <v>36.965449333728401</v>
      </c>
      <c r="F90" s="4">
        <f>STDEV(F80:F88)</f>
        <v>2.6822461565718498</v>
      </c>
    </row>
    <row r="91" spans="1:6">
      <c r="A91" s="6" t="s">
        <v>21</v>
      </c>
      <c r="E91" s="4">
        <f>E90/SQRT(9)</f>
        <v>12.3218164445761</v>
      </c>
      <c r="F91" s="4">
        <f>F90/SQRT(9)</f>
        <v>0.89408205219061598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2024-11-23T09:25:00Z</dcterms:created>
  <dcterms:modified xsi:type="dcterms:W3CDTF">2026-06-19T12:43:13Z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BEAA2C59A04A47228FFDCD32118C1B5B_11</vt:lpwstr>
  </property>
  <property fmtid="{D5CDD505-2E9C-101B-9397-08002B2CF9AE}" pid="3" name="KSOProductBuildVer">
    <vt:lpwstr>2052-12.1.0.19302</vt:lpwstr>
  </property>
</Properties>
</file>