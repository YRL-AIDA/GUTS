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71EB2C6-4D7E-4EC0-A4BB-8B6F47D5A60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1.1" sheetId="1" r:id="rId1"/>
  </sheets>
  <externalReferences>
    <externalReference r:id="rId2"/>
  </externalReferences>
  <definedNames>
    <definedName name="CapAME">'[1]Dept AMEsum'!#REF!</definedName>
    <definedName name="CapDEL">[1]DELsum!#REF!</definedName>
    <definedName name="CGCapDEL">#REF!</definedName>
    <definedName name="PCCapDEL">#REF!</definedName>
    <definedName name="ResAME">'[1]Dept AMEsum'!#REF!</definedName>
    <definedName name="ResDEL">[1]DELsum!#REF!</definedName>
    <definedName name="rngTable1">#REF!</definedName>
    <definedName name="rngTable2">#REF!</definedName>
    <definedName name="rngTable20">#REF!</definedName>
    <definedName name="rngTable3">#REF!</definedName>
    <definedName name="rngTable4">#REF!</definedName>
    <definedName name="rngTable5">#REF!</definedName>
    <definedName name="rngTable6">#REF!</definedName>
    <definedName name="rngTable7">#REF!</definedName>
    <definedName name="Table" localSheetId="0">'1.1'!#REF!,'1.1'!$B$9:$I$17,'1.1'!$B$20:$I$22,'1.1'!$B$26:$I$26,'1.1'!$B$29:$I$29,'1.1'!$B$31:$I$35,'1.1'!$B$38:$I$40,'1.1'!$B$43:$I$43,'1.1'!$B$44:$I$44,'1.1'!$B$48:$I$50</definedName>
    <definedName name="_xlnm.Print_Area" localSheetId="0">'1.1'!$A$1:$I$50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1" l="1"/>
  <c r="G41" i="1"/>
  <c r="G40" i="1"/>
  <c r="I25" i="1"/>
  <c r="H25" i="1"/>
  <c r="G25" i="1"/>
  <c r="I24" i="1"/>
  <c r="H24" i="1"/>
  <c r="G24" i="1"/>
  <c r="I23" i="1"/>
  <c r="H23" i="1"/>
  <c r="G23" i="1"/>
</calcChain>
</file>

<file path=xl/sharedStrings.xml><?xml version="1.0" encoding="utf-8"?>
<sst xmlns="http://schemas.openxmlformats.org/spreadsheetml/2006/main" count="127" uniqueCount="54">
  <si>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</si>
  <si>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</si>
  <si>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</si>
  <si>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</si>
  <si>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</si>
  <si>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</si>
  <si>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</si>
  <si>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</si>
  <si>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outturn</t>
  </si>
  <si>
    <t>plans</t>
  </si>
  <si>
    <t>CURRENT EXPENDITURE</t>
  </si>
  <si>
    <t>Resource DEL</t>
  </si>
  <si>
    <r>
      <rPr>
        <sz val="8"/>
        <rFont val="Humnst777 Lt BT"/>
        <charset val="134"/>
      </rPr>
      <t>Resource DEL excluding depreciation</t>
    </r>
    <r>
      <rPr>
        <vertAlign val="superscript"/>
        <sz val="8"/>
        <rFont val="Humnst777 Lt BT"/>
        <charset val="134"/>
      </rPr>
      <t>(1)</t>
    </r>
  </si>
  <si>
    <r>
      <rPr>
        <sz val="8"/>
        <rFont val="Humnst777 Lt BT"/>
        <charset val="134"/>
      </rPr>
      <t>Depreciation in resource DEL</t>
    </r>
    <r>
      <rPr>
        <vertAlign val="superscript"/>
        <sz val="8"/>
        <rFont val="Humnst777 Lt BT"/>
        <charset val="134"/>
      </rPr>
      <t>(1)</t>
    </r>
  </si>
  <si>
    <t>Total resource DEL</t>
  </si>
  <si>
    <t>Resource departmental AME</t>
  </si>
  <si>
    <t xml:space="preserve"> </t>
  </si>
  <si>
    <t>Social security benefits</t>
  </si>
  <si>
    <r>
      <rPr>
        <sz val="8"/>
        <rFont val="Humnst777 Lt BT"/>
        <charset val="134"/>
      </rPr>
      <t xml:space="preserve">Tax credits </t>
    </r>
    <r>
      <rPr>
        <vertAlign val="superscript"/>
        <sz val="8"/>
        <rFont val="Humnst777 Lt BT"/>
        <charset val="134"/>
      </rPr>
      <t>(2)</t>
    </r>
  </si>
  <si>
    <r>
      <rPr>
        <sz val="8"/>
        <rFont val="Humnst777 Lt BT"/>
        <charset val="134"/>
      </rPr>
      <t xml:space="preserve">Net public service pensions </t>
    </r>
    <r>
      <rPr>
        <vertAlign val="superscript"/>
        <sz val="8"/>
        <rFont val="Humnst777 Lt BT"/>
        <charset val="134"/>
      </rPr>
      <t>(3)</t>
    </r>
  </si>
  <si>
    <t>National lottery</t>
  </si>
  <si>
    <t>BBC domestic services</t>
  </si>
  <si>
    <t>Student loans</t>
  </si>
  <si>
    <t>Non-cash items</t>
  </si>
  <si>
    <t>Financial sector interventions</t>
  </si>
  <si>
    <t>-</t>
  </si>
  <si>
    <t>Other departmental expenditure</t>
  </si>
  <si>
    <t>Total resource departmental AME</t>
  </si>
  <si>
    <t>Resource other AME</t>
  </si>
  <si>
    <t>Net expenditure transfers to the EU</t>
  </si>
  <si>
    <t>Locally financed expenditure</t>
  </si>
  <si>
    <t>Central government gross debt interest</t>
  </si>
  <si>
    <r>
      <rPr>
        <sz val="8"/>
        <rFont val="Humnst777 Lt BT"/>
        <charset val="134"/>
      </rPr>
      <t xml:space="preserve">Accounting adjustments </t>
    </r>
    <r>
      <rPr>
        <vertAlign val="superscript"/>
        <sz val="8"/>
        <rFont val="Humnst777 Lt BT"/>
        <charset val="134"/>
      </rPr>
      <t>(4)</t>
    </r>
  </si>
  <si>
    <t>Total resource other AME</t>
  </si>
  <si>
    <t>Total resource AME</t>
  </si>
  <si>
    <t>Public sector current expenditure</t>
  </si>
  <si>
    <t>CAPITAL EXPENDITURE</t>
  </si>
  <si>
    <t>Capital DEL</t>
  </si>
  <si>
    <t>Total capital DEL</t>
  </si>
  <si>
    <t>Capital departmental AME</t>
  </si>
  <si>
    <t>Total capital departmental AME</t>
  </si>
  <si>
    <t>Capital other AME</t>
  </si>
  <si>
    <t xml:space="preserve">  </t>
  </si>
  <si>
    <t>Public corporations' own-financed capital expenditure</t>
  </si>
  <si>
    <t>Total capital other AME</t>
  </si>
  <si>
    <t>Total capital AME</t>
  </si>
  <si>
    <r>
      <rPr>
        <sz val="8"/>
        <rFont val="Humnst777 BlkCn BT"/>
        <charset val="134"/>
      </rPr>
      <t xml:space="preserve">Public sector gross investment </t>
    </r>
    <r>
      <rPr>
        <vertAlign val="superscript"/>
        <sz val="8"/>
        <rFont val="Humnst777 BlkCn BT"/>
        <charset val="134"/>
      </rPr>
      <t>(5)</t>
    </r>
  </si>
  <si>
    <r>
      <rPr>
        <i/>
        <sz val="8"/>
        <rFont val="Humnst777 Lt BT"/>
        <charset val="134"/>
      </rPr>
      <t>less</t>
    </r>
    <r>
      <rPr>
        <sz val="8"/>
        <rFont val="Humnst777 Lt BT"/>
        <charset val="134"/>
      </rPr>
      <t xml:space="preserve"> public sector depreciation </t>
    </r>
    <r>
      <rPr>
        <vertAlign val="superscript"/>
        <sz val="8"/>
        <rFont val="Humnst777 Lt BT"/>
        <charset val="134"/>
      </rPr>
      <t>(5)</t>
    </r>
  </si>
  <si>
    <r>
      <rPr>
        <sz val="8"/>
        <rFont val="Humnst777 BlkCn BT"/>
        <charset val="134"/>
      </rPr>
      <t xml:space="preserve">Public sector net investment </t>
    </r>
    <r>
      <rPr>
        <vertAlign val="superscript"/>
        <sz val="8"/>
        <rFont val="Humnst777 BlkCn BT"/>
        <charset val="134"/>
      </rPr>
      <t>(5)</t>
    </r>
  </si>
  <si>
    <r>
      <rPr>
        <sz val="8"/>
        <rFont val="Humnst777 BlkCn BT"/>
        <charset val="134"/>
      </rPr>
      <t xml:space="preserve">TOTAL MANAGED EXPENDITURE </t>
    </r>
    <r>
      <rPr>
        <vertAlign val="superscript"/>
        <sz val="8"/>
        <rFont val="Humnst777 BlkCn BT"/>
        <charset val="134"/>
      </rPr>
      <t>(5)</t>
    </r>
  </si>
  <si>
    <t>of which:</t>
  </si>
  <si>
    <r>
      <rPr>
        <sz val="8"/>
        <rFont val="Humnst777 Lt BT"/>
        <charset val="134"/>
      </rPr>
      <t xml:space="preserve">Total DEL </t>
    </r>
    <r>
      <rPr>
        <vertAlign val="superscript"/>
        <sz val="8"/>
        <rFont val="Humnst777 Lt BT"/>
        <charset val="134"/>
      </rPr>
      <t>(6)</t>
    </r>
  </si>
  <si>
    <t>Departmental AME</t>
  </si>
  <si>
    <t>Other 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</si>
</sst>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,;\-#,##0,;\-"/>
  </numFmts>
  <fonts count="17">
    <font>
      <sz val="8"/>
      <name val="Arial"/>
      <charset val="134"/>
    </font>
    <font>
      <sz val="8"/>
      <name val="Humnst777 BlkCn BT"/>
      <charset val="134"/>
    </font>
    <font>
      <sz val="8"/>
      <name val="Humnst777 Lt BT"/>
      <charset val="134"/>
    </font>
    <font>
      <sz val="8"/>
      <color indexed="30"/>
      <name val="Humnst777 BlkCn BT"/>
      <charset val="134"/>
    </font>
    <font>
      <sz val="8"/>
      <color indexed="12"/>
      <name val="Humnst777 BlkCn BT"/>
      <charset val="134"/>
    </font>
    <font>
      <i/>
      <sz val="8"/>
      <color indexed="30"/>
      <name val="Humnst777 Lt BT"/>
      <charset val="134"/>
    </font>
    <font>
      <sz val="8"/>
      <color indexed="12"/>
      <name val="Humnst777 Lt BT"/>
      <charset val="134"/>
    </font>
    <font>
      <i/>
      <sz val="8"/>
      <color indexed="12"/>
      <name val="Humnst777 Lt BT"/>
      <charset val="134"/>
    </font>
    <font>
      <i/>
      <sz val="8"/>
      <name val="Humnst777 Lt BT"/>
      <charset val="134"/>
    </font>
    <font>
      <b/>
      <sz val="12"/>
      <name val="Humnst777 Lt BT"/>
      <charset val="134"/>
    </font>
    <font>
      <b/>
      <sz val="8"/>
      <name val="Arial"/>
      <charset val="134"/>
    </font>
    <font>
      <sz val="10"/>
      <name val="Arial"/>
      <charset val="134"/>
    </font>
    <font>
      <b/>
      <sz val="8"/>
      <color indexed="12"/>
      <name val="Arial"/>
      <charset val="134"/>
    </font>
    <font>
      <i/>
      <sz val="8"/>
      <color indexed="12"/>
      <name val="Arial"/>
      <charset val="134"/>
    </font>
    <font>
      <vertAlign val="superscript"/>
      <sz val="8"/>
      <name val="Humnst777 Lt BT"/>
      <charset val="134"/>
    </font>
    <font>
      <vertAlign val="superscript"/>
      <sz val="8"/>
      <name val="Humnst777 BlkCn BT"/>
      <charset val="134"/>
    </font>
    <font>
      <sz val="8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medium">
        <color indexed="30"/>
      </bottom>
      <diagonal/>
    </border>
    <border>
      <left/>
      <right/>
      <top style="thin">
        <color indexed="30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12"/>
      </bottom>
      <diagonal/>
    </border>
  </borders>
  <cellStyleXfs count="9">
    <xf numFmtId="0" fontId="0" fillId="0" borderId="0"/>
    <xf numFmtId="0" fontId="10" fillId="3" borderId="0">
      <alignment horizontal="right" vertical="top" wrapText="1"/>
    </xf>
    <xf numFmtId="0" fontId="11" fillId="0" borderId="0"/>
    <xf numFmtId="0" fontId="12" fillId="0" borderId="0"/>
    <xf numFmtId="164" fontId="16" fillId="0" borderId="0">
      <alignment wrapText="1"/>
      <protection locked="0"/>
    </xf>
    <xf numFmtId="0" fontId="13" fillId="0" borderId="0"/>
    <xf numFmtId="0" fontId="12" fillId="0" borderId="6">
      <alignment horizontal="right"/>
    </xf>
    <xf numFmtId="0" fontId="16" fillId="0" borderId="0"/>
    <xf numFmtId="0" fontId="16" fillId="0" borderId="0"/>
  </cellStyleXfs>
  <cellXfs count="42">
    <xf numFmtId="0" fontId="0" fillId="0" borderId="0" xfId="0"/>
    <xf numFmtId="0" fontId="1" fillId="0" borderId="0" xfId="1" applyFont="1" applyFill="1" applyProtection="1">
      <alignment horizontal="right" vertical="top" wrapText="1"/>
      <protection locked="0"/>
    </xf>
    <xf numFmtId="0" fontId="1" fillId="0" borderId="0" xfId="0" applyFont="1"/>
    <xf numFmtId="0" fontId="2" fillId="0" borderId="0" xfId="0" applyFont="1"/>
    <xf numFmtId="0" fontId="1" fillId="0" borderId="0" xfId="1" applyFont="1" applyFill="1" applyAlignment="1" applyProtection="1">
      <alignment horizontal="left" vertical="top" wrapText="1"/>
      <protection locked="0"/>
    </xf>
    <xf numFmtId="3" fontId="1" fillId="2" borderId="0" xfId="2" applyNumberFormat="1" applyFont="1" applyFill="1" applyAlignment="1">
      <alignment horizontal="left" vertical="center"/>
    </xf>
    <xf numFmtId="0" fontId="4" fillId="0" borderId="0" xfId="3" applyFont="1" applyProtection="1">
      <protection locked="0"/>
    </xf>
    <xf numFmtId="0" fontId="6" fillId="0" borderId="0" xfId="3" applyFont="1" applyAlignment="1" applyProtection="1">
      <alignment horizontal="right"/>
      <protection locked="0"/>
    </xf>
    <xf numFmtId="3" fontId="6" fillId="0" borderId="0" xfId="3" applyNumberFormat="1" applyFont="1" applyAlignment="1" applyProtection="1">
      <alignment horizontal="right"/>
      <protection locked="0"/>
    </xf>
    <xf numFmtId="3" fontId="2" fillId="0" borderId="0" xfId="4" applyNumberFormat="1" applyFont="1" applyAlignment="1">
      <alignment horizontal="right" wrapText="1"/>
      <protection locked="0"/>
    </xf>
    <xf numFmtId="3" fontId="1" fillId="2" borderId="0" xfId="1" applyNumberFormat="1" applyFont="1" applyFill="1" applyProtection="1">
      <alignment horizontal="right" vertical="top" wrapText="1"/>
      <protection locked="0"/>
    </xf>
    <xf numFmtId="3" fontId="6" fillId="0" borderId="0" xfId="3" applyNumberFormat="1" applyFont="1" applyProtection="1">
      <protection locked="0"/>
    </xf>
    <xf numFmtId="3" fontId="2" fillId="0" borderId="0" xfId="4" applyNumberFormat="1" applyFont="1">
      <alignment wrapText="1"/>
      <protection locked="0"/>
    </xf>
    <xf numFmtId="3" fontId="7" fillId="0" borderId="0" xfId="5" applyNumberFormat="1" applyFont="1" applyAlignment="1" applyProtection="1">
      <alignment horizontal="right"/>
      <protection locked="0"/>
    </xf>
    <xf numFmtId="3" fontId="7" fillId="0" borderId="0" xfId="5" applyNumberFormat="1" applyFont="1" applyProtection="1">
      <protection locked="0"/>
    </xf>
    <xf numFmtId="3" fontId="1" fillId="2" borderId="1" xfId="1" applyNumberFormat="1" applyFont="1" applyFill="1" applyBorder="1" applyProtection="1">
      <alignment horizontal="right" vertical="top" wrapText="1"/>
      <protection locked="0"/>
    </xf>
    <xf numFmtId="3" fontId="1" fillId="2" borderId="2" xfId="1" applyNumberFormat="1" applyFont="1" applyFill="1" applyBorder="1" applyProtection="1">
      <alignment horizontal="right" vertical="top" wrapText="1"/>
      <protection locked="0"/>
    </xf>
    <xf numFmtId="3" fontId="1" fillId="2" borderId="3" xfId="1" applyNumberFormat="1" applyFont="1" applyFill="1" applyBorder="1" applyProtection="1">
      <alignment horizontal="right" vertical="top" wrapText="1"/>
      <protection locked="0"/>
    </xf>
    <xf numFmtId="3" fontId="4" fillId="0" borderId="0" xfId="3" applyNumberFormat="1" applyFont="1" applyAlignment="1" applyProtection="1">
      <alignment horizontal="right"/>
      <protection locked="0"/>
    </xf>
    <xf numFmtId="3" fontId="4" fillId="0" borderId="0" xfId="3" applyNumberFormat="1" applyFont="1" applyProtection="1">
      <protection locked="0"/>
    </xf>
    <xf numFmtId="3" fontId="1" fillId="2" borderId="4" xfId="1" applyNumberFormat="1" applyFont="1" applyFill="1" applyBorder="1" applyProtection="1">
      <alignment horizontal="right" vertical="top" wrapText="1"/>
      <protection locked="0"/>
    </xf>
    <xf numFmtId="3" fontId="2" fillId="0" borderId="5" xfId="4" applyNumberFormat="1" applyFont="1" applyBorder="1" applyAlignment="1">
      <alignment horizontal="right" wrapText="1"/>
      <protection locked="0"/>
    </xf>
    <xf numFmtId="3" fontId="9" fillId="0" borderId="0" xfId="0" applyNumberFormat="1" applyFont="1"/>
    <xf numFmtId="3" fontId="2" fillId="0" borderId="0" xfId="0" applyNumberFormat="1" applyFont="1"/>
    <xf numFmtId="3" fontId="1" fillId="4" borderId="0" xfId="2" applyNumberFormat="1" applyFont="1" applyFill="1" applyAlignment="1">
      <alignment horizontal="right" vertical="center"/>
    </xf>
    <xf numFmtId="0" fontId="1" fillId="4" borderId="0" xfId="1" applyFont="1" applyFill="1" applyProtection="1">
      <alignment horizontal="right" vertical="top" wrapText="1"/>
      <protection locked="0"/>
    </xf>
    <xf numFmtId="0" fontId="3" fillId="4" borderId="0" xfId="3" applyFont="1" applyFill="1" applyProtection="1">
      <protection locked="0"/>
    </xf>
    <xf numFmtId="0" fontId="5" fillId="4" borderId="0" xfId="3" applyFont="1" applyFill="1" applyProtection="1">
      <protection locked="0"/>
    </xf>
    <xf numFmtId="0" fontId="2" fillId="5" borderId="0" xfId="7" applyFont="1" applyFill="1" applyAlignment="1">
      <alignment horizontal="left"/>
    </xf>
    <xf numFmtId="0" fontId="1" fillId="5" borderId="0" xfId="1" applyFont="1" applyFill="1" applyAlignment="1" applyProtection="1">
      <alignment horizontal="left" vertical="top" wrapText="1"/>
      <protection locked="0"/>
    </xf>
    <xf numFmtId="0" fontId="2" fillId="5" borderId="0" xfId="7" applyFont="1" applyFill="1" applyAlignment="1">
      <alignment wrapText="1"/>
    </xf>
    <xf numFmtId="0" fontId="2" fillId="5" borderId="0" xfId="7" applyFont="1" applyFill="1" applyAlignment="1">
      <alignment horizontal="left" wrapText="1"/>
    </xf>
    <xf numFmtId="0" fontId="1" fillId="5" borderId="1" xfId="1" applyFont="1" applyFill="1" applyBorder="1" applyAlignment="1" applyProtection="1">
      <alignment horizontal="left" vertical="top" wrapText="1"/>
      <protection locked="0"/>
    </xf>
    <xf numFmtId="0" fontId="1" fillId="5" borderId="2" xfId="1" applyFont="1" applyFill="1" applyBorder="1" applyAlignment="1" applyProtection="1">
      <alignment horizontal="left" vertical="top" wrapText="1"/>
      <protection locked="0"/>
    </xf>
    <xf numFmtId="0" fontId="1" fillId="5" borderId="3" xfId="1" applyFont="1" applyFill="1" applyBorder="1" applyAlignment="1" applyProtection="1">
      <alignment horizontal="left" vertical="top" wrapText="1"/>
      <protection locked="0"/>
    </xf>
    <xf numFmtId="3" fontId="1" fillId="5" borderId="0" xfId="1" applyNumberFormat="1" applyFont="1" applyFill="1" applyAlignment="1" applyProtection="1">
      <alignment horizontal="left" vertical="top" wrapText="1"/>
      <protection locked="0"/>
    </xf>
    <xf numFmtId="0" fontId="2" fillId="5" borderId="0" xfId="7" applyFont="1" applyFill="1"/>
    <xf numFmtId="0" fontId="8" fillId="5" borderId="0" xfId="7" applyFont="1" applyFill="1" applyAlignment="1">
      <alignment horizontal="left" indent="1"/>
    </xf>
    <xf numFmtId="0" fontId="1" fillId="5" borderId="4" xfId="1" applyFont="1" applyFill="1" applyBorder="1" applyAlignment="1" applyProtection="1">
      <alignment vertical="top" wrapText="1"/>
      <protection locked="0"/>
    </xf>
    <xf numFmtId="0" fontId="2" fillId="5" borderId="0" xfId="7" applyFont="1" applyFill="1" applyAlignment="1">
      <alignment horizontal="left" indent="1"/>
    </xf>
    <xf numFmtId="0" fontId="2" fillId="5" borderId="5" xfId="7" applyFont="1" applyFill="1" applyBorder="1" applyAlignment="1">
      <alignment horizontal="left" indent="1"/>
    </xf>
    <xf numFmtId="0" fontId="8" fillId="4" borderId="0" xfId="7" applyFont="1" applyFill="1" applyAlignment="1">
      <alignment horizontal="left"/>
    </xf>
  </cellXfs>
  <cellStyles count="9">
    <cellStyle name="Normal_Final 1.1 Feb 23" xfId="8" xr:uid="{00000000-0005-0000-0000-000038000000}"/>
    <cellStyle name="Normal_PESA 2008 Chapter 9 Tables (Web)" xfId="2" xr:uid="{00000000-0005-0000-0000-000032000000}"/>
    <cellStyle name="Normal_Sheet1" xfId="7" xr:uid="{00000000-0005-0000-0000-000037000000}"/>
    <cellStyle name="Table Header" xfId="1" xr:uid="{00000000-0005-0000-0000-000031000000}"/>
    <cellStyle name="Table Heading 1" xfId="3" xr:uid="{00000000-0005-0000-0000-000033000000}"/>
    <cellStyle name="Table Heading 2" xfId="5" xr:uid="{00000000-0005-0000-0000-000035000000}"/>
    <cellStyle name="Table Row Millions" xfId="4" xr:uid="{00000000-0005-0000-0000-000034000000}"/>
    <cellStyle name="Table Units" xfId="6" xr:uid="{00000000-0005-0000-0000-000036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tsclient/P/PESA/Publications/PESA08/Copy%20of%20PEF%20FSBR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lassification"/>
      <sheetName val="Dept AMEsum"/>
      <sheetName val="DELsum"/>
      <sheetName val="PC DELsum"/>
      <sheetName val="Oth COINS data"/>
      <sheetName val="ONS NAA data"/>
      <sheetName val="Adjusts in DEL"/>
      <sheetName val="DEL_PSATforecast"/>
      <sheetName val="Ftabs input"/>
      <sheetName val="PBR Ftabs input"/>
      <sheetName val="Ftabs diff"/>
      <sheetName val="Calculations"/>
      <sheetName val="Actual PSCE, PSNI"/>
      <sheetName val="TME"/>
      <sheetName val="Oth cur ac adj in AME"/>
      <sheetName val="Oth cap ac adj in AME"/>
      <sheetName val="PESA TME table"/>
      <sheetName val="NA Query"/>
      <sheetName val="New DEL Query"/>
      <sheetName val="PSAT2"/>
      <sheetName val="PBR PSAT2"/>
      <sheetName val="Diff PSAT2"/>
      <sheetName val="LA curr, old"/>
      <sheetName val="LA curr, PBR"/>
      <sheetName val="LA curr, FSBR"/>
      <sheetName val="LA cap, old"/>
      <sheetName val="LA cap, new"/>
      <sheetName val="Mod Query"/>
      <sheetName val="Mod input"/>
      <sheetName val="Upload"/>
      <sheetName val="ANTdl"/>
      <sheetName val="Model BEFORE input"/>
      <sheetName val=" Model AFTER input"/>
      <sheetName val="Input-Model AFTER input"/>
      <sheetName val="AA Query"/>
      <sheetName val="New AA table"/>
      <sheetName val="EC 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autoPageBreaks="0"/>
  </sheetPr>
  <dimension ref="A1:HP52"/>
  <sheetViews>
    <sheetView showGridLines="0" tabSelected="1" zoomScale="134" zoomScaleNormal="134" workbookViewId="0">
      <selection activeCell="C32" sqref="C32"/>
    </sheetView>
  </sheetViews>
  <sheetFormatPr defaultColWidth="9" defaultRowHeight="10.5"/>
  <cols>
    <col min="1" max="1" width="45.33203125" style="3" customWidth="1"/>
    <col min="2" max="9" width="10.83203125" style="3" customWidth="1"/>
    <col min="10" max="239" width="9.33203125" style="3"/>
    <col min="240" max="240" width="45.33203125" style="3" customWidth="1"/>
    <col min="241" max="248" width="11.1640625" style="3" customWidth="1"/>
    <col min="249" max="254" width="9.33203125" style="3"/>
    <col min="255" max="257" width="11.1640625" style="3" customWidth="1"/>
    <col min="258" max="495" width="9.33203125" style="3"/>
    <col min="496" max="496" width="45.33203125" style="3" customWidth="1"/>
    <col min="497" max="504" width="11.1640625" style="3" customWidth="1"/>
    <col min="505" max="510" width="9.33203125" style="3"/>
    <col min="511" max="513" width="11.1640625" style="3" customWidth="1"/>
    <col min="514" max="751" width="9.33203125" style="3"/>
    <col min="752" max="752" width="45.33203125" style="3" customWidth="1"/>
    <col min="753" max="760" width="11.1640625" style="3" customWidth="1"/>
    <col min="761" max="766" width="9.33203125" style="3"/>
    <col min="767" max="769" width="11.1640625" style="3" customWidth="1"/>
    <col min="770" max="1007" width="9.33203125" style="3"/>
    <col min="1008" max="1008" width="45.33203125" style="3" customWidth="1"/>
    <col min="1009" max="1016" width="11.1640625" style="3" customWidth="1"/>
    <col min="1017" max="1022" width="9.33203125" style="3"/>
    <col min="1023" max="1025" width="11.1640625" style="3" customWidth="1"/>
    <col min="1026" max="1263" width="9.33203125" style="3"/>
    <col min="1264" max="1264" width="45.33203125" style="3" customWidth="1"/>
    <col min="1265" max="1272" width="11.1640625" style="3" customWidth="1"/>
    <col min="1273" max="1278" width="9.33203125" style="3"/>
    <col min="1279" max="1281" width="11.1640625" style="3" customWidth="1"/>
    <col min="1282" max="1519" width="9.33203125" style="3"/>
    <col min="1520" max="1520" width="45.33203125" style="3" customWidth="1"/>
    <col min="1521" max="1528" width="11.1640625" style="3" customWidth="1"/>
    <col min="1529" max="1534" width="9.33203125" style="3"/>
    <col min="1535" max="1537" width="11.1640625" style="3" customWidth="1"/>
    <col min="1538" max="1775" width="9.33203125" style="3"/>
    <col min="1776" max="1776" width="45.33203125" style="3" customWidth="1"/>
    <col min="1777" max="1784" width="11.1640625" style="3" customWidth="1"/>
    <col min="1785" max="1790" width="9.33203125" style="3"/>
    <col min="1791" max="1793" width="11.1640625" style="3" customWidth="1"/>
    <col min="1794" max="2031" width="9.33203125" style="3"/>
    <col min="2032" max="2032" width="45.33203125" style="3" customWidth="1"/>
    <col min="2033" max="2040" width="11.1640625" style="3" customWidth="1"/>
    <col min="2041" max="2046" width="9.33203125" style="3"/>
    <col min="2047" max="2049" width="11.1640625" style="3" customWidth="1"/>
    <col min="2050" max="2287" width="9.33203125" style="3"/>
    <col min="2288" max="2288" width="45.33203125" style="3" customWidth="1"/>
    <col min="2289" max="2296" width="11.1640625" style="3" customWidth="1"/>
    <col min="2297" max="2302" width="9.33203125" style="3"/>
    <col min="2303" max="2305" width="11.1640625" style="3" customWidth="1"/>
    <col min="2306" max="2543" width="9.33203125" style="3"/>
    <col min="2544" max="2544" width="45.33203125" style="3" customWidth="1"/>
    <col min="2545" max="2552" width="11.1640625" style="3" customWidth="1"/>
    <col min="2553" max="2558" width="9.33203125" style="3"/>
    <col min="2559" max="2561" width="11.1640625" style="3" customWidth="1"/>
    <col min="2562" max="2799" width="9.33203125" style="3"/>
    <col min="2800" max="2800" width="45.33203125" style="3" customWidth="1"/>
    <col min="2801" max="2808" width="11.1640625" style="3" customWidth="1"/>
    <col min="2809" max="2814" width="9.33203125" style="3"/>
    <col min="2815" max="2817" width="11.1640625" style="3" customWidth="1"/>
    <col min="2818" max="3055" width="9.33203125" style="3"/>
    <col min="3056" max="3056" width="45.33203125" style="3" customWidth="1"/>
    <col min="3057" max="3064" width="11.1640625" style="3" customWidth="1"/>
    <col min="3065" max="3070" width="9.33203125" style="3"/>
    <col min="3071" max="3073" width="11.1640625" style="3" customWidth="1"/>
    <col min="3074" max="3311" width="9.33203125" style="3"/>
    <col min="3312" max="3312" width="45.33203125" style="3" customWidth="1"/>
    <col min="3313" max="3320" width="11.1640625" style="3" customWidth="1"/>
    <col min="3321" max="3326" width="9.33203125" style="3"/>
    <col min="3327" max="3329" width="11.1640625" style="3" customWidth="1"/>
    <col min="3330" max="3567" width="9.33203125" style="3"/>
    <col min="3568" max="3568" width="45.33203125" style="3" customWidth="1"/>
    <col min="3569" max="3576" width="11.1640625" style="3" customWidth="1"/>
    <col min="3577" max="3582" width="9.33203125" style="3"/>
    <col min="3583" max="3585" width="11.1640625" style="3" customWidth="1"/>
    <col min="3586" max="3823" width="9.33203125" style="3"/>
    <col min="3824" max="3824" width="45.33203125" style="3" customWidth="1"/>
    <col min="3825" max="3832" width="11.1640625" style="3" customWidth="1"/>
    <col min="3833" max="3838" width="9.33203125" style="3"/>
    <col min="3839" max="3841" width="11.1640625" style="3" customWidth="1"/>
    <col min="3842" max="4079" width="9.33203125" style="3"/>
    <col min="4080" max="4080" width="45.33203125" style="3" customWidth="1"/>
    <col min="4081" max="4088" width="11.1640625" style="3" customWidth="1"/>
    <col min="4089" max="4094" width="9.33203125" style="3"/>
    <col min="4095" max="4097" width="11.1640625" style="3" customWidth="1"/>
    <col min="4098" max="4335" width="9.33203125" style="3"/>
    <col min="4336" max="4336" width="45.33203125" style="3" customWidth="1"/>
    <col min="4337" max="4344" width="11.1640625" style="3" customWidth="1"/>
    <col min="4345" max="4350" width="9.33203125" style="3"/>
    <col min="4351" max="4353" width="11.1640625" style="3" customWidth="1"/>
    <col min="4354" max="4591" width="9.33203125" style="3"/>
    <col min="4592" max="4592" width="45.33203125" style="3" customWidth="1"/>
    <col min="4593" max="4600" width="11.1640625" style="3" customWidth="1"/>
    <col min="4601" max="4606" width="9.33203125" style="3"/>
    <col min="4607" max="4609" width="11.1640625" style="3" customWidth="1"/>
    <col min="4610" max="4847" width="9.33203125" style="3"/>
    <col min="4848" max="4848" width="45.33203125" style="3" customWidth="1"/>
    <col min="4849" max="4856" width="11.1640625" style="3" customWidth="1"/>
    <col min="4857" max="4862" width="9.33203125" style="3"/>
    <col min="4863" max="4865" width="11.1640625" style="3" customWidth="1"/>
    <col min="4866" max="5103" width="9.33203125" style="3"/>
    <col min="5104" max="5104" width="45.33203125" style="3" customWidth="1"/>
    <col min="5105" max="5112" width="11.1640625" style="3" customWidth="1"/>
    <col min="5113" max="5118" width="9.33203125" style="3"/>
    <col min="5119" max="5121" width="11.1640625" style="3" customWidth="1"/>
    <col min="5122" max="5359" width="9.33203125" style="3"/>
    <col min="5360" max="5360" width="45.33203125" style="3" customWidth="1"/>
    <col min="5361" max="5368" width="11.1640625" style="3" customWidth="1"/>
    <col min="5369" max="5374" width="9.33203125" style="3"/>
    <col min="5375" max="5377" width="11.1640625" style="3" customWidth="1"/>
    <col min="5378" max="5615" width="9.33203125" style="3"/>
    <col min="5616" max="5616" width="45.33203125" style="3" customWidth="1"/>
    <col min="5617" max="5624" width="11.1640625" style="3" customWidth="1"/>
    <col min="5625" max="5630" width="9.33203125" style="3"/>
    <col min="5631" max="5633" width="11.1640625" style="3" customWidth="1"/>
    <col min="5634" max="5871" width="9.33203125" style="3"/>
    <col min="5872" max="5872" width="45.33203125" style="3" customWidth="1"/>
    <col min="5873" max="5880" width="11.1640625" style="3" customWidth="1"/>
    <col min="5881" max="5886" width="9.33203125" style="3"/>
    <col min="5887" max="5889" width="11.1640625" style="3" customWidth="1"/>
    <col min="5890" max="6127" width="9.33203125" style="3"/>
    <col min="6128" max="6128" width="45.33203125" style="3" customWidth="1"/>
    <col min="6129" max="6136" width="11.1640625" style="3" customWidth="1"/>
    <col min="6137" max="6142" width="9.33203125" style="3"/>
    <col min="6143" max="6145" width="11.1640625" style="3" customWidth="1"/>
    <col min="6146" max="6383" width="9.33203125" style="3"/>
    <col min="6384" max="6384" width="45.33203125" style="3" customWidth="1"/>
    <col min="6385" max="6392" width="11.1640625" style="3" customWidth="1"/>
    <col min="6393" max="6398" width="9.33203125" style="3"/>
    <col min="6399" max="6401" width="11.1640625" style="3" customWidth="1"/>
    <col min="6402" max="6639" width="9.33203125" style="3"/>
    <col min="6640" max="6640" width="45.33203125" style="3" customWidth="1"/>
    <col min="6641" max="6648" width="11.1640625" style="3" customWidth="1"/>
    <col min="6649" max="6654" width="9.33203125" style="3"/>
    <col min="6655" max="6657" width="11.1640625" style="3" customWidth="1"/>
    <col min="6658" max="6895" width="9.33203125" style="3"/>
    <col min="6896" max="6896" width="45.33203125" style="3" customWidth="1"/>
    <col min="6897" max="6904" width="11.1640625" style="3" customWidth="1"/>
    <col min="6905" max="6910" width="9.33203125" style="3"/>
    <col min="6911" max="6913" width="11.1640625" style="3" customWidth="1"/>
    <col min="6914" max="7151" width="9.33203125" style="3"/>
    <col min="7152" max="7152" width="45.33203125" style="3" customWidth="1"/>
    <col min="7153" max="7160" width="11.1640625" style="3" customWidth="1"/>
    <col min="7161" max="7166" width="9.33203125" style="3"/>
    <col min="7167" max="7169" width="11.1640625" style="3" customWidth="1"/>
    <col min="7170" max="7407" width="9.33203125" style="3"/>
    <col min="7408" max="7408" width="45.33203125" style="3" customWidth="1"/>
    <col min="7409" max="7416" width="11.1640625" style="3" customWidth="1"/>
    <col min="7417" max="7422" width="9.33203125" style="3"/>
    <col min="7423" max="7425" width="11.1640625" style="3" customWidth="1"/>
    <col min="7426" max="7663" width="9.33203125" style="3"/>
    <col min="7664" max="7664" width="45.33203125" style="3" customWidth="1"/>
    <col min="7665" max="7672" width="11.1640625" style="3" customWidth="1"/>
    <col min="7673" max="7678" width="9.33203125" style="3"/>
    <col min="7679" max="7681" width="11.1640625" style="3" customWidth="1"/>
    <col min="7682" max="7919" width="9.33203125" style="3"/>
    <col min="7920" max="7920" width="45.33203125" style="3" customWidth="1"/>
    <col min="7921" max="7928" width="11.1640625" style="3" customWidth="1"/>
    <col min="7929" max="7934" width="9.33203125" style="3"/>
    <col min="7935" max="7937" width="11.1640625" style="3" customWidth="1"/>
    <col min="7938" max="8175" width="9.33203125" style="3"/>
    <col min="8176" max="8176" width="45.33203125" style="3" customWidth="1"/>
    <col min="8177" max="8184" width="11.1640625" style="3" customWidth="1"/>
    <col min="8185" max="8190" width="9.33203125" style="3"/>
    <col min="8191" max="8193" width="11.1640625" style="3" customWidth="1"/>
    <col min="8194" max="8431" width="9.33203125" style="3"/>
    <col min="8432" max="8432" width="45.33203125" style="3" customWidth="1"/>
    <col min="8433" max="8440" width="11.1640625" style="3" customWidth="1"/>
    <col min="8441" max="8446" width="9.33203125" style="3"/>
    <col min="8447" max="8449" width="11.1640625" style="3" customWidth="1"/>
    <col min="8450" max="8687" width="9.33203125" style="3"/>
    <col min="8688" max="8688" width="45.33203125" style="3" customWidth="1"/>
    <col min="8689" max="8696" width="11.1640625" style="3" customWidth="1"/>
    <col min="8697" max="8702" width="9.33203125" style="3"/>
    <col min="8703" max="8705" width="11.1640625" style="3" customWidth="1"/>
    <col min="8706" max="8943" width="9.33203125" style="3"/>
    <col min="8944" max="8944" width="45.33203125" style="3" customWidth="1"/>
    <col min="8945" max="8952" width="11.1640625" style="3" customWidth="1"/>
    <col min="8953" max="8958" width="9.33203125" style="3"/>
    <col min="8959" max="8961" width="11.1640625" style="3" customWidth="1"/>
    <col min="8962" max="9199" width="9.33203125" style="3"/>
    <col min="9200" max="9200" width="45.33203125" style="3" customWidth="1"/>
    <col min="9201" max="9208" width="11.1640625" style="3" customWidth="1"/>
    <col min="9209" max="9214" width="9.33203125" style="3"/>
    <col min="9215" max="9217" width="11.1640625" style="3" customWidth="1"/>
    <col min="9218" max="9455" width="9.33203125" style="3"/>
    <col min="9456" max="9456" width="45.33203125" style="3" customWidth="1"/>
    <col min="9457" max="9464" width="11.1640625" style="3" customWidth="1"/>
    <col min="9465" max="9470" width="9.33203125" style="3"/>
    <col min="9471" max="9473" width="11.1640625" style="3" customWidth="1"/>
    <col min="9474" max="9711" width="9.33203125" style="3"/>
    <col min="9712" max="9712" width="45.33203125" style="3" customWidth="1"/>
    <col min="9713" max="9720" width="11.1640625" style="3" customWidth="1"/>
    <col min="9721" max="9726" width="9.33203125" style="3"/>
    <col min="9727" max="9729" width="11.1640625" style="3" customWidth="1"/>
    <col min="9730" max="9967" width="9.33203125" style="3"/>
    <col min="9968" max="9968" width="45.33203125" style="3" customWidth="1"/>
    <col min="9969" max="9976" width="11.1640625" style="3" customWidth="1"/>
    <col min="9977" max="9982" width="9.33203125" style="3"/>
    <col min="9983" max="9985" width="11.1640625" style="3" customWidth="1"/>
    <col min="9986" max="10223" width="9.33203125" style="3"/>
    <col min="10224" max="10224" width="45.33203125" style="3" customWidth="1"/>
    <col min="10225" max="10232" width="11.1640625" style="3" customWidth="1"/>
    <col min="10233" max="10238" width="9.33203125" style="3"/>
    <col min="10239" max="10241" width="11.1640625" style="3" customWidth="1"/>
    <col min="10242" max="10479" width="9.33203125" style="3"/>
    <col min="10480" max="10480" width="45.33203125" style="3" customWidth="1"/>
    <col min="10481" max="10488" width="11.1640625" style="3" customWidth="1"/>
    <col min="10489" max="10494" width="9.33203125" style="3"/>
    <col min="10495" max="10497" width="11.1640625" style="3" customWidth="1"/>
    <col min="10498" max="10735" width="9.33203125" style="3"/>
    <col min="10736" max="10736" width="45.33203125" style="3" customWidth="1"/>
    <col min="10737" max="10744" width="11.1640625" style="3" customWidth="1"/>
    <col min="10745" max="10750" width="9.33203125" style="3"/>
    <col min="10751" max="10753" width="11.1640625" style="3" customWidth="1"/>
    <col min="10754" max="10991" width="9.33203125" style="3"/>
    <col min="10992" max="10992" width="45.33203125" style="3" customWidth="1"/>
    <col min="10993" max="11000" width="11.1640625" style="3" customWidth="1"/>
    <col min="11001" max="11006" width="9.33203125" style="3"/>
    <col min="11007" max="11009" width="11.1640625" style="3" customWidth="1"/>
    <col min="11010" max="11247" width="9.33203125" style="3"/>
    <col min="11248" max="11248" width="45.33203125" style="3" customWidth="1"/>
    <col min="11249" max="11256" width="11.1640625" style="3" customWidth="1"/>
    <col min="11257" max="11262" width="9.33203125" style="3"/>
    <col min="11263" max="11265" width="11.1640625" style="3" customWidth="1"/>
    <col min="11266" max="11503" width="9.33203125" style="3"/>
    <col min="11504" max="11504" width="45.33203125" style="3" customWidth="1"/>
    <col min="11505" max="11512" width="11.1640625" style="3" customWidth="1"/>
    <col min="11513" max="11518" width="9.33203125" style="3"/>
    <col min="11519" max="11521" width="11.1640625" style="3" customWidth="1"/>
    <col min="11522" max="11759" width="9.33203125" style="3"/>
    <col min="11760" max="11760" width="45.33203125" style="3" customWidth="1"/>
    <col min="11761" max="11768" width="11.1640625" style="3" customWidth="1"/>
    <col min="11769" max="11774" width="9.33203125" style="3"/>
    <col min="11775" max="11777" width="11.1640625" style="3" customWidth="1"/>
    <col min="11778" max="12015" width="9.33203125" style="3"/>
    <col min="12016" max="12016" width="45.33203125" style="3" customWidth="1"/>
    <col min="12017" max="12024" width="11.1640625" style="3" customWidth="1"/>
    <col min="12025" max="12030" width="9.33203125" style="3"/>
    <col min="12031" max="12033" width="11.1640625" style="3" customWidth="1"/>
    <col min="12034" max="12271" width="9.33203125" style="3"/>
    <col min="12272" max="12272" width="45.33203125" style="3" customWidth="1"/>
    <col min="12273" max="12280" width="11.1640625" style="3" customWidth="1"/>
    <col min="12281" max="12286" width="9.33203125" style="3"/>
    <col min="12287" max="12289" width="11.1640625" style="3" customWidth="1"/>
    <col min="12290" max="12527" width="9.33203125" style="3"/>
    <col min="12528" max="12528" width="45.33203125" style="3" customWidth="1"/>
    <col min="12529" max="12536" width="11.1640625" style="3" customWidth="1"/>
    <col min="12537" max="12542" width="9.33203125" style="3"/>
    <col min="12543" max="12545" width="11.1640625" style="3" customWidth="1"/>
    <col min="12546" max="12783" width="9.33203125" style="3"/>
    <col min="12784" max="12784" width="45.33203125" style="3" customWidth="1"/>
    <col min="12785" max="12792" width="11.1640625" style="3" customWidth="1"/>
    <col min="12793" max="12798" width="9.33203125" style="3"/>
    <col min="12799" max="12801" width="11.1640625" style="3" customWidth="1"/>
    <col min="12802" max="13039" width="9.33203125" style="3"/>
    <col min="13040" max="13040" width="45.33203125" style="3" customWidth="1"/>
    <col min="13041" max="13048" width="11.1640625" style="3" customWidth="1"/>
    <col min="13049" max="13054" width="9.33203125" style="3"/>
    <col min="13055" max="13057" width="11.1640625" style="3" customWidth="1"/>
    <col min="13058" max="13295" width="9.33203125" style="3"/>
    <col min="13296" max="13296" width="45.33203125" style="3" customWidth="1"/>
    <col min="13297" max="13304" width="11.1640625" style="3" customWidth="1"/>
    <col min="13305" max="13310" width="9.33203125" style="3"/>
    <col min="13311" max="13313" width="11.1640625" style="3" customWidth="1"/>
    <col min="13314" max="13551" width="9.33203125" style="3"/>
    <col min="13552" max="13552" width="45.33203125" style="3" customWidth="1"/>
    <col min="13553" max="13560" width="11.1640625" style="3" customWidth="1"/>
    <col min="13561" max="13566" width="9.33203125" style="3"/>
    <col min="13567" max="13569" width="11.1640625" style="3" customWidth="1"/>
    <col min="13570" max="13807" width="9.33203125" style="3"/>
    <col min="13808" max="13808" width="45.33203125" style="3" customWidth="1"/>
    <col min="13809" max="13816" width="11.1640625" style="3" customWidth="1"/>
    <col min="13817" max="13822" width="9.33203125" style="3"/>
    <col min="13823" max="13825" width="11.1640625" style="3" customWidth="1"/>
    <col min="13826" max="14063" width="9.33203125" style="3"/>
    <col min="14064" max="14064" width="45.33203125" style="3" customWidth="1"/>
    <col min="14065" max="14072" width="11.1640625" style="3" customWidth="1"/>
    <col min="14073" max="14078" width="9.33203125" style="3"/>
    <col min="14079" max="14081" width="11.1640625" style="3" customWidth="1"/>
    <col min="14082" max="14319" width="9.33203125" style="3"/>
    <col min="14320" max="14320" width="45.33203125" style="3" customWidth="1"/>
    <col min="14321" max="14328" width="11.1640625" style="3" customWidth="1"/>
    <col min="14329" max="14334" width="9.33203125" style="3"/>
    <col min="14335" max="14337" width="11.1640625" style="3" customWidth="1"/>
    <col min="14338" max="14575" width="9.33203125" style="3"/>
    <col min="14576" max="14576" width="45.33203125" style="3" customWidth="1"/>
    <col min="14577" max="14584" width="11.1640625" style="3" customWidth="1"/>
    <col min="14585" max="14590" width="9.33203125" style="3"/>
    <col min="14591" max="14593" width="11.1640625" style="3" customWidth="1"/>
    <col min="14594" max="14831" width="9.33203125" style="3"/>
    <col min="14832" max="14832" width="45.33203125" style="3" customWidth="1"/>
    <col min="14833" max="14840" width="11.1640625" style="3" customWidth="1"/>
    <col min="14841" max="14846" width="9.33203125" style="3"/>
    <col min="14847" max="14849" width="11.1640625" style="3" customWidth="1"/>
    <col min="14850" max="15087" width="9.33203125" style="3"/>
    <col min="15088" max="15088" width="45.33203125" style="3" customWidth="1"/>
    <col min="15089" max="15096" width="11.1640625" style="3" customWidth="1"/>
    <col min="15097" max="15102" width="9.33203125" style="3"/>
    <col min="15103" max="15105" width="11.1640625" style="3" customWidth="1"/>
    <col min="15106" max="15343" width="9.33203125" style="3"/>
    <col min="15344" max="15344" width="45.33203125" style="3" customWidth="1"/>
    <col min="15345" max="15352" width="11.1640625" style="3" customWidth="1"/>
    <col min="15353" max="15358" width="9.33203125" style="3"/>
    <col min="15359" max="15361" width="11.1640625" style="3" customWidth="1"/>
    <col min="15362" max="15599" width="9.33203125" style="3"/>
    <col min="15600" max="15600" width="45.33203125" style="3" customWidth="1"/>
    <col min="15601" max="15608" width="11.1640625" style="3" customWidth="1"/>
    <col min="15609" max="15614" width="9.33203125" style="3"/>
    <col min="15615" max="15617" width="11.1640625" style="3" customWidth="1"/>
    <col min="15618" max="15855" width="9.33203125" style="3"/>
    <col min="15856" max="15856" width="45.33203125" style="3" customWidth="1"/>
    <col min="15857" max="15864" width="11.1640625" style="3" customWidth="1"/>
    <col min="15865" max="15870" width="9.33203125" style="3"/>
    <col min="15871" max="15873" width="11.1640625" style="3" customWidth="1"/>
    <col min="15874" max="16111" width="9.33203125" style="3"/>
    <col min="16112" max="16112" width="45.33203125" style="3" customWidth="1"/>
    <col min="16113" max="16120" width="11.1640625" style="3" customWidth="1"/>
    <col min="16121" max="16126" width="9.33203125" style="3"/>
    <col min="16127" max="16129" width="11.1640625" style="3" customWidth="1"/>
    <col min="16130" max="16378" width="9.33203125" style="3"/>
    <col min="16379" max="16384" width="9" style="3"/>
  </cols>
  <sheetData>
    <row r="1" spans="1:224" s="1" customFormat="1">
      <c r="A1" s="5"/>
      <c r="B1" s="24" t="s">
        <v>0</v>
      </c>
      <c r="C1" s="24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</row>
    <row r="2" spans="1:224" s="1" customFormat="1">
      <c r="A2" s="5"/>
      <c r="B2" s="24" t="s">
        <v>8</v>
      </c>
      <c r="C2" s="24" t="s">
        <v>8</v>
      </c>
      <c r="D2" s="24" t="s">
        <v>8</v>
      </c>
      <c r="E2" s="24" t="s">
        <v>8</v>
      </c>
      <c r="F2" s="24" t="s">
        <v>8</v>
      </c>
      <c r="G2" s="24" t="s">
        <v>9</v>
      </c>
      <c r="H2" s="24" t="s">
        <v>9</v>
      </c>
      <c r="I2" s="24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</row>
    <row r="3" spans="1:224" s="2" customFormat="1" ht="11.1" customHeight="1">
      <c r="A3" s="26" t="s">
        <v>10</v>
      </c>
      <c r="B3" s="6"/>
      <c r="C3" s="6"/>
      <c r="D3" s="6"/>
      <c r="E3" s="6"/>
      <c r="F3" s="6"/>
      <c r="G3" s="6"/>
      <c r="H3" s="6"/>
      <c r="I3" s="6"/>
    </row>
    <row r="4" spans="1:224" ht="11.1" customHeight="1">
      <c r="A4" s="27" t="s">
        <v>11</v>
      </c>
      <c r="B4" s="7"/>
      <c r="C4" s="7"/>
      <c r="D4" s="8"/>
      <c r="E4" s="8"/>
      <c r="F4" s="8"/>
      <c r="G4" s="8"/>
      <c r="H4" s="8"/>
      <c r="I4" s="8"/>
    </row>
    <row r="5" spans="1:224" ht="11.1" customHeight="1">
      <c r="A5" s="28" t="s">
        <v>12</v>
      </c>
      <c r="B5" s="9">
        <v>288321</v>
      </c>
      <c r="C5" s="9">
        <v>300885</v>
      </c>
      <c r="D5" s="9">
        <v>319329</v>
      </c>
      <c r="E5" s="9">
        <v>325246</v>
      </c>
      <c r="F5" s="9">
        <v>321859</v>
      </c>
      <c r="G5" s="9">
        <v>327200</v>
      </c>
      <c r="H5" s="9">
        <v>330200</v>
      </c>
      <c r="I5" s="9">
        <v>327000</v>
      </c>
    </row>
    <row r="6" spans="1:224" ht="11.1" customHeight="1">
      <c r="A6" s="28" t="s">
        <v>13</v>
      </c>
      <c r="B6" s="9">
        <v>11784</v>
      </c>
      <c r="C6" s="9">
        <v>12389</v>
      </c>
      <c r="D6" s="9">
        <v>13843</v>
      </c>
      <c r="E6" s="9">
        <v>20598</v>
      </c>
      <c r="F6" s="9">
        <v>18852</v>
      </c>
      <c r="G6" s="9">
        <v>18100</v>
      </c>
      <c r="H6" s="9">
        <v>18100</v>
      </c>
      <c r="I6" s="9">
        <v>19200</v>
      </c>
    </row>
    <row r="7" spans="1:224" s="4" customFormat="1" ht="11.1" customHeight="1">
      <c r="A7" s="29" t="s">
        <v>14</v>
      </c>
      <c r="B7" s="10">
        <v>300105</v>
      </c>
      <c r="C7" s="10">
        <v>313275</v>
      </c>
      <c r="D7" s="10">
        <v>333172</v>
      </c>
      <c r="E7" s="10">
        <v>345844</v>
      </c>
      <c r="F7" s="10">
        <v>340711</v>
      </c>
      <c r="G7" s="10">
        <v>345300</v>
      </c>
      <c r="H7" s="10">
        <v>348300</v>
      </c>
      <c r="I7" s="10">
        <v>346300</v>
      </c>
    </row>
    <row r="8" spans="1:224" ht="11.1" customHeight="1">
      <c r="A8" s="27" t="s">
        <v>15</v>
      </c>
      <c r="B8" s="8" t="s">
        <v>16</v>
      </c>
      <c r="C8" s="8" t="s">
        <v>16</v>
      </c>
      <c r="D8" s="11" t="s">
        <v>16</v>
      </c>
      <c r="E8" s="11" t="s">
        <v>16</v>
      </c>
      <c r="F8" s="11" t="s">
        <v>16</v>
      </c>
      <c r="G8" s="11" t="s">
        <v>16</v>
      </c>
      <c r="H8" s="11" t="s">
        <v>16</v>
      </c>
      <c r="I8" s="11" t="s">
        <v>16</v>
      </c>
    </row>
    <row r="9" spans="1:224" ht="11.1" customHeight="1">
      <c r="A9" s="28" t="s">
        <v>17</v>
      </c>
      <c r="B9" s="9">
        <v>140109</v>
      </c>
      <c r="C9" s="9">
        <v>150817</v>
      </c>
      <c r="D9" s="12">
        <v>164048</v>
      </c>
      <c r="E9" s="12">
        <v>169960</v>
      </c>
      <c r="F9" s="12">
        <v>176029</v>
      </c>
      <c r="G9" s="12">
        <v>183192</v>
      </c>
      <c r="H9" s="12">
        <v>183259</v>
      </c>
      <c r="I9" s="12">
        <v>186305</v>
      </c>
    </row>
    <row r="10" spans="1:224" ht="11.1" customHeight="1">
      <c r="A10" s="30" t="s">
        <v>18</v>
      </c>
      <c r="B10" s="9">
        <v>20114</v>
      </c>
      <c r="C10" s="9">
        <v>24154</v>
      </c>
      <c r="D10" s="12">
        <v>27651</v>
      </c>
      <c r="E10" s="12">
        <v>28924</v>
      </c>
      <c r="F10" s="12">
        <v>29967</v>
      </c>
      <c r="G10" s="12">
        <v>26141</v>
      </c>
      <c r="H10" s="12">
        <v>26229</v>
      </c>
      <c r="I10" s="12">
        <v>26656</v>
      </c>
    </row>
    <row r="11" spans="1:224" ht="11.1" customHeight="1">
      <c r="A11" s="30" t="s">
        <v>19</v>
      </c>
      <c r="B11" s="9">
        <v>5325</v>
      </c>
      <c r="C11" s="9">
        <v>5416</v>
      </c>
      <c r="D11" s="12">
        <v>1532</v>
      </c>
      <c r="E11" s="12">
        <v>-78069</v>
      </c>
      <c r="F11" s="12">
        <v>6054</v>
      </c>
      <c r="G11" s="12">
        <v>4998</v>
      </c>
      <c r="H11" s="12">
        <v>865</v>
      </c>
      <c r="I11" s="12">
        <v>1049</v>
      </c>
    </row>
    <row r="12" spans="1:224" ht="11.1" customHeight="1">
      <c r="A12" s="28" t="s">
        <v>20</v>
      </c>
      <c r="B12" s="9">
        <v>882</v>
      </c>
      <c r="C12" s="9">
        <v>1011</v>
      </c>
      <c r="D12" s="12">
        <v>1001</v>
      </c>
      <c r="E12" s="12">
        <v>995</v>
      </c>
      <c r="F12" s="12">
        <v>1399</v>
      </c>
      <c r="G12" s="12">
        <v>1141</v>
      </c>
      <c r="H12" s="12">
        <v>932</v>
      </c>
      <c r="I12" s="12">
        <v>932</v>
      </c>
    </row>
    <row r="13" spans="1:224" ht="11.1" customHeight="1">
      <c r="A13" s="28" t="s">
        <v>21</v>
      </c>
      <c r="B13" s="9">
        <v>3430</v>
      </c>
      <c r="C13" s="9">
        <v>3316</v>
      </c>
      <c r="D13" s="12">
        <v>3464</v>
      </c>
      <c r="E13" s="12">
        <v>3303</v>
      </c>
      <c r="F13" s="12">
        <v>3690</v>
      </c>
      <c r="G13" s="12">
        <v>3868</v>
      </c>
      <c r="H13" s="12">
        <v>3828</v>
      </c>
      <c r="I13" s="12">
        <v>3826</v>
      </c>
    </row>
    <row r="14" spans="1:224" ht="11.1" customHeight="1">
      <c r="A14" s="28" t="s">
        <v>22</v>
      </c>
      <c r="B14" s="9">
        <v>-820</v>
      </c>
      <c r="C14" s="9">
        <v>-942</v>
      </c>
      <c r="D14" s="12">
        <v>-233</v>
      </c>
      <c r="E14" s="12">
        <v>-287</v>
      </c>
      <c r="F14" s="12">
        <v>-624</v>
      </c>
      <c r="G14" s="12">
        <v>-686</v>
      </c>
      <c r="H14" s="12">
        <v>-1042</v>
      </c>
      <c r="I14" s="12">
        <v>-1657</v>
      </c>
    </row>
    <row r="15" spans="1:224" ht="11.1" customHeight="1">
      <c r="A15" s="28" t="s">
        <v>23</v>
      </c>
      <c r="B15" s="9">
        <v>47751</v>
      </c>
      <c r="C15" s="9">
        <v>43085</v>
      </c>
      <c r="D15" s="12">
        <v>44609</v>
      </c>
      <c r="E15" s="12">
        <v>55509</v>
      </c>
      <c r="F15" s="12">
        <v>50917</v>
      </c>
      <c r="G15" s="12">
        <v>51021</v>
      </c>
      <c r="H15" s="12">
        <v>41686</v>
      </c>
      <c r="I15" s="12">
        <v>43428</v>
      </c>
    </row>
    <row r="16" spans="1:224" ht="11.1" customHeight="1">
      <c r="A16" s="28" t="s">
        <v>24</v>
      </c>
      <c r="B16" s="9" t="s">
        <v>25</v>
      </c>
      <c r="C16" s="9">
        <v>41551</v>
      </c>
      <c r="D16" s="12">
        <v>-27588</v>
      </c>
      <c r="E16" s="12">
        <v>-14579</v>
      </c>
      <c r="F16" s="12">
        <v>-16575</v>
      </c>
      <c r="G16" s="9" t="s">
        <v>25</v>
      </c>
      <c r="H16" s="9" t="s">
        <v>25</v>
      </c>
      <c r="I16" s="9" t="s">
        <v>25</v>
      </c>
    </row>
    <row r="17" spans="1:9" ht="11.1" customHeight="1">
      <c r="A17" s="28" t="s">
        <v>26</v>
      </c>
      <c r="B17" s="9">
        <v>1359</v>
      </c>
      <c r="C17" s="9">
        <v>1765</v>
      </c>
      <c r="D17" s="12">
        <v>2739</v>
      </c>
      <c r="E17" s="12">
        <v>1111</v>
      </c>
      <c r="F17" s="12">
        <v>200</v>
      </c>
      <c r="G17" s="12">
        <v>4848</v>
      </c>
      <c r="H17" s="12">
        <v>6176</v>
      </c>
      <c r="I17" s="12">
        <v>6663</v>
      </c>
    </row>
    <row r="18" spans="1:9" s="4" customFormat="1" ht="11.1" customHeight="1">
      <c r="A18" s="29" t="s">
        <v>27</v>
      </c>
      <c r="B18" s="10">
        <v>218151</v>
      </c>
      <c r="C18" s="10">
        <v>270173</v>
      </c>
      <c r="D18" s="10">
        <v>217223</v>
      </c>
      <c r="E18" s="10">
        <v>166869</v>
      </c>
      <c r="F18" s="10">
        <v>251056</v>
      </c>
      <c r="G18" s="10">
        <v>274523</v>
      </c>
      <c r="H18" s="10">
        <v>261933</v>
      </c>
      <c r="I18" s="10">
        <v>267202</v>
      </c>
    </row>
    <row r="19" spans="1:9" ht="11.1" customHeight="1">
      <c r="A19" s="27" t="s">
        <v>28</v>
      </c>
      <c r="B19" s="13" t="s">
        <v>16</v>
      </c>
      <c r="C19" s="13" t="s">
        <v>16</v>
      </c>
      <c r="D19" s="14" t="s">
        <v>16</v>
      </c>
      <c r="E19" s="14" t="s">
        <v>16</v>
      </c>
      <c r="F19" s="14" t="s">
        <v>16</v>
      </c>
      <c r="G19" s="14" t="s">
        <v>16</v>
      </c>
      <c r="H19" s="14" t="s">
        <v>16</v>
      </c>
      <c r="I19" s="14" t="s">
        <v>16</v>
      </c>
    </row>
    <row r="20" spans="1:9" ht="11.1" customHeight="1">
      <c r="A20" s="31" t="s">
        <v>29</v>
      </c>
      <c r="B20" s="9">
        <v>5392</v>
      </c>
      <c r="C20" s="9">
        <v>3060</v>
      </c>
      <c r="D20" s="12">
        <v>6419</v>
      </c>
      <c r="E20" s="12">
        <v>8414</v>
      </c>
      <c r="F20" s="12">
        <v>7702</v>
      </c>
      <c r="G20" s="12">
        <v>7477</v>
      </c>
      <c r="H20" s="12">
        <v>8670</v>
      </c>
      <c r="I20" s="12">
        <v>9562</v>
      </c>
    </row>
    <row r="21" spans="1:9" ht="11.1" customHeight="1">
      <c r="A21" s="31" t="s">
        <v>30</v>
      </c>
      <c r="B21" s="9">
        <v>24340</v>
      </c>
      <c r="C21" s="9">
        <v>26966</v>
      </c>
      <c r="D21" s="12">
        <v>25794</v>
      </c>
      <c r="E21" s="12">
        <v>22906</v>
      </c>
      <c r="F21" s="12">
        <v>26740</v>
      </c>
      <c r="G21" s="12">
        <v>27330</v>
      </c>
      <c r="H21" s="12">
        <v>28742</v>
      </c>
      <c r="I21" s="12">
        <v>30051</v>
      </c>
    </row>
    <row r="22" spans="1:9" ht="11.1" customHeight="1">
      <c r="A22" s="28" t="s">
        <v>31</v>
      </c>
      <c r="B22" s="9">
        <v>29954</v>
      </c>
      <c r="C22" s="9">
        <v>30300</v>
      </c>
      <c r="D22" s="12">
        <v>30185</v>
      </c>
      <c r="E22" s="12">
        <v>44399</v>
      </c>
      <c r="F22" s="12">
        <v>46976</v>
      </c>
      <c r="G22" s="12">
        <v>44788</v>
      </c>
      <c r="H22" s="12">
        <v>46123</v>
      </c>
      <c r="I22" s="12">
        <v>53224</v>
      </c>
    </row>
    <row r="23" spans="1:9" ht="11.1" customHeight="1">
      <c r="A23" s="28" t="s">
        <v>32</v>
      </c>
      <c r="B23" s="9">
        <v>-41776</v>
      </c>
      <c r="C23" s="9">
        <v>-79045</v>
      </c>
      <c r="D23" s="12">
        <v>-10489</v>
      </c>
      <c r="E23" s="12">
        <v>42932</v>
      </c>
      <c r="F23" s="12">
        <v>-27497</v>
      </c>
      <c r="G23" s="12">
        <f>-35400+640</f>
        <v>-34760</v>
      </c>
      <c r="H23" s="12">
        <f>-19305-1000</f>
        <v>-20305</v>
      </c>
      <c r="I23" s="12">
        <f>-20005</f>
        <v>-20005</v>
      </c>
    </row>
    <row r="24" spans="1:9" s="4" customFormat="1" ht="12.95" customHeight="1">
      <c r="A24" s="32" t="s">
        <v>33</v>
      </c>
      <c r="B24" s="15">
        <v>17910</v>
      </c>
      <c r="C24" s="15">
        <v>-18719</v>
      </c>
      <c r="D24" s="15">
        <v>51909</v>
      </c>
      <c r="E24" s="15">
        <v>118651</v>
      </c>
      <c r="F24" s="15">
        <v>53921</v>
      </c>
      <c r="G24" s="15">
        <f>44194+640</f>
        <v>44834</v>
      </c>
      <c r="H24" s="15">
        <f>64229-1000</f>
        <v>63229</v>
      </c>
      <c r="I24" s="15">
        <f>72831</f>
        <v>72831</v>
      </c>
    </row>
    <row r="25" spans="1:9" s="4" customFormat="1" ht="12.95" customHeight="1">
      <c r="A25" s="33" t="s">
        <v>34</v>
      </c>
      <c r="B25" s="16">
        <v>236060</v>
      </c>
      <c r="C25" s="16">
        <v>251453</v>
      </c>
      <c r="D25" s="16">
        <v>269132</v>
      </c>
      <c r="E25" s="16">
        <v>285520</v>
      </c>
      <c r="F25" s="16">
        <v>304977</v>
      </c>
      <c r="G25" s="16">
        <f>318717+640</f>
        <v>319357</v>
      </c>
      <c r="H25" s="16">
        <f>326162-1000</f>
        <v>325162</v>
      </c>
      <c r="I25" s="16">
        <f>340033</f>
        <v>340033</v>
      </c>
    </row>
    <row r="26" spans="1:9" s="4" customFormat="1" ht="12.95" customHeight="1">
      <c r="A26" s="34" t="s">
        <v>35</v>
      </c>
      <c r="B26" s="17">
        <v>536165</v>
      </c>
      <c r="C26" s="17">
        <v>564728</v>
      </c>
      <c r="D26" s="17">
        <v>602304</v>
      </c>
      <c r="E26" s="17">
        <v>631364</v>
      </c>
      <c r="F26" s="17">
        <v>645688</v>
      </c>
      <c r="G26" s="17">
        <v>664600</v>
      </c>
      <c r="H26" s="17">
        <v>673600</v>
      </c>
      <c r="I26" s="17">
        <v>686400</v>
      </c>
    </row>
    <row r="27" spans="1:9" s="2" customFormat="1" ht="11.1" customHeight="1">
      <c r="A27" s="26" t="s">
        <v>36</v>
      </c>
      <c r="B27" s="18" t="s">
        <v>16</v>
      </c>
      <c r="C27" s="18" t="s">
        <v>16</v>
      </c>
      <c r="D27" s="19" t="s">
        <v>16</v>
      </c>
      <c r="E27" s="19" t="s">
        <v>16</v>
      </c>
      <c r="F27" s="19" t="s">
        <v>16</v>
      </c>
      <c r="G27" s="19"/>
      <c r="H27" s="19"/>
      <c r="I27" s="19"/>
    </row>
    <row r="28" spans="1:9" ht="11.1" customHeight="1">
      <c r="A28" s="27" t="s">
        <v>37</v>
      </c>
      <c r="B28" s="8" t="s">
        <v>16</v>
      </c>
      <c r="C28" s="8" t="s">
        <v>16</v>
      </c>
      <c r="D28" s="11" t="s">
        <v>16</v>
      </c>
      <c r="E28" s="11" t="s">
        <v>16</v>
      </c>
      <c r="F28" s="11" t="s">
        <v>16</v>
      </c>
      <c r="G28" s="11"/>
      <c r="H28" s="11"/>
      <c r="I28" s="11"/>
    </row>
    <row r="29" spans="1:9" s="4" customFormat="1" ht="12.95" customHeight="1">
      <c r="A29" s="35" t="s">
        <v>38</v>
      </c>
      <c r="B29" s="10">
        <v>44821</v>
      </c>
      <c r="C29" s="10">
        <v>48511</v>
      </c>
      <c r="D29" s="10">
        <v>56959</v>
      </c>
      <c r="E29" s="10">
        <v>49815</v>
      </c>
      <c r="F29" s="10">
        <v>42156</v>
      </c>
      <c r="G29" s="10">
        <v>43800</v>
      </c>
      <c r="H29" s="10">
        <v>40900</v>
      </c>
      <c r="I29" s="10">
        <v>41300</v>
      </c>
    </row>
    <row r="30" spans="1:9" ht="11.1" customHeight="1">
      <c r="A30" s="27" t="s">
        <v>39</v>
      </c>
      <c r="B30" s="9" t="s">
        <v>16</v>
      </c>
      <c r="C30" s="9" t="s">
        <v>16</v>
      </c>
      <c r="D30" s="12" t="s">
        <v>16</v>
      </c>
      <c r="E30" s="12" t="s">
        <v>16</v>
      </c>
      <c r="F30" s="12" t="s">
        <v>16</v>
      </c>
      <c r="G30" s="12" t="s">
        <v>16</v>
      </c>
      <c r="H30" s="12" t="s">
        <v>16</v>
      </c>
      <c r="I30" s="12" t="s">
        <v>16</v>
      </c>
    </row>
    <row r="31" spans="1:9" ht="11.1" customHeight="1">
      <c r="A31" s="28" t="s">
        <v>20</v>
      </c>
      <c r="B31" s="9">
        <v>713</v>
      </c>
      <c r="C31" s="9">
        <v>536</v>
      </c>
      <c r="D31" s="12">
        <v>752</v>
      </c>
      <c r="E31" s="12">
        <v>597</v>
      </c>
      <c r="F31" s="12">
        <v>404</v>
      </c>
      <c r="G31" s="12">
        <v>712</v>
      </c>
      <c r="H31" s="12">
        <v>497</v>
      </c>
      <c r="I31" s="12">
        <v>568</v>
      </c>
    </row>
    <row r="32" spans="1:9" ht="11.1" customHeight="1">
      <c r="A32" s="28" t="s">
        <v>21</v>
      </c>
      <c r="B32" s="9">
        <v>85</v>
      </c>
      <c r="C32" s="9">
        <v>81</v>
      </c>
      <c r="D32" s="12">
        <v>123</v>
      </c>
      <c r="E32" s="12">
        <v>114</v>
      </c>
      <c r="F32" s="12">
        <v>191</v>
      </c>
      <c r="G32" s="12">
        <v>54</v>
      </c>
      <c r="H32" s="12">
        <v>177</v>
      </c>
      <c r="I32" s="12">
        <v>145</v>
      </c>
    </row>
    <row r="33" spans="1:9" ht="11.1" customHeight="1">
      <c r="A33" s="28" t="s">
        <v>22</v>
      </c>
      <c r="B33" s="9">
        <v>4346</v>
      </c>
      <c r="C33" s="9">
        <v>4330</v>
      </c>
      <c r="D33" s="12">
        <v>4408</v>
      </c>
      <c r="E33" s="12">
        <v>4778</v>
      </c>
      <c r="F33" s="12">
        <v>5646</v>
      </c>
      <c r="G33" s="12">
        <v>6603</v>
      </c>
      <c r="H33" s="12">
        <v>8592</v>
      </c>
      <c r="I33" s="12">
        <v>10440</v>
      </c>
    </row>
    <row r="34" spans="1:9" ht="11.1" customHeight="1">
      <c r="A34" s="28" t="s">
        <v>24</v>
      </c>
      <c r="B34" s="9" t="s">
        <v>25</v>
      </c>
      <c r="C34" s="9">
        <v>85525</v>
      </c>
      <c r="D34" s="12">
        <v>38330</v>
      </c>
      <c r="E34" s="12">
        <v>-2984</v>
      </c>
      <c r="F34" s="12">
        <v>-3721</v>
      </c>
      <c r="G34" s="9" t="s">
        <v>25</v>
      </c>
      <c r="H34" s="9" t="s">
        <v>25</v>
      </c>
      <c r="I34" s="9" t="s">
        <v>25</v>
      </c>
    </row>
    <row r="35" spans="1:9" ht="11.1" customHeight="1">
      <c r="A35" s="36" t="s">
        <v>26</v>
      </c>
      <c r="B35" s="9">
        <v>861</v>
      </c>
      <c r="C35" s="9">
        <v>393</v>
      </c>
      <c r="D35" s="12">
        <v>4082</v>
      </c>
      <c r="E35" s="12">
        <v>1297</v>
      </c>
      <c r="F35" s="12">
        <v>967</v>
      </c>
      <c r="G35" s="12">
        <v>2829</v>
      </c>
      <c r="H35" s="12">
        <v>2834</v>
      </c>
      <c r="I35" s="12">
        <v>2735</v>
      </c>
    </row>
    <row r="36" spans="1:9" s="4" customFormat="1" ht="12.95" customHeight="1">
      <c r="A36" s="29" t="s">
        <v>40</v>
      </c>
      <c r="B36" s="10">
        <v>6005</v>
      </c>
      <c r="C36" s="10">
        <v>90866</v>
      </c>
      <c r="D36" s="10">
        <v>47694</v>
      </c>
      <c r="E36" s="10">
        <v>3802</v>
      </c>
      <c r="F36" s="10">
        <v>3488</v>
      </c>
      <c r="G36" s="10">
        <v>10198</v>
      </c>
      <c r="H36" s="10">
        <v>12100</v>
      </c>
      <c r="I36" s="10">
        <v>13888</v>
      </c>
    </row>
    <row r="37" spans="1:9" ht="11.1" customHeight="1">
      <c r="A37" s="27" t="s">
        <v>41</v>
      </c>
      <c r="B37" s="9" t="s">
        <v>16</v>
      </c>
      <c r="C37" s="9" t="s">
        <v>16</v>
      </c>
      <c r="D37" s="12" t="s">
        <v>16</v>
      </c>
      <c r="E37" s="12" t="s">
        <v>16</v>
      </c>
      <c r="F37" s="12" t="s">
        <v>16</v>
      </c>
      <c r="G37" s="12" t="s">
        <v>16</v>
      </c>
      <c r="H37" s="12" t="s">
        <v>42</v>
      </c>
      <c r="I37" s="12" t="s">
        <v>16</v>
      </c>
    </row>
    <row r="38" spans="1:9" ht="11.1" customHeight="1">
      <c r="A38" s="28" t="s">
        <v>30</v>
      </c>
      <c r="B38" s="9">
        <v>2120</v>
      </c>
      <c r="C38" s="9">
        <v>7321</v>
      </c>
      <c r="D38" s="12">
        <v>5241</v>
      </c>
      <c r="E38" s="12">
        <v>5448</v>
      </c>
      <c r="F38" s="12">
        <v>13641</v>
      </c>
      <c r="G38" s="12">
        <v>5268</v>
      </c>
      <c r="H38" s="12">
        <v>4921</v>
      </c>
      <c r="I38" s="12">
        <v>4815</v>
      </c>
    </row>
    <row r="39" spans="1:9" ht="11.1" customHeight="1">
      <c r="A39" s="31" t="s">
        <v>43</v>
      </c>
      <c r="B39" s="9">
        <v>5439</v>
      </c>
      <c r="C39" s="9">
        <v>7294</v>
      </c>
      <c r="D39" s="12">
        <v>7983</v>
      </c>
      <c r="E39" s="12">
        <v>8137</v>
      </c>
      <c r="F39" s="12">
        <v>6115</v>
      </c>
      <c r="G39" s="12">
        <v>6244</v>
      </c>
      <c r="H39" s="12">
        <v>5734</v>
      </c>
      <c r="I39" s="12">
        <v>5339</v>
      </c>
    </row>
    <row r="40" spans="1:9" ht="11.25" customHeight="1">
      <c r="A40" s="28" t="s">
        <v>32</v>
      </c>
      <c r="B40" s="9">
        <v>-11613</v>
      </c>
      <c r="C40" s="9">
        <v>-88975</v>
      </c>
      <c r="D40" s="12">
        <v>-50032</v>
      </c>
      <c r="E40" s="12">
        <v>-8932</v>
      </c>
      <c r="F40" s="12">
        <v>-16201</v>
      </c>
      <c r="G40" s="12">
        <f>-47008+228</f>
        <v>-46780</v>
      </c>
      <c r="H40" s="12">
        <v>-17187</v>
      </c>
      <c r="I40" s="12">
        <v>-18411</v>
      </c>
    </row>
    <row r="41" spans="1:9" s="4" customFormat="1" ht="11.25" customHeight="1">
      <c r="A41" s="32" t="s">
        <v>44</v>
      </c>
      <c r="B41" s="15">
        <v>-4055</v>
      </c>
      <c r="C41" s="15">
        <v>-74359</v>
      </c>
      <c r="D41" s="15">
        <v>-36808</v>
      </c>
      <c r="E41" s="15">
        <v>4653</v>
      </c>
      <c r="F41" s="15">
        <v>3556</v>
      </c>
      <c r="G41" s="15">
        <f>-35497+228</f>
        <v>-35269</v>
      </c>
      <c r="H41" s="15">
        <v>-6532</v>
      </c>
      <c r="I41" s="15">
        <v>-8256</v>
      </c>
    </row>
    <row r="42" spans="1:9" s="4" customFormat="1" ht="11.25" customHeight="1">
      <c r="A42" s="32" t="s">
        <v>45</v>
      </c>
      <c r="B42" s="15">
        <v>1951</v>
      </c>
      <c r="C42" s="15">
        <v>16506</v>
      </c>
      <c r="D42" s="15">
        <v>10887</v>
      </c>
      <c r="E42" s="15">
        <v>8455</v>
      </c>
      <c r="F42" s="15">
        <v>7044</v>
      </c>
      <c r="G42" s="15">
        <f>-25299+228</f>
        <v>-25071</v>
      </c>
      <c r="H42" s="15">
        <v>5568</v>
      </c>
      <c r="I42" s="15">
        <v>5632</v>
      </c>
    </row>
    <row r="43" spans="1:9" s="4" customFormat="1" ht="11.25" customHeight="1">
      <c r="A43" s="29" t="s">
        <v>46</v>
      </c>
      <c r="B43" s="10">
        <v>46772</v>
      </c>
      <c r="C43" s="10">
        <v>65017</v>
      </c>
      <c r="D43" s="10">
        <v>67846</v>
      </c>
      <c r="E43" s="10">
        <v>58270</v>
      </c>
      <c r="F43" s="10">
        <v>49200</v>
      </c>
      <c r="G43" s="10">
        <v>18600</v>
      </c>
      <c r="H43" s="10">
        <v>46400</v>
      </c>
      <c r="I43" s="10">
        <v>47000</v>
      </c>
    </row>
    <row r="44" spans="1:9" ht="11.25" customHeight="1">
      <c r="A44" s="37" t="s">
        <v>47</v>
      </c>
      <c r="B44" s="9">
        <v>17669</v>
      </c>
      <c r="C44" s="9">
        <v>18636</v>
      </c>
      <c r="D44" s="12">
        <v>19335</v>
      </c>
      <c r="E44" s="12">
        <v>20300</v>
      </c>
      <c r="F44" s="12">
        <v>21121</v>
      </c>
      <c r="G44" s="12">
        <v>22200</v>
      </c>
      <c r="H44" s="12">
        <v>23056</v>
      </c>
      <c r="I44" s="12">
        <v>23896</v>
      </c>
    </row>
    <row r="45" spans="1:9" s="4" customFormat="1" ht="11.25" customHeight="1">
      <c r="A45" s="32" t="s">
        <v>48</v>
      </c>
      <c r="B45" s="15">
        <v>29103</v>
      </c>
      <c r="C45" s="15">
        <v>46381</v>
      </c>
      <c r="D45" s="15">
        <v>48511</v>
      </c>
      <c r="E45" s="15">
        <v>37970</v>
      </c>
      <c r="F45" s="15">
        <v>28079</v>
      </c>
      <c r="G45" s="15">
        <v>-3600</v>
      </c>
      <c r="H45" s="15">
        <v>23400</v>
      </c>
      <c r="I45" s="15">
        <v>23100</v>
      </c>
    </row>
    <row r="46" spans="1:9" s="4" customFormat="1" ht="12.95" customHeight="1">
      <c r="A46" s="38" t="s">
        <v>49</v>
      </c>
      <c r="B46" s="20">
        <v>582937</v>
      </c>
      <c r="C46" s="20">
        <v>629745</v>
      </c>
      <c r="D46" s="20">
        <v>670150</v>
      </c>
      <c r="E46" s="20">
        <v>689634</v>
      </c>
      <c r="F46" s="20">
        <v>694888</v>
      </c>
      <c r="G46" s="20">
        <v>683400</v>
      </c>
      <c r="H46" s="20">
        <v>720000</v>
      </c>
      <c r="I46" s="20">
        <v>733500</v>
      </c>
    </row>
    <row r="47" spans="1:9" ht="11.1" customHeight="1">
      <c r="A47" s="41" t="s">
        <v>50</v>
      </c>
      <c r="B47" s="9" t="s">
        <v>16</v>
      </c>
      <c r="C47" s="9" t="s">
        <v>16</v>
      </c>
      <c r="D47" s="12" t="s">
        <v>16</v>
      </c>
      <c r="E47" s="12" t="s">
        <v>16</v>
      </c>
      <c r="F47" s="12" t="s">
        <v>16</v>
      </c>
      <c r="G47" s="12" t="s">
        <v>16</v>
      </c>
      <c r="H47" s="12" t="s">
        <v>16</v>
      </c>
      <c r="I47" s="12" t="s">
        <v>16</v>
      </c>
    </row>
    <row r="48" spans="1:9" ht="11.1" customHeight="1">
      <c r="A48" s="39" t="s">
        <v>51</v>
      </c>
      <c r="B48" s="9">
        <v>333142</v>
      </c>
      <c r="C48" s="9">
        <v>349396</v>
      </c>
      <c r="D48" s="9">
        <v>376288</v>
      </c>
      <c r="E48" s="9">
        <v>375061</v>
      </c>
      <c r="F48" s="9">
        <v>364015</v>
      </c>
      <c r="G48" s="9">
        <v>371000</v>
      </c>
      <c r="H48" s="9">
        <v>371100</v>
      </c>
      <c r="I48" s="9">
        <v>368300</v>
      </c>
    </row>
    <row r="49" spans="1:9" ht="11.1" customHeight="1">
      <c r="A49" s="39" t="s">
        <v>52</v>
      </c>
      <c r="B49" s="9">
        <v>224156</v>
      </c>
      <c r="C49" s="9">
        <v>361039</v>
      </c>
      <c r="D49" s="12">
        <v>264918</v>
      </c>
      <c r="E49" s="12">
        <v>170671</v>
      </c>
      <c r="F49" s="12">
        <v>254544</v>
      </c>
      <c r="G49" s="12">
        <v>284721</v>
      </c>
      <c r="H49" s="12">
        <v>274032</v>
      </c>
      <c r="I49" s="12">
        <v>281090</v>
      </c>
    </row>
    <row r="50" spans="1:9" ht="11.1" customHeight="1">
      <c r="A50" s="40" t="s">
        <v>53</v>
      </c>
      <c r="B50" s="21">
        <v>25639</v>
      </c>
      <c r="C50" s="21">
        <v>-80690</v>
      </c>
      <c r="D50" s="21">
        <v>28944</v>
      </c>
      <c r="E50" s="21">
        <v>143902</v>
      </c>
      <c r="F50" s="21">
        <v>76329</v>
      </c>
      <c r="G50" s="21">
        <v>27665</v>
      </c>
      <c r="H50" s="21">
        <v>74797</v>
      </c>
      <c r="I50" s="21">
        <v>83775</v>
      </c>
    </row>
    <row r="51" spans="1:9" ht="14.25">
      <c r="F51" s="22" t="s">
        <v>16</v>
      </c>
      <c r="G51" s="22" t="s">
        <v>16</v>
      </c>
      <c r="H51" s="22" t="s">
        <v>16</v>
      </c>
      <c r="I51" s="22" t="s">
        <v>16</v>
      </c>
    </row>
    <row r="52" spans="1:9">
      <c r="F52" s="23" t="s">
        <v>16</v>
      </c>
    </row>
  </sheetData>
  <pageMargins left="0.98425196850393704" right="0.98425196850393704" top="0.98425196850393704" bottom="0.98425196850393704" header="0.511811023622047" footer="0.511811023622047"/>
  <pageSetup paperSize="9" fitToHeight="2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1.1</vt:lpstr>
      <vt:lpstr>'1.1'!Область_печати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2025-01-17T23:44:00Z</dcterms:created>
  <dcterms:modified xsi:type="dcterms:W3CDTF">2025-12-04T09:39:15Z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9DA4AE82DA88736F109A89678CA8F0C6_43</vt:lpwstr>
  </property>
  <property fmtid="{D5CDD505-2E9C-101B-9397-08002B2CF9AE}" pid="3" name="KSOProductBuildVer">
    <vt:lpwstr>2052-12.1.0.19302</vt:lpwstr>
  </property>
</Properties>
</file>