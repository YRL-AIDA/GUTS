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6269053A-3B65-49DA-A0CE-769BB39E2882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" l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</calcChain>
</file>

<file path=xl/sharedStrings.xml><?xml version="1.0" encoding="utf-8"?>
<sst xmlns="http://schemas.openxmlformats.org/spreadsheetml/2006/main" count="134" uniqueCount="54">
  <si>
    <t>Betfair Odds</t>
  </si>
  <si>
    <t>My Odds</t>
  </si>
  <si>
    <t>Difference</t>
  </si>
  <si>
    <t>Date</t>
  </si>
  <si>
    <t>Time</t>
  </si>
  <si>
    <t>League</t>
  </si>
  <si>
    <t>Home Team</t>
  </si>
  <si>
    <t>Away Team</t>
  </si>
  <si>
    <t>Home</t>
  </si>
  <si>
    <t>Draw</t>
  </si>
  <si>
    <t xml:space="preserve">Away </t>
  </si>
  <si>
    <t>English Premier League</t>
  </si>
  <si>
    <t>Man Utd</t>
  </si>
  <si>
    <t>Tottenham</t>
  </si>
  <si>
    <t>Bournemouth</t>
  </si>
  <si>
    <t>Aston Villa</t>
  </si>
  <si>
    <t>Everton</t>
  </si>
  <si>
    <t>Watford</t>
  </si>
  <si>
    <t>Leicester</t>
  </si>
  <si>
    <t>Sunderland</t>
  </si>
  <si>
    <t>Norwich</t>
  </si>
  <si>
    <t>C Palace</t>
  </si>
  <si>
    <t>Chelsea</t>
  </si>
  <si>
    <t>Swansea</t>
  </si>
  <si>
    <t>Arsenal</t>
  </si>
  <si>
    <t>West Ham</t>
  </si>
  <si>
    <t>Newcastle</t>
  </si>
  <si>
    <t>Southampton</t>
  </si>
  <si>
    <t>Stoke</t>
  </si>
  <si>
    <t>Liverpool</t>
  </si>
  <si>
    <t>West Brom</t>
  </si>
  <si>
    <t>Man City</t>
  </si>
  <si>
    <t>Bundesliga 1</t>
  </si>
  <si>
    <t>Bayern Munich</t>
  </si>
  <si>
    <t>Hamburg</t>
  </si>
  <si>
    <t>Augsburg</t>
  </si>
  <si>
    <t>Hertha Berlin</t>
  </si>
  <si>
    <t>Leverkusen</t>
  </si>
  <si>
    <t>Hoffenheim</t>
  </si>
  <si>
    <t>Mainz</t>
  </si>
  <si>
    <t>Ingolstadt</t>
  </si>
  <si>
    <t>SV Darmstadt</t>
  </si>
  <si>
    <t>Hannover</t>
  </si>
  <si>
    <t>W Bremen</t>
  </si>
  <si>
    <t>Schalke</t>
  </si>
  <si>
    <t>Dortmund</t>
  </si>
  <si>
    <t>Mgladbach</t>
  </si>
  <si>
    <t>Wolfsburg</t>
  </si>
  <si>
    <t>Eintracht Frankfurt</t>
  </si>
  <si>
    <t>Stuttgart</t>
  </si>
  <si>
    <t>FC Koln</t>
  </si>
  <si>
    <t>Primera Division</t>
  </si>
  <si>
    <t>Malaga</t>
  </si>
  <si>
    <t>Sevilla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</si>
</sst>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;@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8"/>
      <name val="Arial"/>
      <charset val="134"/>
    </font>
    <font>
      <sz val="8"/>
      <color indexed="8"/>
      <name val="Arial"/>
      <charset val="134"/>
    </font>
    <font>
      <b/>
      <sz val="8"/>
      <color indexed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64" fontId="0" fillId="0" borderId="0" xfId="0" applyNumberFormat="1">
      <alignment vertical="center"/>
    </xf>
    <xf numFmtId="164" fontId="1" fillId="2" borderId="0" xfId="0" applyNumberFormat="1" applyFont="1" applyFill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/>
    <xf numFmtId="20" fontId="1" fillId="0" borderId="0" xfId="0" applyNumberFormat="1" applyFont="1" applyAlignment="1"/>
    <xf numFmtId="20" fontId="3" fillId="0" borderId="0" xfId="0" applyNumberFormat="1" applyFont="1" applyAlignment="1"/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2" fontId="2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Обычный" xfId="0" builtinId="0"/>
  </cellStyles>
  <dxfs count="19">
    <dxf>
      <font>
        <color rgb="FF0000FF"/>
      </font>
    </dxf>
    <dxf>
      <font>
        <color rgb="FF9C0006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F12" sqref="F12"/>
    </sheetView>
  </sheetViews>
  <sheetFormatPr defaultColWidth="9.28515625" defaultRowHeight="15"/>
  <cols>
    <col min="1" max="1" width="18" style="1" customWidth="1"/>
    <col min="3" max="3" width="23.5703125" customWidth="1"/>
    <col min="4" max="4" width="14.7109375" customWidth="1"/>
    <col min="5" max="5" width="13.5703125" customWidth="1"/>
  </cols>
  <sheetData>
    <row r="1" spans="1:14">
      <c r="A1" s="2"/>
      <c r="B1" s="3"/>
      <c r="C1" s="4"/>
      <c r="D1" s="4"/>
      <c r="E1" s="4"/>
      <c r="F1" s="14" t="s">
        <v>0</v>
      </c>
      <c r="G1" s="15"/>
      <c r="H1" s="15"/>
      <c r="I1" s="14" t="s">
        <v>1</v>
      </c>
      <c r="J1" s="15"/>
      <c r="K1" s="15"/>
      <c r="L1" s="14" t="s">
        <v>2</v>
      </c>
      <c r="M1" s="15"/>
      <c r="N1" s="15"/>
    </row>
    <row r="2" spans="1:14">
      <c r="A2" s="10" t="s">
        <v>3</v>
      </c>
      <c r="B2" s="11" t="s">
        <v>4</v>
      </c>
      <c r="C2" s="12" t="s">
        <v>5</v>
      </c>
      <c r="D2" s="12" t="s">
        <v>6</v>
      </c>
      <c r="E2" s="12" t="s">
        <v>7</v>
      </c>
      <c r="F2" s="13" t="s">
        <v>8</v>
      </c>
      <c r="G2" s="13" t="s">
        <v>9</v>
      </c>
      <c r="H2" s="13" t="s">
        <v>10</v>
      </c>
      <c r="I2" s="13" t="s">
        <v>8</v>
      </c>
      <c r="J2" s="13" t="s">
        <v>9</v>
      </c>
      <c r="K2" s="13" t="s">
        <v>10</v>
      </c>
      <c r="L2" s="13" t="s">
        <v>8</v>
      </c>
      <c r="M2" s="13" t="s">
        <v>9</v>
      </c>
      <c r="N2" s="13" t="s">
        <v>10</v>
      </c>
    </row>
    <row r="3" spans="1:14">
      <c r="A3" s="5">
        <v>42224</v>
      </c>
      <c r="B3" s="6">
        <v>42224.53125</v>
      </c>
      <c r="C3" s="16" t="s">
        <v>11</v>
      </c>
      <c r="D3" s="16" t="s">
        <v>12</v>
      </c>
      <c r="E3" s="16" t="s">
        <v>13</v>
      </c>
      <c r="F3" s="8">
        <v>1.67</v>
      </c>
      <c r="G3" s="8">
        <v>4.0999999999999996</v>
      </c>
      <c r="H3" s="8">
        <v>6.2</v>
      </c>
      <c r="I3" s="8">
        <v>1.41</v>
      </c>
      <c r="J3" s="8">
        <v>10.33</v>
      </c>
      <c r="K3" s="8">
        <v>5.17</v>
      </c>
      <c r="L3" s="8">
        <f t="shared" ref="L3:N3" si="0">SUM(100/I3-100/F3)</f>
        <v>11.041746294644801</v>
      </c>
      <c r="M3" s="8">
        <f t="shared" si="0"/>
        <v>-14.7097017920808</v>
      </c>
      <c r="N3" s="8">
        <f t="shared" si="0"/>
        <v>3.2133275098271699</v>
      </c>
    </row>
    <row r="4" spans="1:14">
      <c r="A4" s="5">
        <v>42224</v>
      </c>
      <c r="B4" s="6">
        <v>42224.625</v>
      </c>
      <c r="C4" s="16" t="s">
        <v>11</v>
      </c>
      <c r="D4" s="16" t="s">
        <v>14</v>
      </c>
      <c r="E4" s="16" t="s">
        <v>15</v>
      </c>
      <c r="F4" s="8">
        <v>2.06</v>
      </c>
      <c r="G4" s="8">
        <v>3.6</v>
      </c>
      <c r="H4" s="8">
        <v>4.0999999999999996</v>
      </c>
      <c r="I4" s="8">
        <v>2</v>
      </c>
      <c r="J4" s="8">
        <v>4.5</v>
      </c>
      <c r="K4" s="8">
        <v>3.6</v>
      </c>
      <c r="L4" s="8">
        <f t="shared" ref="L4:N4" si="1">SUM(100/I4-100/F4)</f>
        <v>1.4563106796116501</v>
      </c>
      <c r="M4" s="8">
        <f t="shared" si="1"/>
        <v>-5.5555555555555598</v>
      </c>
      <c r="N4" s="8">
        <f t="shared" si="1"/>
        <v>3.3875338753387498</v>
      </c>
    </row>
    <row r="5" spans="1:14">
      <c r="A5" s="5">
        <v>42224</v>
      </c>
      <c r="B5" s="6">
        <v>42224.625</v>
      </c>
      <c r="C5" s="16" t="s">
        <v>11</v>
      </c>
      <c r="D5" s="16" t="s">
        <v>16</v>
      </c>
      <c r="E5" s="16" t="s">
        <v>17</v>
      </c>
      <c r="F5" s="8">
        <v>1.74</v>
      </c>
      <c r="G5" s="8">
        <v>4</v>
      </c>
      <c r="H5" s="8">
        <v>5.5</v>
      </c>
      <c r="I5" s="8">
        <v>1.64</v>
      </c>
      <c r="J5" s="8">
        <v>4.5</v>
      </c>
      <c r="K5" s="8">
        <v>6</v>
      </c>
      <c r="L5" s="8">
        <f t="shared" ref="L5:N5" si="2">SUM(100/I5-100/F5)</f>
        <v>3.5043453882814699</v>
      </c>
      <c r="M5" s="8">
        <f t="shared" si="2"/>
        <v>-2.7777777777777799</v>
      </c>
      <c r="N5" s="8">
        <f t="shared" si="2"/>
        <v>-1.51515151515152</v>
      </c>
    </row>
    <row r="6" spans="1:14">
      <c r="A6" s="5">
        <v>42224</v>
      </c>
      <c r="B6" s="6">
        <v>42224.625</v>
      </c>
      <c r="C6" s="16" t="s">
        <v>11</v>
      </c>
      <c r="D6" s="16" t="s">
        <v>18</v>
      </c>
      <c r="E6" s="16" t="s">
        <v>19</v>
      </c>
      <c r="F6" s="8">
        <v>2</v>
      </c>
      <c r="G6" s="8">
        <v>3.5</v>
      </c>
      <c r="H6" s="8">
        <v>4.5</v>
      </c>
      <c r="I6" s="8">
        <v>2.88</v>
      </c>
      <c r="J6" s="8">
        <v>2.56</v>
      </c>
      <c r="K6" s="8">
        <v>3.83</v>
      </c>
      <c r="L6" s="8">
        <f t="shared" ref="L6:N6" si="3">SUM(100/I6-100/F6)</f>
        <v>-15.2777777777778</v>
      </c>
      <c r="M6" s="8">
        <f t="shared" si="3"/>
        <v>10.4910714285714</v>
      </c>
      <c r="N6" s="8">
        <f t="shared" si="3"/>
        <v>3.8874383521903102</v>
      </c>
    </row>
    <row r="7" spans="1:14">
      <c r="A7" s="5">
        <v>42224</v>
      </c>
      <c r="B7" s="6">
        <v>42224.625</v>
      </c>
      <c r="C7" s="16" t="s">
        <v>11</v>
      </c>
      <c r="D7" s="16" t="s">
        <v>20</v>
      </c>
      <c r="E7" s="16" t="s">
        <v>21</v>
      </c>
      <c r="F7" s="8">
        <v>2.68</v>
      </c>
      <c r="G7" s="8">
        <v>3.35</v>
      </c>
      <c r="H7" s="8">
        <v>2.98</v>
      </c>
      <c r="I7" s="8">
        <v>2.4500000000000002</v>
      </c>
      <c r="J7" s="8">
        <v>2.7</v>
      </c>
      <c r="K7" s="8">
        <v>4.5</v>
      </c>
      <c r="L7" s="8">
        <f t="shared" ref="L7:N7" si="4">SUM(100/I7-100/F7)</f>
        <v>3.50289369479135</v>
      </c>
      <c r="M7" s="8">
        <f t="shared" si="4"/>
        <v>7.1862907683803199</v>
      </c>
      <c r="N7" s="8">
        <f t="shared" si="4"/>
        <v>-11.334824757643601</v>
      </c>
    </row>
    <row r="8" spans="1:14">
      <c r="A8" s="5">
        <v>42224</v>
      </c>
      <c r="B8" s="6">
        <v>42224.729166666701</v>
      </c>
      <c r="C8" s="16" t="s">
        <v>11</v>
      </c>
      <c r="D8" s="16" t="s">
        <v>22</v>
      </c>
      <c r="E8" s="16" t="s">
        <v>23</v>
      </c>
      <c r="F8" s="8">
        <v>1.39</v>
      </c>
      <c r="G8" s="8">
        <v>5</v>
      </c>
      <c r="H8" s="8">
        <v>11.5</v>
      </c>
      <c r="I8" s="8">
        <v>1.1499999999999999</v>
      </c>
      <c r="J8" s="8">
        <v>31</v>
      </c>
      <c r="K8" s="8">
        <v>10.33</v>
      </c>
      <c r="L8" s="8">
        <f t="shared" ref="L8:N8" si="5">SUM(100/I8-100/F8)</f>
        <v>15.014075695964999</v>
      </c>
      <c r="M8" s="8">
        <f t="shared" si="5"/>
        <v>-16.7741935483871</v>
      </c>
      <c r="N8" s="8">
        <f t="shared" si="5"/>
        <v>0.984889936445137</v>
      </c>
    </row>
    <row r="9" spans="1:14">
      <c r="A9" s="5">
        <v>42225</v>
      </c>
      <c r="B9" s="6">
        <v>42225.5625</v>
      </c>
      <c r="C9" s="16" t="s">
        <v>11</v>
      </c>
      <c r="D9" s="16" t="s">
        <v>24</v>
      </c>
      <c r="E9" s="16" t="s">
        <v>25</v>
      </c>
      <c r="F9" s="8">
        <v>1.31</v>
      </c>
      <c r="G9" s="8">
        <v>6.2</v>
      </c>
      <c r="H9" s="8">
        <v>12.5</v>
      </c>
      <c r="I9" s="8">
        <v>1.23</v>
      </c>
      <c r="J9" s="8">
        <v>10.67</v>
      </c>
      <c r="K9" s="8">
        <v>10.67</v>
      </c>
      <c r="L9" s="8">
        <f t="shared" ref="L9:N9" si="6">SUM(100/I9-100/F9)</f>
        <v>4.9649351455346702</v>
      </c>
      <c r="M9" s="8">
        <f t="shared" si="6"/>
        <v>-6.75696103032318</v>
      </c>
      <c r="N9" s="8">
        <f t="shared" si="6"/>
        <v>1.3720712277413301</v>
      </c>
    </row>
    <row r="10" spans="1:14">
      <c r="A10" s="5">
        <v>42225</v>
      </c>
      <c r="B10" s="6">
        <v>42225.5625</v>
      </c>
      <c r="C10" s="16" t="s">
        <v>11</v>
      </c>
      <c r="D10" s="16" t="s">
        <v>26</v>
      </c>
      <c r="E10" s="16" t="s">
        <v>27</v>
      </c>
      <c r="F10" s="8">
        <v>2.88</v>
      </c>
      <c r="G10" s="8">
        <v>3.35</v>
      </c>
      <c r="H10" s="8">
        <v>2.78</v>
      </c>
      <c r="I10" s="8">
        <v>2.82</v>
      </c>
      <c r="J10" s="8">
        <v>3.44</v>
      </c>
      <c r="K10" s="8">
        <v>2.82</v>
      </c>
      <c r="L10" s="8">
        <f t="shared" ref="L10:N10" si="7">SUM(100/I10-100/F10)</f>
        <v>0.73877068557919801</v>
      </c>
      <c r="M10" s="8">
        <f t="shared" si="7"/>
        <v>-0.78097882679624997</v>
      </c>
      <c r="N10" s="8">
        <f t="shared" si="7"/>
        <v>-0.51023011378131899</v>
      </c>
    </row>
    <row r="11" spans="1:14">
      <c r="A11" s="5">
        <v>42225</v>
      </c>
      <c r="B11" s="6">
        <v>42225.666666666701</v>
      </c>
      <c r="C11" s="16" t="s">
        <v>11</v>
      </c>
      <c r="D11" s="16" t="s">
        <v>28</v>
      </c>
      <c r="E11" s="16" t="s">
        <v>29</v>
      </c>
      <c r="F11" s="8">
        <v>3.5</v>
      </c>
      <c r="G11" s="8">
        <v>3.45</v>
      </c>
      <c r="H11" s="8">
        <v>2.3199999999999998</v>
      </c>
      <c r="I11" s="8">
        <v>2.46</v>
      </c>
      <c r="J11" s="8">
        <v>5.33</v>
      </c>
      <c r="K11" s="8">
        <v>2.46</v>
      </c>
      <c r="L11" s="8">
        <f t="shared" ref="L11:N11" si="8">SUM(100/I11-100/F11)</f>
        <v>12.0789779326365</v>
      </c>
      <c r="M11" s="8">
        <f t="shared" si="8"/>
        <v>-10.2237811675776</v>
      </c>
      <c r="N11" s="8">
        <f t="shared" si="8"/>
        <v>-2.4530417717970301</v>
      </c>
    </row>
    <row r="12" spans="1:14">
      <c r="A12" s="5">
        <v>42226</v>
      </c>
      <c r="B12" s="6">
        <v>42226.833333333299</v>
      </c>
      <c r="C12" s="16" t="s">
        <v>11</v>
      </c>
      <c r="D12" s="16" t="s">
        <v>30</v>
      </c>
      <c r="E12" s="16" t="s">
        <v>31</v>
      </c>
      <c r="F12" s="8">
        <v>5.9</v>
      </c>
      <c r="G12" s="8">
        <v>4</v>
      </c>
      <c r="H12" s="8">
        <v>1.7</v>
      </c>
      <c r="I12" s="8">
        <v>4.25</v>
      </c>
      <c r="J12" s="8">
        <v>5.67</v>
      </c>
      <c r="K12" s="8">
        <v>1.74</v>
      </c>
      <c r="L12" s="8">
        <f t="shared" ref="L12:N12" si="9">SUM(100/I12-100/F12)</f>
        <v>6.5802592223330096</v>
      </c>
      <c r="M12" s="8">
        <f t="shared" si="9"/>
        <v>-7.3633156966490301</v>
      </c>
      <c r="N12" s="8">
        <f t="shared" si="9"/>
        <v>-1.3522650439486199</v>
      </c>
    </row>
    <row r="13" spans="1:14">
      <c r="A13" s="5">
        <v>42230</v>
      </c>
      <c r="B13" s="6">
        <v>42230.8125</v>
      </c>
      <c r="C13" s="16" t="s">
        <v>32</v>
      </c>
      <c r="D13" s="16" t="s">
        <v>33</v>
      </c>
      <c r="E13" s="16" t="s">
        <v>34</v>
      </c>
      <c r="F13" s="8">
        <v>1.1000000000000001</v>
      </c>
      <c r="G13" s="8">
        <v>13.5</v>
      </c>
      <c r="H13" s="8">
        <v>42</v>
      </c>
      <c r="I13" s="8">
        <v>1.1599999999999999</v>
      </c>
      <c r="J13" s="8">
        <v>9.67</v>
      </c>
      <c r="K13" s="8">
        <v>29</v>
      </c>
      <c r="L13" s="8">
        <f t="shared" ref="L13:N13" si="10">SUM(100/I13-100/F13)</f>
        <v>-4.7021943573667597</v>
      </c>
      <c r="M13" s="8">
        <f t="shared" si="10"/>
        <v>2.9338542265119298</v>
      </c>
      <c r="N13" s="8">
        <f t="shared" si="10"/>
        <v>1.0673234811165799</v>
      </c>
    </row>
    <row r="14" spans="1:14">
      <c r="A14" s="5">
        <v>42230</v>
      </c>
      <c r="B14" s="6">
        <v>42230.822916666701</v>
      </c>
      <c r="C14" s="16" t="s">
        <v>11</v>
      </c>
      <c r="D14" s="16" t="s">
        <v>15</v>
      </c>
      <c r="E14" s="16" t="s">
        <v>12</v>
      </c>
      <c r="F14" s="8">
        <v>6.2</v>
      </c>
      <c r="G14" s="8">
        <v>3.95</v>
      </c>
      <c r="H14" s="8">
        <v>1.69</v>
      </c>
      <c r="I14" s="8">
        <v>6.6</v>
      </c>
      <c r="J14" s="8">
        <v>4.13</v>
      </c>
      <c r="K14" s="8">
        <v>1.65</v>
      </c>
      <c r="L14" s="8">
        <f t="shared" ref="L14:N14" si="11">SUM(100/I14-100/F14)</f>
        <v>-0.97751710654936397</v>
      </c>
      <c r="M14" s="8">
        <f t="shared" si="11"/>
        <v>-1.1033806356698399</v>
      </c>
      <c r="N14" s="8">
        <f t="shared" si="11"/>
        <v>1.43446297292451</v>
      </c>
    </row>
    <row r="15" spans="1:14">
      <c r="A15" s="5">
        <v>42231</v>
      </c>
      <c r="B15" s="6">
        <v>42231.53125</v>
      </c>
      <c r="C15" s="16" t="s">
        <v>11</v>
      </c>
      <c r="D15" s="16" t="s">
        <v>27</v>
      </c>
      <c r="E15" s="16" t="s">
        <v>16</v>
      </c>
      <c r="F15" s="8">
        <v>1.99</v>
      </c>
      <c r="G15" s="8">
        <v>3.6</v>
      </c>
      <c r="H15" s="8">
        <v>4.4000000000000004</v>
      </c>
      <c r="I15" s="8">
        <v>2</v>
      </c>
      <c r="J15" s="8">
        <v>2.8</v>
      </c>
      <c r="K15" s="8">
        <v>7</v>
      </c>
      <c r="L15" s="8">
        <f t="shared" ref="L15:N15" si="12">SUM(100/I15-100/F15)</f>
        <v>-0.25125628140703798</v>
      </c>
      <c r="M15" s="8">
        <f t="shared" si="12"/>
        <v>7.9365079365079403</v>
      </c>
      <c r="N15" s="8">
        <f t="shared" si="12"/>
        <v>-8.4415584415584402</v>
      </c>
    </row>
    <row r="16" spans="1:14">
      <c r="A16" s="5">
        <v>42231</v>
      </c>
      <c r="B16" s="6">
        <v>42231.604166666701</v>
      </c>
      <c r="C16" s="16" t="s">
        <v>32</v>
      </c>
      <c r="D16" s="16" t="s">
        <v>35</v>
      </c>
      <c r="E16" s="16" t="s">
        <v>36</v>
      </c>
      <c r="F16" s="8">
        <v>2.08</v>
      </c>
      <c r="G16" s="8">
        <v>3.5</v>
      </c>
      <c r="H16" s="8">
        <v>4.0999999999999996</v>
      </c>
      <c r="I16" s="8">
        <v>2.0699999999999998</v>
      </c>
      <c r="J16" s="8">
        <v>3.88</v>
      </c>
      <c r="K16" s="8">
        <v>3.88</v>
      </c>
      <c r="L16" s="8">
        <f t="shared" ref="L16:N16" si="13">SUM(100/I16-100/F16)</f>
        <v>0.23225566703828099</v>
      </c>
      <c r="M16" s="8">
        <f t="shared" si="13"/>
        <v>-2.7982326951399101</v>
      </c>
      <c r="N16" s="8">
        <f t="shared" si="13"/>
        <v>1.3829519738496401</v>
      </c>
    </row>
    <row r="17" spans="1:14">
      <c r="A17" s="5">
        <v>42231</v>
      </c>
      <c r="B17" s="6">
        <v>42231.604166666701</v>
      </c>
      <c r="C17" s="16" t="s">
        <v>32</v>
      </c>
      <c r="D17" s="16" t="s">
        <v>37</v>
      </c>
      <c r="E17" s="16" t="s">
        <v>38</v>
      </c>
      <c r="F17" s="8">
        <v>1.55</v>
      </c>
      <c r="G17" s="8">
        <v>4.7</v>
      </c>
      <c r="H17" s="8">
        <v>7</v>
      </c>
      <c r="I17" s="8">
        <v>1.5</v>
      </c>
      <c r="J17" s="8">
        <v>5</v>
      </c>
      <c r="K17" s="8">
        <v>7.5</v>
      </c>
      <c r="L17" s="8">
        <f t="shared" ref="L17:N17" si="14">SUM(100/I17-100/F17)</f>
        <v>2.15053763440861</v>
      </c>
      <c r="M17" s="8">
        <f t="shared" si="14"/>
        <v>-1.27659574468085</v>
      </c>
      <c r="N17" s="8">
        <f t="shared" si="14"/>
        <v>-0.95238095238095299</v>
      </c>
    </row>
    <row r="18" spans="1:14">
      <c r="A18" s="5">
        <v>42231</v>
      </c>
      <c r="B18" s="6">
        <v>42231.604166666701</v>
      </c>
      <c r="C18" s="16" t="s">
        <v>32</v>
      </c>
      <c r="D18" s="16" t="s">
        <v>39</v>
      </c>
      <c r="E18" s="16" t="s">
        <v>40</v>
      </c>
      <c r="F18" s="8">
        <v>2.06</v>
      </c>
      <c r="G18" s="8">
        <v>3.55</v>
      </c>
      <c r="H18" s="8">
        <v>4</v>
      </c>
      <c r="I18" s="8">
        <v>1.45</v>
      </c>
      <c r="J18" s="8">
        <v>8</v>
      </c>
      <c r="K18" s="8">
        <v>5.3</v>
      </c>
      <c r="L18" s="8">
        <f t="shared" ref="L18:N18" si="15">SUM(100/I18-100/F18)</f>
        <v>20.421827920990999</v>
      </c>
      <c r="M18" s="8">
        <f t="shared" si="15"/>
        <v>-15.669014084506999</v>
      </c>
      <c r="N18" s="8">
        <f t="shared" si="15"/>
        <v>-6.1320754716981103</v>
      </c>
    </row>
    <row r="19" spans="1:14">
      <c r="A19" s="5">
        <v>42231</v>
      </c>
      <c r="B19" s="6">
        <v>42231.604166666701</v>
      </c>
      <c r="C19" s="16" t="s">
        <v>32</v>
      </c>
      <c r="D19" s="16" t="s">
        <v>41</v>
      </c>
      <c r="E19" s="16" t="s">
        <v>42</v>
      </c>
      <c r="F19" s="8">
        <v>2.62</v>
      </c>
      <c r="G19" s="8">
        <v>3.4</v>
      </c>
      <c r="H19" s="8">
        <v>3</v>
      </c>
      <c r="I19" s="8">
        <v>2</v>
      </c>
      <c r="J19" s="8">
        <v>8</v>
      </c>
      <c r="K19" s="8">
        <v>2.67</v>
      </c>
      <c r="L19" s="8">
        <f t="shared" ref="L19:N19" si="16">SUM(100/I19-100/F19)</f>
        <v>11.8320610687023</v>
      </c>
      <c r="M19" s="8">
        <f t="shared" si="16"/>
        <v>-16.911764705882401</v>
      </c>
      <c r="N19" s="8">
        <f t="shared" si="16"/>
        <v>4.1198501872659197</v>
      </c>
    </row>
    <row r="20" spans="1:14">
      <c r="A20" s="5">
        <v>42231</v>
      </c>
      <c r="B20" s="6">
        <v>42231.604166666701</v>
      </c>
      <c r="C20" s="16" t="s">
        <v>32</v>
      </c>
      <c r="D20" s="17" t="s">
        <v>43</v>
      </c>
      <c r="E20" s="16" t="s">
        <v>44</v>
      </c>
      <c r="F20" s="8">
        <v>3.2</v>
      </c>
      <c r="G20" s="8">
        <v>3.6</v>
      </c>
      <c r="H20" s="8">
        <v>2.4</v>
      </c>
      <c r="I20" s="8">
        <v>2.64</v>
      </c>
      <c r="J20" s="8">
        <v>3.6</v>
      </c>
      <c r="K20" s="8">
        <v>2.9</v>
      </c>
      <c r="L20" s="8">
        <f t="shared" ref="L20:N20" si="17">SUM(100/I20-100/F20)</f>
        <v>6.6287878787878798</v>
      </c>
      <c r="M20" s="8">
        <f t="shared" si="17"/>
        <v>0</v>
      </c>
      <c r="N20" s="8">
        <f t="shared" si="17"/>
        <v>-7.1839080459770104</v>
      </c>
    </row>
    <row r="21" spans="1:14">
      <c r="A21" s="5">
        <v>42231</v>
      </c>
      <c r="B21" s="6">
        <v>42231.625</v>
      </c>
      <c r="C21" s="16" t="s">
        <v>11</v>
      </c>
      <c r="D21" s="16" t="s">
        <v>19</v>
      </c>
      <c r="E21" s="16" t="s">
        <v>20</v>
      </c>
      <c r="F21" s="8">
        <v>2.6</v>
      </c>
      <c r="G21" s="8">
        <v>3.35</v>
      </c>
      <c r="H21" s="8">
        <v>3.1</v>
      </c>
      <c r="I21" s="8">
        <v>2.29</v>
      </c>
      <c r="J21" s="8">
        <v>4</v>
      </c>
      <c r="K21" s="8">
        <v>3.2</v>
      </c>
      <c r="L21" s="8">
        <f t="shared" ref="L21:N21" si="18">SUM(100/I21-100/F21)</f>
        <v>5.2065838092038996</v>
      </c>
      <c r="M21" s="8">
        <f t="shared" si="18"/>
        <v>-4.85074626865672</v>
      </c>
      <c r="N21" s="8">
        <f t="shared" si="18"/>
        <v>-1.00806451612903</v>
      </c>
    </row>
    <row r="22" spans="1:14">
      <c r="A22" s="5">
        <v>42231</v>
      </c>
      <c r="B22" s="6">
        <v>42231.625</v>
      </c>
      <c r="C22" s="16" t="s">
        <v>11</v>
      </c>
      <c r="D22" s="16" t="s">
        <v>23</v>
      </c>
      <c r="E22" s="16" t="s">
        <v>26</v>
      </c>
      <c r="F22" s="8">
        <v>1.96</v>
      </c>
      <c r="G22" s="8">
        <v>3.7</v>
      </c>
      <c r="H22" s="8">
        <v>4.4000000000000004</v>
      </c>
      <c r="I22" s="8">
        <v>1.94</v>
      </c>
      <c r="J22" s="8">
        <v>3.67</v>
      </c>
      <c r="K22" s="8">
        <v>4.71</v>
      </c>
      <c r="L22" s="8">
        <f t="shared" ref="L22:N22" si="19">SUM(100/I22-100/F22)</f>
        <v>0.52598358931201294</v>
      </c>
      <c r="M22" s="8">
        <f t="shared" si="19"/>
        <v>0.22092937624272899</v>
      </c>
      <c r="N22" s="8">
        <f t="shared" si="19"/>
        <v>-1.4958502219648699</v>
      </c>
    </row>
    <row r="23" spans="1:14">
      <c r="A23" s="5">
        <v>42231</v>
      </c>
      <c r="B23" s="6">
        <v>42231.625</v>
      </c>
      <c r="C23" s="16" t="s">
        <v>11</v>
      </c>
      <c r="D23" s="16" t="s">
        <v>13</v>
      </c>
      <c r="E23" s="16" t="s">
        <v>28</v>
      </c>
      <c r="F23" s="8">
        <v>1.81</v>
      </c>
      <c r="G23" s="8">
        <v>3.8</v>
      </c>
      <c r="H23" s="8">
        <v>5.3</v>
      </c>
      <c r="I23" s="8">
        <v>1.58</v>
      </c>
      <c r="J23" s="8">
        <v>7.5</v>
      </c>
      <c r="K23" s="8">
        <v>4.29</v>
      </c>
      <c r="L23" s="8">
        <f t="shared" ref="L23:N23" si="20">SUM(100/I23-100/F23)</f>
        <v>8.0425204559759393</v>
      </c>
      <c r="M23" s="8">
        <f t="shared" si="20"/>
        <v>-12.9824561403509</v>
      </c>
      <c r="N23" s="8">
        <f t="shared" si="20"/>
        <v>4.4420987817214197</v>
      </c>
    </row>
    <row r="24" spans="1:14">
      <c r="A24" s="5">
        <v>42231</v>
      </c>
      <c r="B24" s="6">
        <v>42231.625</v>
      </c>
      <c r="C24" s="16" t="s">
        <v>11</v>
      </c>
      <c r="D24" s="16" t="s">
        <v>17</v>
      </c>
      <c r="E24" s="16" t="s">
        <v>30</v>
      </c>
      <c r="F24" s="8">
        <v>2.34</v>
      </c>
      <c r="G24" s="8">
        <v>3.45</v>
      </c>
      <c r="H24" s="8">
        <v>3.45</v>
      </c>
      <c r="I24" s="8">
        <v>2.25</v>
      </c>
      <c r="J24" s="8">
        <v>4.5</v>
      </c>
      <c r="K24" s="8">
        <v>3</v>
      </c>
      <c r="L24" s="8">
        <f t="shared" ref="L24:N24" si="21">SUM(100/I24-100/F24)</f>
        <v>1.7094017094017</v>
      </c>
      <c r="M24" s="8">
        <f t="shared" si="21"/>
        <v>-6.7632850241545901</v>
      </c>
      <c r="N24" s="8">
        <f t="shared" si="21"/>
        <v>4.3478260869565304</v>
      </c>
    </row>
    <row r="25" spans="1:14">
      <c r="A25" s="5">
        <v>42231</v>
      </c>
      <c r="B25" s="6">
        <v>42231.625</v>
      </c>
      <c r="C25" s="16" t="s">
        <v>11</v>
      </c>
      <c r="D25" s="16" t="s">
        <v>25</v>
      </c>
      <c r="E25" s="16" t="s">
        <v>18</v>
      </c>
      <c r="F25" s="8">
        <v>2.2999999999999998</v>
      </c>
      <c r="G25" s="8">
        <v>3.5</v>
      </c>
      <c r="H25" s="8">
        <v>3.55</v>
      </c>
      <c r="I25" s="8">
        <v>1.53</v>
      </c>
      <c r="J25" s="8">
        <v>5.75</v>
      </c>
      <c r="K25" s="8">
        <v>5.75</v>
      </c>
      <c r="L25" s="8">
        <f t="shared" ref="L25:N25" si="22">SUM(100/I25-100/F25)</f>
        <v>21.881216254617801</v>
      </c>
      <c r="M25" s="8">
        <f t="shared" si="22"/>
        <v>-11.180124223602499</v>
      </c>
      <c r="N25" s="8">
        <f t="shared" si="22"/>
        <v>-10.777709736681</v>
      </c>
    </row>
    <row r="26" spans="1:14">
      <c r="A26" s="5">
        <v>42231</v>
      </c>
      <c r="B26" s="6">
        <v>42231.729166666701</v>
      </c>
      <c r="C26" s="16" t="s">
        <v>32</v>
      </c>
      <c r="D26" s="16" t="s">
        <v>45</v>
      </c>
      <c r="E26" s="16" t="s">
        <v>46</v>
      </c>
      <c r="F26" s="8">
        <v>1.76</v>
      </c>
      <c r="G26" s="8">
        <v>4</v>
      </c>
      <c r="H26" s="8">
        <v>5.3</v>
      </c>
      <c r="I26" s="8">
        <v>1.83</v>
      </c>
      <c r="J26" s="8">
        <v>4.4000000000000004</v>
      </c>
      <c r="K26" s="8">
        <v>4.4000000000000004</v>
      </c>
      <c r="L26" s="8">
        <f t="shared" ref="L26:N26" si="23">SUM(100/I26-100/F26)</f>
        <v>-2.1733730750124201</v>
      </c>
      <c r="M26" s="8">
        <f t="shared" si="23"/>
        <v>-2.2727272727272698</v>
      </c>
      <c r="N26" s="8">
        <f t="shared" si="23"/>
        <v>3.85934819897084</v>
      </c>
    </row>
    <row r="27" spans="1:14">
      <c r="A27" s="5">
        <v>42232</v>
      </c>
      <c r="B27" s="6">
        <v>42232.5625</v>
      </c>
      <c r="C27" s="16" t="s">
        <v>11</v>
      </c>
      <c r="D27" s="16" t="s">
        <v>21</v>
      </c>
      <c r="E27" s="16" t="s">
        <v>24</v>
      </c>
      <c r="F27" s="8">
        <v>5.4</v>
      </c>
      <c r="G27" s="8">
        <v>4</v>
      </c>
      <c r="H27" s="8">
        <v>1.76</v>
      </c>
      <c r="I27" s="8">
        <v>5.2</v>
      </c>
      <c r="J27" s="8">
        <v>13</v>
      </c>
      <c r="K27" s="8">
        <v>1.37</v>
      </c>
      <c r="L27" s="8">
        <f t="shared" ref="L27:N27" si="24">SUM(100/I27-100/F27)</f>
        <v>0.71225071225071102</v>
      </c>
      <c r="M27" s="8">
        <f t="shared" si="24"/>
        <v>-17.307692307692299</v>
      </c>
      <c r="N27" s="8">
        <f t="shared" si="24"/>
        <v>16.174518911745199</v>
      </c>
    </row>
    <row r="28" spans="1:14">
      <c r="A28" s="5">
        <v>42232</v>
      </c>
      <c r="B28" s="6">
        <v>42232.604166666701</v>
      </c>
      <c r="C28" s="16" t="s">
        <v>32</v>
      </c>
      <c r="D28" s="16" t="s">
        <v>47</v>
      </c>
      <c r="E28" s="16" t="s">
        <v>48</v>
      </c>
      <c r="F28" s="8">
        <v>1.51</v>
      </c>
      <c r="G28" s="8">
        <v>5</v>
      </c>
      <c r="H28" s="8">
        <v>7.2</v>
      </c>
      <c r="I28" s="8">
        <v>1.63</v>
      </c>
      <c r="J28" s="8">
        <v>3.71</v>
      </c>
      <c r="K28" s="8">
        <v>8.67</v>
      </c>
      <c r="L28" s="8">
        <f t="shared" ref="L28:N28" si="25">SUM(100/I28-100/F28)</f>
        <v>-4.8754723113801601</v>
      </c>
      <c r="M28" s="8">
        <f t="shared" si="25"/>
        <v>6.9541778975741204</v>
      </c>
      <c r="N28" s="8">
        <f t="shared" si="25"/>
        <v>-2.35486351403306</v>
      </c>
    </row>
    <row r="29" spans="1:14">
      <c r="A29" s="5">
        <v>42232</v>
      </c>
      <c r="B29" s="6">
        <v>42232.666666666701</v>
      </c>
      <c r="C29" s="16" t="s">
        <v>11</v>
      </c>
      <c r="D29" s="16" t="s">
        <v>31</v>
      </c>
      <c r="E29" s="16" t="s">
        <v>22</v>
      </c>
      <c r="F29" s="8">
        <v>2.16</v>
      </c>
      <c r="G29" s="8">
        <v>3.55</v>
      </c>
      <c r="H29" s="8">
        <v>3.85</v>
      </c>
      <c r="I29" s="8">
        <v>2</v>
      </c>
      <c r="J29" s="8">
        <v>4.4000000000000004</v>
      </c>
      <c r="K29" s="8">
        <v>3.67</v>
      </c>
      <c r="L29" s="8">
        <f t="shared" ref="L29:N29" si="26">SUM(100/I29-100/F29)</f>
        <v>3.7037037037037099</v>
      </c>
      <c r="M29" s="8">
        <f t="shared" si="26"/>
        <v>-5.4417413572343198</v>
      </c>
      <c r="N29" s="8">
        <f t="shared" si="26"/>
        <v>1.2739304292437801</v>
      </c>
    </row>
    <row r="30" spans="1:14">
      <c r="A30" s="5">
        <v>42232</v>
      </c>
      <c r="B30" s="6">
        <v>42232.6875</v>
      </c>
      <c r="C30" s="16" t="s">
        <v>32</v>
      </c>
      <c r="D30" s="16" t="s">
        <v>49</v>
      </c>
      <c r="E30" s="16" t="s">
        <v>50</v>
      </c>
      <c r="F30" s="8">
        <v>2.12</v>
      </c>
      <c r="G30" s="8">
        <v>3.55</v>
      </c>
      <c r="H30" s="8">
        <v>3.9</v>
      </c>
      <c r="I30" s="8">
        <v>2.2999999999999998</v>
      </c>
      <c r="J30" s="8">
        <v>4.5999999999999996</v>
      </c>
      <c r="K30" s="8">
        <v>2.88</v>
      </c>
      <c r="L30" s="8">
        <f t="shared" ref="L30:N30" si="27">SUM(100/I30-100/F30)</f>
        <v>-3.6915504511894999</v>
      </c>
      <c r="M30" s="8">
        <f t="shared" si="27"/>
        <v>-6.4298836497244301</v>
      </c>
      <c r="N30" s="8">
        <f t="shared" si="27"/>
        <v>9.0811965811965791</v>
      </c>
    </row>
    <row r="31" spans="1:14">
      <c r="A31" s="5">
        <v>42233</v>
      </c>
      <c r="B31" s="6">
        <v>42233.833333333299</v>
      </c>
      <c r="C31" s="16" t="s">
        <v>11</v>
      </c>
      <c r="D31" s="16" t="s">
        <v>29</v>
      </c>
      <c r="E31" s="16" t="s">
        <v>14</v>
      </c>
      <c r="F31" s="8">
        <v>1.49</v>
      </c>
      <c r="G31" s="8">
        <v>4.5999999999999996</v>
      </c>
      <c r="H31" s="8">
        <v>8.4</v>
      </c>
      <c r="I31" s="8">
        <v>1.2</v>
      </c>
      <c r="J31" s="8">
        <v>9</v>
      </c>
      <c r="K31" s="8">
        <v>18</v>
      </c>
      <c r="L31" s="8">
        <f t="shared" ref="L31:N31" si="28">SUM(100/I31-100/F31)</f>
        <v>16.219239373601798</v>
      </c>
      <c r="M31" s="8">
        <f t="shared" si="28"/>
        <v>-10.6280193236715</v>
      </c>
      <c r="N31" s="8">
        <f t="shared" si="28"/>
        <v>-6.3492063492063497</v>
      </c>
    </row>
    <row r="32" spans="1:14">
      <c r="A32" s="5">
        <v>42237</v>
      </c>
      <c r="B32" s="7">
        <v>42237.8125</v>
      </c>
      <c r="C32" s="16" t="s">
        <v>32</v>
      </c>
      <c r="D32" s="16" t="s">
        <v>36</v>
      </c>
      <c r="E32" s="16" t="s">
        <v>43</v>
      </c>
      <c r="F32" s="9">
        <v>2.12</v>
      </c>
      <c r="G32" s="9">
        <v>3.55</v>
      </c>
      <c r="H32" s="9">
        <v>3.9</v>
      </c>
      <c r="I32" s="9">
        <v>2</v>
      </c>
      <c r="J32" s="9">
        <v>6</v>
      </c>
      <c r="K32" s="9">
        <v>3</v>
      </c>
      <c r="L32" s="8">
        <f t="shared" ref="L32:N32" si="29">SUM(100/I32-100/F32)</f>
        <v>2.8301886792452802</v>
      </c>
      <c r="M32" s="8">
        <f t="shared" si="29"/>
        <v>-11.502347417840401</v>
      </c>
      <c r="N32" s="8">
        <f t="shared" si="29"/>
        <v>7.6923076923076898</v>
      </c>
    </row>
    <row r="33" spans="1:14">
      <c r="A33" s="5">
        <v>42237</v>
      </c>
      <c r="B33" s="7">
        <v>42237.8125</v>
      </c>
      <c r="C33" s="16" t="s">
        <v>51</v>
      </c>
      <c r="D33" s="16" t="s">
        <v>52</v>
      </c>
      <c r="E33" s="16" t="s">
        <v>53</v>
      </c>
      <c r="F33" s="9">
        <v>3.55</v>
      </c>
      <c r="G33" s="9">
        <v>3.55</v>
      </c>
      <c r="H33" s="9">
        <v>2.2599999999999998</v>
      </c>
      <c r="I33" s="9">
        <v>2.58</v>
      </c>
      <c r="J33" s="9">
        <v>6.2</v>
      </c>
      <c r="K33" s="9">
        <v>2.21</v>
      </c>
      <c r="L33" s="8">
        <f t="shared" ref="L33:N33" si="30">SUM(100/I33-100/F33)</f>
        <v>10.590675837973601</v>
      </c>
      <c r="M33" s="8">
        <f t="shared" si="30"/>
        <v>-12.039981826442499</v>
      </c>
      <c r="N33" s="8">
        <f t="shared" si="30"/>
        <v>1.00108116766107</v>
      </c>
    </row>
    <row r="34" spans="1:14">
      <c r="A34" s="5">
        <v>42238</v>
      </c>
      <c r="B34" s="7">
        <v>42238.53125</v>
      </c>
      <c r="C34" s="16" t="s">
        <v>11</v>
      </c>
      <c r="D34" s="16" t="s">
        <v>12</v>
      </c>
      <c r="E34" s="16" t="s">
        <v>26</v>
      </c>
      <c r="F34" s="9">
        <v>1.4</v>
      </c>
      <c r="G34" s="9">
        <v>5.3</v>
      </c>
      <c r="H34" s="9">
        <v>9.8000000000000007</v>
      </c>
      <c r="I34" s="9">
        <v>1.27</v>
      </c>
      <c r="J34" s="9">
        <v>11</v>
      </c>
      <c r="K34" s="9">
        <v>8.25</v>
      </c>
      <c r="L34" s="8">
        <f t="shared" ref="L34:N34" si="31">SUM(100/I34-100/F34)</f>
        <v>7.3115860517435296</v>
      </c>
      <c r="M34" s="8">
        <f t="shared" si="31"/>
        <v>-9.7770154373927998</v>
      </c>
      <c r="N34" s="8">
        <f t="shared" si="31"/>
        <v>1.9171304885590601</v>
      </c>
    </row>
    <row r="35" spans="1:14">
      <c r="A35" s="5">
        <v>42238</v>
      </c>
      <c r="B35" s="7">
        <v>42238.604166666701</v>
      </c>
      <c r="C35" s="16" t="s">
        <v>32</v>
      </c>
      <c r="D35" s="16" t="s">
        <v>48</v>
      </c>
      <c r="E35" s="16" t="s">
        <v>35</v>
      </c>
      <c r="F35" s="9">
        <v>2.2599999999999998</v>
      </c>
      <c r="G35" s="9">
        <v>3.7</v>
      </c>
      <c r="H35" s="9">
        <v>3.35</v>
      </c>
      <c r="I35" s="9">
        <v>1.76</v>
      </c>
      <c r="J35" s="9">
        <v>5</v>
      </c>
      <c r="K35" s="9">
        <v>4.29</v>
      </c>
      <c r="L35" s="8">
        <f t="shared" ref="L35:N35" si="32">SUM(100/I35-100/F35)</f>
        <v>12.5703942075623</v>
      </c>
      <c r="M35" s="8">
        <f t="shared" si="32"/>
        <v>-7.0270270270270201</v>
      </c>
      <c r="N35" s="8">
        <f t="shared" si="32"/>
        <v>-6.5407229586334097</v>
      </c>
    </row>
    <row r="36" spans="1:14">
      <c r="A36" s="5">
        <v>42238</v>
      </c>
      <c r="B36" s="7">
        <v>42238.604166666701</v>
      </c>
      <c r="C36" s="16" t="s">
        <v>32</v>
      </c>
      <c r="D36" s="16" t="s">
        <v>50</v>
      </c>
      <c r="E36" s="16" t="s">
        <v>47</v>
      </c>
      <c r="F36" s="9">
        <v>4.4000000000000004</v>
      </c>
      <c r="G36" s="9">
        <v>3.9</v>
      </c>
      <c r="H36" s="9">
        <v>1.9</v>
      </c>
      <c r="I36" s="9">
        <v>6</v>
      </c>
      <c r="J36" s="9">
        <v>3.43</v>
      </c>
      <c r="K36" s="9">
        <v>1.85</v>
      </c>
      <c r="L36" s="8">
        <f t="shared" ref="L36:N36" si="33">SUM(100/I36-100/F36)</f>
        <v>-6.0606060606060597</v>
      </c>
      <c r="M36" s="8">
        <f t="shared" si="33"/>
        <v>3.5134933094116798</v>
      </c>
      <c r="N36" s="8">
        <f t="shared" si="33"/>
        <v>1.42247510668562</v>
      </c>
    </row>
    <row r="37" spans="1:14">
      <c r="A37" s="5">
        <v>42238</v>
      </c>
      <c r="B37" s="7">
        <v>42238.604166666701</v>
      </c>
      <c r="C37" s="16" t="s">
        <v>32</v>
      </c>
      <c r="D37" s="16" t="s">
        <v>42</v>
      </c>
      <c r="E37" s="16" t="s">
        <v>37</v>
      </c>
      <c r="F37" s="9">
        <v>4.5999999999999996</v>
      </c>
      <c r="G37" s="9">
        <v>3.9</v>
      </c>
      <c r="H37" s="9">
        <v>1.88</v>
      </c>
      <c r="I37" s="9">
        <v>2.42</v>
      </c>
      <c r="J37" s="9">
        <v>4.83</v>
      </c>
      <c r="K37" s="9">
        <v>2.64</v>
      </c>
      <c r="L37" s="8">
        <f t="shared" ref="L37:N37" si="34">SUM(100/I37-100/F37)</f>
        <v>19.583183614804199</v>
      </c>
      <c r="M37" s="8">
        <f t="shared" si="34"/>
        <v>-4.9370918936136299</v>
      </c>
      <c r="N37" s="8">
        <f t="shared" si="34"/>
        <v>-15.312701482914299</v>
      </c>
    </row>
    <row r="38" spans="1:14">
      <c r="A38" s="5">
        <v>42238</v>
      </c>
      <c r="B38" s="7">
        <v>42238.604166666701</v>
      </c>
      <c r="C38" s="16" t="s">
        <v>32</v>
      </c>
      <c r="D38" s="16" t="s">
        <v>38</v>
      </c>
      <c r="E38" s="16" t="s">
        <v>33</v>
      </c>
      <c r="F38" s="9">
        <v>10.5</v>
      </c>
      <c r="G38" s="9">
        <v>6.2</v>
      </c>
      <c r="H38" s="9">
        <v>1.33</v>
      </c>
      <c r="I38" s="9">
        <v>9</v>
      </c>
      <c r="J38" s="9">
        <v>9</v>
      </c>
      <c r="K38" s="9">
        <v>1.29</v>
      </c>
      <c r="L38" s="8">
        <f t="shared" ref="L38:N38" si="35">SUM(100/I38-100/F38)</f>
        <v>1.5873015873015901</v>
      </c>
      <c r="M38" s="8">
        <f t="shared" si="35"/>
        <v>-5.0179211469534097</v>
      </c>
      <c r="N38" s="8">
        <f t="shared" si="35"/>
        <v>2.33140992014921</v>
      </c>
    </row>
    <row r="39" spans="1:14">
      <c r="A39" s="5">
        <v>42238</v>
      </c>
      <c r="B39" s="7">
        <v>42238.604166666701</v>
      </c>
      <c r="C39" s="16" t="s">
        <v>32</v>
      </c>
      <c r="D39" s="16" t="s">
        <v>44</v>
      </c>
      <c r="E39" s="16" t="s">
        <v>41</v>
      </c>
      <c r="F39" s="9">
        <v>1.47</v>
      </c>
      <c r="G39" s="9">
        <v>4.9000000000000004</v>
      </c>
      <c r="H39" s="9">
        <v>8.6</v>
      </c>
      <c r="I39" s="9">
        <v>1.33</v>
      </c>
      <c r="J39" s="9">
        <v>8</v>
      </c>
      <c r="K39" s="9">
        <v>8</v>
      </c>
      <c r="L39" s="8">
        <f t="shared" ref="L39:N39" si="36">SUM(100/I39-100/F39)</f>
        <v>7.1607590404582702</v>
      </c>
      <c r="M39" s="8">
        <f t="shared" si="36"/>
        <v>-7.9081632653061202</v>
      </c>
      <c r="N39" s="8">
        <f t="shared" si="36"/>
        <v>0.87209302325581295</v>
      </c>
    </row>
    <row r="40" spans="1:14">
      <c r="A40" s="5">
        <v>42238</v>
      </c>
      <c r="B40" s="7">
        <v>42238.625</v>
      </c>
      <c r="C40" s="16" t="s">
        <v>11</v>
      </c>
      <c r="D40" s="16" t="s">
        <v>21</v>
      </c>
      <c r="E40" s="16" t="s">
        <v>15</v>
      </c>
      <c r="F40" s="9">
        <v>1.9</v>
      </c>
      <c r="G40" s="9">
        <v>3.7</v>
      </c>
      <c r="H40" s="9">
        <v>4.9000000000000004</v>
      </c>
      <c r="I40" s="9">
        <v>3.22</v>
      </c>
      <c r="J40" s="9">
        <v>4.1399999999999997</v>
      </c>
      <c r="K40" s="9">
        <v>2.23</v>
      </c>
      <c r="L40" s="8">
        <f t="shared" ref="L40:N40" si="37">SUM(100/I40-100/F40)</f>
        <v>-21.575678326250401</v>
      </c>
      <c r="M40" s="8">
        <f t="shared" si="37"/>
        <v>-2.8724376550463502</v>
      </c>
      <c r="N40" s="8">
        <f t="shared" si="37"/>
        <v>24.434886062048101</v>
      </c>
    </row>
    <row r="41" spans="1:14">
      <c r="A41" s="5">
        <v>42238</v>
      </c>
      <c r="B41" s="7">
        <v>42238.625</v>
      </c>
      <c r="C41" s="16" t="s">
        <v>11</v>
      </c>
      <c r="D41" s="16" t="s">
        <v>18</v>
      </c>
      <c r="E41" s="16" t="s">
        <v>13</v>
      </c>
      <c r="F41" s="9">
        <v>2.7</v>
      </c>
      <c r="G41" s="9">
        <v>3.6</v>
      </c>
      <c r="H41" s="9">
        <v>2.82</v>
      </c>
      <c r="I41" s="9">
        <v>5.25</v>
      </c>
      <c r="J41" s="9">
        <v>3.5</v>
      </c>
      <c r="K41" s="9">
        <v>1.91</v>
      </c>
      <c r="L41" s="8">
        <f t="shared" ref="L41:N41" si="38">SUM(100/I41-100/F41)</f>
        <v>-17.989417989418001</v>
      </c>
      <c r="M41" s="8">
        <f t="shared" si="38"/>
        <v>0.79365079365079405</v>
      </c>
      <c r="N41" s="8">
        <f t="shared" si="38"/>
        <v>16.895028034607002</v>
      </c>
    </row>
  </sheetData>
  <mergeCells count="3">
    <mergeCell ref="F1:H1"/>
    <mergeCell ref="I1:K1"/>
    <mergeCell ref="L1:N1"/>
  </mergeCells>
  <conditionalFormatting sqref="L3:N4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2024-12-18T16:40:20Z</dcterms:created>
  <dcterms:modified xsi:type="dcterms:W3CDTF">2025-12-01T06:07:47Z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C89E16867AB425CC748A62670C9C4855_41</vt:lpwstr>
  </property>
  <property fmtid="{D5CDD505-2E9C-101B-9397-08002B2CF9AE}" pid="3" name="KSOProductBuildVer">
    <vt:lpwstr>2052-6.8.2.8850</vt:lpwstr>
  </property>
</Properties>
</file>