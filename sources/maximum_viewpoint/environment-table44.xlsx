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4A1C7CB-182E-4295-AB82-D7923D293791}" xr6:coauthVersionLast="47" xr6:coauthVersionMax="47" xr10:uidLastSave="{00000000-0000-0000-0000-000000000000}"/>
  <bookViews>
    <workbookView xWindow="234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1" l="1"/>
  <c r="E70" i="1"/>
  <c r="F69" i="1"/>
  <c r="E69" i="1"/>
  <c r="F68" i="1"/>
  <c r="E68" i="1"/>
  <c r="F62" i="1"/>
  <c r="E62" i="1"/>
  <c r="F61" i="1"/>
  <c r="E61" i="1"/>
  <c r="F60" i="1"/>
  <c r="E60" i="1"/>
  <c r="F54" i="1"/>
  <c r="E54" i="1"/>
  <c r="F53" i="1"/>
  <c r="E53" i="1"/>
  <c r="F52" i="1"/>
  <c r="E52" i="1"/>
  <c r="F41" i="1"/>
  <c r="E41" i="1"/>
  <c r="F40" i="1"/>
  <c r="E40" i="1"/>
  <c r="F39" i="1"/>
  <c r="E39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<sst xmlns="http://schemas.openxmlformats.org/spreadsheetml/2006/main" count="192" uniqueCount="45">
  <si>
    <t>Animal</t>
  </si>
  <si>
    <t>Genotype</t>
  </si>
  <si>
    <t>Group</t>
  </si>
  <si>
    <t>Treatment</t>
  </si>
  <si>
    <t>GR Fold Change</t>
  </si>
  <si>
    <t>FGF2 Fold Change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</si>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</sst>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E14" sqref="E14"/>
    </sheetView>
  </sheetViews>
  <sheetFormatPr defaultColWidth="13" defaultRowHeight="15.75"/>
  <cols>
    <col min="1" max="4" width="13" style="1"/>
    <col min="5" max="5" width="18.7109375" style="1" customWidth="1"/>
    <col min="6" max="6" width="20.28515625" style="1" customWidth="1"/>
    <col min="7" max="7" width="25.4257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6" t="s">
        <v>6</v>
      </c>
      <c r="B2" s="6" t="s">
        <v>7</v>
      </c>
      <c r="C2" s="6" t="s">
        <v>8</v>
      </c>
      <c r="D2" s="6" t="s">
        <v>9</v>
      </c>
      <c r="E2" s="1">
        <v>1.8404</v>
      </c>
      <c r="F2" s="1">
        <v>1.2018</v>
      </c>
    </row>
    <row r="3" spans="1:7">
      <c r="A3" s="6" t="s">
        <v>10</v>
      </c>
      <c r="B3" s="6" t="s">
        <v>7</v>
      </c>
      <c r="C3" s="6" t="s">
        <v>8</v>
      </c>
      <c r="D3" s="6" t="s">
        <v>9</v>
      </c>
      <c r="E3" s="1">
        <v>1.5911</v>
      </c>
      <c r="F3" s="1">
        <v>1</v>
      </c>
    </row>
    <row r="4" spans="1:7">
      <c r="A4" s="6" t="s">
        <v>11</v>
      </c>
      <c r="B4" s="6" t="s">
        <v>7</v>
      </c>
      <c r="C4" s="6" t="s">
        <v>8</v>
      </c>
      <c r="D4" s="6" t="s">
        <v>9</v>
      </c>
      <c r="E4" s="1">
        <v>1.7901</v>
      </c>
      <c r="F4" s="1">
        <v>0.53049999999999997</v>
      </c>
    </row>
    <row r="5" spans="1:7">
      <c r="A5" s="6" t="s">
        <v>12</v>
      </c>
      <c r="B5" s="6" t="s">
        <v>7</v>
      </c>
      <c r="C5" s="6" t="s">
        <v>8</v>
      </c>
      <c r="D5" s="6" t="s">
        <v>9</v>
      </c>
      <c r="E5" s="1">
        <v>1.6818</v>
      </c>
      <c r="F5" s="1">
        <v>0.57250000000000001</v>
      </c>
    </row>
    <row r="6" spans="1:7">
      <c r="A6" s="6" t="s">
        <v>13</v>
      </c>
      <c r="B6" s="6" t="s">
        <v>7</v>
      </c>
      <c r="C6" s="6" t="s">
        <v>8</v>
      </c>
      <c r="D6" s="6" t="s">
        <v>9</v>
      </c>
      <c r="E6" s="5">
        <v>2.5669</v>
      </c>
      <c r="F6" s="5">
        <v>3.2454000000000001</v>
      </c>
    </row>
    <row r="7" spans="1:7">
      <c r="A7" s="6" t="s">
        <v>14</v>
      </c>
      <c r="B7" s="6" t="s">
        <v>7</v>
      </c>
      <c r="C7" s="6" t="s">
        <v>8</v>
      </c>
      <c r="D7" s="6" t="s">
        <v>9</v>
      </c>
      <c r="E7" s="5">
        <v>1.7291000000000001</v>
      </c>
      <c r="F7" s="5">
        <v>1.1783999999999999</v>
      </c>
    </row>
    <row r="8" spans="1:7">
      <c r="A8" s="6" t="s">
        <v>15</v>
      </c>
      <c r="B8" s="6" t="s">
        <v>7</v>
      </c>
      <c r="C8" s="6" t="s">
        <v>8</v>
      </c>
      <c r="D8" s="6" t="s">
        <v>9</v>
      </c>
      <c r="E8" s="5">
        <v>2.7511000000000001</v>
      </c>
      <c r="F8" s="5">
        <v>0.71879999999999999</v>
      </c>
    </row>
    <row r="9" spans="1:7">
      <c r="A9" s="6" t="s">
        <v>16</v>
      </c>
      <c r="B9" s="6" t="s">
        <v>7</v>
      </c>
      <c r="C9" s="6" t="s">
        <v>8</v>
      </c>
      <c r="D9" s="6" t="s">
        <v>9</v>
      </c>
      <c r="E9" s="5">
        <v>0.97270000000000001</v>
      </c>
      <c r="F9" s="5">
        <v>0.72550000000000003</v>
      </c>
    </row>
    <row r="10" spans="1:7">
      <c r="A10" s="6" t="s">
        <v>17</v>
      </c>
      <c r="B10" s="6" t="s">
        <v>7</v>
      </c>
      <c r="C10" s="6" t="s">
        <v>8</v>
      </c>
      <c r="D10" s="6" t="s">
        <v>9</v>
      </c>
      <c r="E10" s="5">
        <v>3.0105</v>
      </c>
      <c r="F10" s="5">
        <v>0.76449999999999996</v>
      </c>
    </row>
    <row r="11" spans="1:7">
      <c r="A11" s="6" t="s">
        <v>18</v>
      </c>
      <c r="B11" s="6" t="s">
        <v>7</v>
      </c>
      <c r="C11" s="6" t="s">
        <v>8</v>
      </c>
      <c r="D11" s="6" t="s">
        <v>9</v>
      </c>
      <c r="E11" s="5">
        <v>1</v>
      </c>
      <c r="F11" s="5">
        <v>0.61319999999999997</v>
      </c>
    </row>
    <row r="12" spans="1:7">
      <c r="A12" s="7" t="s">
        <v>19</v>
      </c>
      <c r="B12" s="7"/>
      <c r="C12" s="7"/>
      <c r="D12" s="7"/>
      <c r="E12" s="8">
        <f>AVERAGE(E2:E11)</f>
        <v>1.89337</v>
      </c>
      <c r="F12" s="8">
        <f>AVERAGE(F2:F11)</f>
        <v>1.0550600000000001</v>
      </c>
      <c r="G12" s="3"/>
    </row>
    <row r="13" spans="1:7">
      <c r="A13" s="7" t="s">
        <v>20</v>
      </c>
      <c r="B13" s="7"/>
      <c r="C13" s="7"/>
      <c r="D13" s="7"/>
      <c r="E13" s="8">
        <f>STDEV(E2:E11)</f>
        <v>0.68796400269200098</v>
      </c>
      <c r="F13" s="8">
        <f>STDEV(F2:F11)</f>
        <v>0.80600107554380995</v>
      </c>
      <c r="G13" s="3"/>
    </row>
    <row r="14" spans="1:7">
      <c r="A14" s="7" t="s">
        <v>21</v>
      </c>
      <c r="B14" s="7"/>
      <c r="C14" s="7"/>
      <c r="D14" s="7"/>
      <c r="E14" s="8">
        <f>E13/SQRT(10)</f>
        <v>0.21755331967129299</v>
      </c>
      <c r="F14" s="8">
        <f>F13/SQRT(10)</f>
        <v>0.254879919526388</v>
      </c>
      <c r="G14" s="3"/>
    </row>
    <row r="15" spans="1:7">
      <c r="A15" s="2"/>
      <c r="B15" s="2"/>
      <c r="C15" s="2"/>
      <c r="D15" s="2"/>
      <c r="E15" s="5"/>
      <c r="F15" s="5"/>
    </row>
    <row r="16" spans="1:7">
      <c r="A16" s="6" t="s">
        <v>22</v>
      </c>
      <c r="B16" s="6" t="s">
        <v>7</v>
      </c>
      <c r="C16" s="6" t="s">
        <v>8</v>
      </c>
      <c r="D16" s="6" t="s">
        <v>23</v>
      </c>
      <c r="E16" s="5">
        <v>1.3660000000000001</v>
      </c>
      <c r="F16" s="5">
        <v>0.39119999999999999</v>
      </c>
    </row>
    <row r="17" spans="1:6">
      <c r="A17" s="6" t="s">
        <v>24</v>
      </c>
      <c r="B17" s="6" t="s">
        <v>7</v>
      </c>
      <c r="C17" s="6" t="s">
        <v>8</v>
      </c>
      <c r="D17" s="6" t="s">
        <v>23</v>
      </c>
      <c r="E17" s="5">
        <v>0.79549999999999998</v>
      </c>
      <c r="F17" s="5">
        <v>0.55659999999999998</v>
      </c>
    </row>
    <row r="18" spans="1:6">
      <c r="A18" s="6" t="s">
        <v>25</v>
      </c>
      <c r="B18" s="6" t="s">
        <v>7</v>
      </c>
      <c r="C18" s="6" t="s">
        <v>8</v>
      </c>
      <c r="D18" s="6" t="s">
        <v>23</v>
      </c>
      <c r="E18" s="5">
        <v>1.879</v>
      </c>
      <c r="F18" s="5">
        <v>1.5912999999999999</v>
      </c>
    </row>
    <row r="19" spans="1:6">
      <c r="A19" s="6" t="s">
        <v>26</v>
      </c>
      <c r="B19" s="6" t="s">
        <v>7</v>
      </c>
      <c r="C19" s="6" t="s">
        <v>8</v>
      </c>
      <c r="D19" s="6" t="s">
        <v>23</v>
      </c>
      <c r="E19" s="5">
        <v>1.8776999999999999</v>
      </c>
      <c r="F19" s="5">
        <v>1.9903999999999999</v>
      </c>
    </row>
    <row r="20" spans="1:6">
      <c r="A20" s="6" t="s">
        <v>27</v>
      </c>
      <c r="B20" s="6" t="s">
        <v>7</v>
      </c>
      <c r="C20" s="6" t="s">
        <v>8</v>
      </c>
      <c r="D20" s="6" t="s">
        <v>23</v>
      </c>
      <c r="E20" s="5">
        <v>2.5669</v>
      </c>
      <c r="F20" s="5">
        <v>1.1853</v>
      </c>
    </row>
    <row r="21" spans="1:6">
      <c r="A21" s="6" t="s">
        <v>28</v>
      </c>
      <c r="B21" s="6" t="s">
        <v>7</v>
      </c>
      <c r="C21" s="6" t="s">
        <v>8</v>
      </c>
      <c r="D21" s="6" t="s">
        <v>23</v>
      </c>
      <c r="E21" s="5">
        <v>0.71199999999999997</v>
      </c>
      <c r="F21" s="5">
        <v>0.36830000000000002</v>
      </c>
    </row>
    <row r="22" spans="1:6">
      <c r="A22" s="6" t="s">
        <v>29</v>
      </c>
      <c r="B22" s="6" t="s">
        <v>7</v>
      </c>
      <c r="C22" s="6" t="s">
        <v>8</v>
      </c>
      <c r="D22" s="6" t="s">
        <v>23</v>
      </c>
      <c r="E22" s="5">
        <v>1.4141999999999999</v>
      </c>
      <c r="F22" s="5">
        <v>5.1948999999999996</v>
      </c>
    </row>
    <row r="23" spans="1:6">
      <c r="A23" s="6" t="s">
        <v>30</v>
      </c>
      <c r="B23" s="6" t="s">
        <v>7</v>
      </c>
      <c r="C23" s="6" t="s">
        <v>8</v>
      </c>
      <c r="D23" s="6" t="s">
        <v>23</v>
      </c>
      <c r="E23" s="5">
        <v>0.87060000000000004</v>
      </c>
      <c r="F23" s="5">
        <v>0.37530000000000002</v>
      </c>
    </row>
    <row r="24" spans="1:6">
      <c r="A24" s="6" t="s">
        <v>31</v>
      </c>
      <c r="B24" s="6" t="s">
        <v>7</v>
      </c>
      <c r="C24" s="6" t="s">
        <v>8</v>
      </c>
      <c r="D24" s="6" t="s">
        <v>23</v>
      </c>
      <c r="E24" s="5">
        <v>2.4116</v>
      </c>
      <c r="F24" s="5">
        <v>0.27139999999999997</v>
      </c>
    </row>
    <row r="25" spans="1:6">
      <c r="A25" s="6" t="s">
        <v>32</v>
      </c>
      <c r="B25" s="6" t="s">
        <v>7</v>
      </c>
      <c r="C25" s="6" t="s">
        <v>8</v>
      </c>
      <c r="D25" s="6" t="s">
        <v>23</v>
      </c>
      <c r="E25" s="5">
        <v>2.0278999999999998</v>
      </c>
      <c r="F25" s="5">
        <v>0.36130000000000001</v>
      </c>
    </row>
    <row r="26" spans="1:6">
      <c r="A26" s="7" t="s">
        <v>19</v>
      </c>
      <c r="B26" s="7"/>
      <c r="C26" s="7"/>
      <c r="D26" s="7"/>
      <c r="E26" s="8">
        <f>AVERAGE(E16:E25)</f>
        <v>1.5921400000000001</v>
      </c>
      <c r="F26" s="8">
        <f>AVERAGE(F16:F25)</f>
        <v>1.2285999999999999</v>
      </c>
    </row>
    <row r="27" spans="1:6">
      <c r="A27" s="7" t="s">
        <v>20</v>
      </c>
      <c r="B27" s="7"/>
      <c r="C27" s="7"/>
      <c r="D27" s="7"/>
      <c r="E27" s="8">
        <f>STDEV(E16:E25)</f>
        <v>0.66567387110105702</v>
      </c>
      <c r="F27" s="8">
        <f>STDEV(F16:F25)</f>
        <v>1.5178494281932799</v>
      </c>
    </row>
    <row r="28" spans="1:6">
      <c r="A28" s="7" t="s">
        <v>21</v>
      </c>
      <c r="B28" s="7"/>
      <c r="C28" s="7"/>
      <c r="D28" s="7"/>
      <c r="E28" s="8">
        <f>E27/SQRT(10)</f>
        <v>0.21050456115406799</v>
      </c>
      <c r="F28" s="8">
        <f>F27/SQRT(10)</f>
        <v>0.479986133827496</v>
      </c>
    </row>
    <row r="29" spans="1:6">
      <c r="A29" s="2"/>
      <c r="B29" s="2"/>
      <c r="C29" s="2"/>
      <c r="D29" s="2"/>
      <c r="E29" s="5"/>
      <c r="F29" s="5"/>
    </row>
    <row r="30" spans="1:6">
      <c r="A30" s="6">
        <v>351</v>
      </c>
      <c r="B30" s="6" t="s">
        <v>7</v>
      </c>
      <c r="C30" s="6" t="s">
        <v>33</v>
      </c>
      <c r="D30" s="6" t="s">
        <v>9</v>
      </c>
      <c r="E30" s="5">
        <v>1</v>
      </c>
      <c r="F30" s="5">
        <v>2.4E-2</v>
      </c>
    </row>
    <row r="31" spans="1:6">
      <c r="A31" s="6">
        <v>251</v>
      </c>
      <c r="B31" s="6" t="s">
        <v>7</v>
      </c>
      <c r="C31" s="6" t="s">
        <v>33</v>
      </c>
      <c r="D31" s="6" t="s">
        <v>9</v>
      </c>
      <c r="E31" s="5">
        <v>0.92989999999999995</v>
      </c>
      <c r="F31" s="5">
        <v>1.14E-2</v>
      </c>
    </row>
    <row r="32" spans="1:6">
      <c r="A32" s="6">
        <v>361</v>
      </c>
      <c r="B32" s="6" t="s">
        <v>7</v>
      </c>
      <c r="C32" s="6" t="s">
        <v>33</v>
      </c>
      <c r="D32" s="6" t="s">
        <v>9</v>
      </c>
      <c r="E32" s="5">
        <v>1.1217999999999999</v>
      </c>
      <c r="F32" s="5">
        <v>4.02E-2</v>
      </c>
    </row>
    <row r="33" spans="1:6">
      <c r="A33" s="6">
        <v>852</v>
      </c>
      <c r="B33" s="6" t="s">
        <v>7</v>
      </c>
      <c r="C33" s="6" t="s">
        <v>33</v>
      </c>
      <c r="D33" s="6" t="s">
        <v>9</v>
      </c>
      <c r="E33" s="5">
        <v>1.9544999999999999</v>
      </c>
      <c r="F33" s="5">
        <v>3.2599999999999997E-2</v>
      </c>
    </row>
    <row r="34" spans="1:6">
      <c r="A34" s="6" t="s">
        <v>34</v>
      </c>
      <c r="B34" s="6" t="s">
        <v>7</v>
      </c>
      <c r="C34" s="6" t="s">
        <v>33</v>
      </c>
      <c r="D34" s="6" t="s">
        <v>9</v>
      </c>
      <c r="E34" s="5">
        <v>1.4240999999999999</v>
      </c>
      <c r="F34" s="5">
        <v>0.1118</v>
      </c>
    </row>
    <row r="35" spans="1:6">
      <c r="A35" s="6" t="s">
        <v>35</v>
      </c>
      <c r="B35" s="6" t="s">
        <v>7</v>
      </c>
      <c r="C35" s="6" t="s">
        <v>33</v>
      </c>
      <c r="D35" s="6" t="s">
        <v>9</v>
      </c>
      <c r="E35" s="5">
        <v>1.3194999999999999</v>
      </c>
      <c r="F35" s="5">
        <v>0.56769999999999998</v>
      </c>
    </row>
    <row r="36" spans="1:6">
      <c r="A36" s="6" t="s">
        <v>36</v>
      </c>
      <c r="B36" s="6" t="s">
        <v>7</v>
      </c>
      <c r="C36" s="6" t="s">
        <v>33</v>
      </c>
      <c r="D36" s="6" t="s">
        <v>9</v>
      </c>
      <c r="E36" s="5">
        <v>1.4641</v>
      </c>
      <c r="F36" s="5">
        <v>1.6000000000000001E-3</v>
      </c>
    </row>
    <row r="37" spans="1:6">
      <c r="A37" s="6" t="s">
        <v>37</v>
      </c>
      <c r="B37" s="6" t="s">
        <v>7</v>
      </c>
      <c r="C37" s="6" t="s">
        <v>33</v>
      </c>
      <c r="D37" s="6" t="s">
        <v>9</v>
      </c>
      <c r="E37" s="5">
        <v>1.0209999999999999</v>
      </c>
      <c r="F37" s="5">
        <v>3.0499999999999999E-2</v>
      </c>
    </row>
    <row r="38" spans="1:6">
      <c r="A38" s="6" t="s">
        <v>38</v>
      </c>
      <c r="B38" s="6" t="s">
        <v>7</v>
      </c>
      <c r="C38" s="6" t="s">
        <v>33</v>
      </c>
      <c r="D38" s="6" t="s">
        <v>9</v>
      </c>
      <c r="E38" s="5">
        <v>1.1567000000000001</v>
      </c>
      <c r="F38" s="5">
        <v>1.0256000000000001</v>
      </c>
    </row>
    <row r="39" spans="1:6">
      <c r="A39" s="7" t="s">
        <v>19</v>
      </c>
      <c r="B39" s="7"/>
      <c r="C39" s="7"/>
      <c r="D39" s="7"/>
      <c r="E39" s="8">
        <f>AVERAGE(E30:E38)</f>
        <v>1.26573333333333</v>
      </c>
      <c r="F39" s="8">
        <f>AVERAGE(F30:F38)</f>
        <v>0.205044444444444</v>
      </c>
    </row>
    <row r="40" spans="1:6">
      <c r="A40" s="7" t="s">
        <v>20</v>
      </c>
      <c r="B40" s="7"/>
      <c r="C40" s="7"/>
      <c r="D40" s="7"/>
      <c r="E40" s="8">
        <f>STDEV(E30:E38)</f>
        <v>0.31969075291600202</v>
      </c>
      <c r="F40" s="8">
        <f>STDEV(F30:F38)</f>
        <v>0.355767909286065</v>
      </c>
    </row>
    <row r="41" spans="1:6">
      <c r="A41" s="7" t="s">
        <v>21</v>
      </c>
      <c r="B41" s="7"/>
      <c r="C41" s="7"/>
      <c r="D41" s="7"/>
      <c r="E41" s="8">
        <f>E40/SQRT(9)</f>
        <v>0.106563584305334</v>
      </c>
      <c r="F41" s="8">
        <f>F40/SQRT(9)</f>
        <v>0.11858930309535499</v>
      </c>
    </row>
    <row r="42" spans="1:6">
      <c r="A42" s="2"/>
      <c r="B42" s="2"/>
      <c r="C42" s="2"/>
      <c r="D42" s="2"/>
      <c r="E42" s="5"/>
      <c r="F42" s="5"/>
    </row>
    <row r="43" spans="1:6">
      <c r="A43" s="6">
        <v>211</v>
      </c>
      <c r="B43" s="6" t="s">
        <v>7</v>
      </c>
      <c r="C43" s="6" t="s">
        <v>33</v>
      </c>
      <c r="D43" s="6" t="s">
        <v>23</v>
      </c>
      <c r="E43" s="5">
        <v>0.74870000000000003</v>
      </c>
      <c r="F43" s="5">
        <v>0.44540000000000002</v>
      </c>
    </row>
    <row r="44" spans="1:6">
      <c r="A44" s="6">
        <v>291</v>
      </c>
      <c r="B44" s="6" t="s">
        <v>7</v>
      </c>
      <c r="C44" s="6" t="s">
        <v>33</v>
      </c>
      <c r="D44" s="6" t="s">
        <v>23</v>
      </c>
      <c r="E44" s="5">
        <v>1.8717999999999999</v>
      </c>
      <c r="F44" s="5">
        <v>0.10059999999999999</v>
      </c>
    </row>
    <row r="45" spans="1:6">
      <c r="A45" s="6">
        <v>111</v>
      </c>
      <c r="B45" s="6" t="s">
        <v>7</v>
      </c>
      <c r="C45" s="6" t="s">
        <v>33</v>
      </c>
      <c r="D45" s="6" t="s">
        <v>23</v>
      </c>
      <c r="E45" s="5">
        <v>0.44230000000000003</v>
      </c>
      <c r="F45" s="5">
        <v>5.9400000000000001E-2</v>
      </c>
    </row>
    <row r="46" spans="1:6">
      <c r="A46" s="6">
        <v>672</v>
      </c>
      <c r="B46" s="6" t="s">
        <v>7</v>
      </c>
      <c r="C46" s="6" t="s">
        <v>33</v>
      </c>
      <c r="D46" s="6" t="s">
        <v>23</v>
      </c>
      <c r="E46" s="5">
        <v>0.8478</v>
      </c>
      <c r="F46" s="5">
        <v>8.3599999999999994E-2</v>
      </c>
    </row>
    <row r="47" spans="1:6">
      <c r="A47" s="6" t="s">
        <v>39</v>
      </c>
      <c r="B47" s="6" t="s">
        <v>7</v>
      </c>
      <c r="C47" s="6" t="s">
        <v>33</v>
      </c>
      <c r="D47" s="6" t="s">
        <v>23</v>
      </c>
      <c r="E47" s="5">
        <v>0.4763</v>
      </c>
      <c r="F47" s="5">
        <v>0.59870000000000001</v>
      </c>
    </row>
    <row r="48" spans="1:6">
      <c r="A48" s="6" t="s">
        <v>40</v>
      </c>
      <c r="B48" s="6" t="s">
        <v>7</v>
      </c>
      <c r="C48" s="6" t="s">
        <v>33</v>
      </c>
      <c r="D48" s="6" t="s">
        <v>23</v>
      </c>
      <c r="E48" s="5">
        <v>1.7411000000000001</v>
      </c>
      <c r="F48" s="5">
        <v>0.83540000000000003</v>
      </c>
    </row>
    <row r="49" spans="1:6">
      <c r="A49" s="6" t="s">
        <v>41</v>
      </c>
      <c r="B49" s="6" t="s">
        <v>7</v>
      </c>
      <c r="C49" s="6" t="s">
        <v>33</v>
      </c>
      <c r="D49" s="6" t="s">
        <v>23</v>
      </c>
      <c r="E49" s="5">
        <v>1.3660000000000001</v>
      </c>
      <c r="F49" s="5">
        <v>0.64629999999999999</v>
      </c>
    </row>
    <row r="50" spans="1:6">
      <c r="A50" s="6" t="s">
        <v>42</v>
      </c>
      <c r="B50" s="6" t="s">
        <v>7</v>
      </c>
      <c r="C50" s="6" t="s">
        <v>33</v>
      </c>
      <c r="D50" s="6" t="s">
        <v>23</v>
      </c>
      <c r="E50" s="5">
        <v>1.0281</v>
      </c>
      <c r="F50" s="5">
        <v>1.3769</v>
      </c>
    </row>
    <row r="51" spans="1:6">
      <c r="A51" s="6" t="s">
        <v>43</v>
      </c>
      <c r="B51" s="6" t="s">
        <v>7</v>
      </c>
      <c r="C51" s="6" t="s">
        <v>33</v>
      </c>
      <c r="D51" s="6" t="s">
        <v>23</v>
      </c>
      <c r="E51" s="5">
        <v>0.79</v>
      </c>
      <c r="F51" s="5">
        <v>0.40899999999999997</v>
      </c>
    </row>
    <row r="52" spans="1:6">
      <c r="A52" s="7" t="s">
        <v>19</v>
      </c>
      <c r="B52" s="7"/>
      <c r="C52" s="7"/>
      <c r="D52" s="7"/>
      <c r="E52" s="8">
        <f>AVERAGE(E43:E51)</f>
        <v>1.03467777777778</v>
      </c>
      <c r="F52" s="8">
        <f>AVERAGE(F43:F51)</f>
        <v>0.50614444444444395</v>
      </c>
    </row>
    <row r="53" spans="1:6">
      <c r="A53" s="7" t="s">
        <v>20</v>
      </c>
      <c r="B53" s="7"/>
      <c r="C53" s="7"/>
      <c r="D53" s="7"/>
      <c r="E53" s="8">
        <f>STDEV(E43:E51)</f>
        <v>0.51827775318302505</v>
      </c>
      <c r="F53" s="8">
        <f>STDEV(F43:F51)</f>
        <v>0.42581571750908598</v>
      </c>
    </row>
    <row r="54" spans="1:6">
      <c r="A54" s="7" t="s">
        <v>21</v>
      </c>
      <c r="B54" s="7"/>
      <c r="C54" s="7"/>
      <c r="D54" s="7"/>
      <c r="E54" s="8">
        <f>E53/SQRT(9)</f>
        <v>0.17275925106100801</v>
      </c>
      <c r="F54" s="8">
        <f>F53/SQRT(9)</f>
        <v>0.14193857250302899</v>
      </c>
    </row>
    <row r="55" spans="1:6">
      <c r="A55" s="2"/>
      <c r="B55" s="2"/>
      <c r="C55" s="2"/>
      <c r="D55" s="2"/>
      <c r="E55" s="5"/>
      <c r="F55" s="5"/>
    </row>
    <row r="56" spans="1:6">
      <c r="A56" s="6">
        <v>411</v>
      </c>
      <c r="B56" s="6" t="s">
        <v>44</v>
      </c>
      <c r="C56" s="6" t="s">
        <v>33</v>
      </c>
      <c r="D56" s="6" t="s">
        <v>9</v>
      </c>
      <c r="E56" s="5">
        <v>0.442</v>
      </c>
      <c r="F56" s="5">
        <v>2.1999999999999999E-2</v>
      </c>
    </row>
    <row r="57" spans="1:6">
      <c r="A57" s="6">
        <v>141</v>
      </c>
      <c r="B57" s="6" t="s">
        <v>44</v>
      </c>
      <c r="C57" s="6" t="s">
        <v>33</v>
      </c>
      <c r="D57" s="6" t="s">
        <v>9</v>
      </c>
      <c r="E57" s="5">
        <v>0.5212</v>
      </c>
      <c r="F57" s="5">
        <v>0.4395</v>
      </c>
    </row>
    <row r="58" spans="1:6">
      <c r="A58" s="6">
        <v>151</v>
      </c>
      <c r="B58" s="6" t="s">
        <v>44</v>
      </c>
      <c r="C58" s="6" t="s">
        <v>33</v>
      </c>
      <c r="D58" s="6" t="s">
        <v>9</v>
      </c>
      <c r="E58" s="5">
        <v>0.43090000000000001</v>
      </c>
      <c r="F58" s="5">
        <v>3.9899999999999998E-2</v>
      </c>
    </row>
    <row r="59" spans="1:6">
      <c r="A59" s="6">
        <v>802</v>
      </c>
      <c r="B59" s="6" t="s">
        <v>44</v>
      </c>
      <c r="C59" s="6" t="s">
        <v>33</v>
      </c>
      <c r="D59" s="6" t="s">
        <v>9</v>
      </c>
      <c r="E59" s="5">
        <v>0.57709999999999995</v>
      </c>
      <c r="F59" s="5">
        <v>0</v>
      </c>
    </row>
    <row r="60" spans="1:6">
      <c r="A60" s="7" t="s">
        <v>19</v>
      </c>
      <c r="B60" s="7"/>
      <c r="C60" s="7"/>
      <c r="D60" s="7"/>
      <c r="E60" s="8">
        <f>AVERAGE(E56:E59)</f>
        <v>0.49280000000000002</v>
      </c>
      <c r="F60" s="8">
        <f>AVERAGE(F56:F59)</f>
        <v>0.12534999999999999</v>
      </c>
    </row>
    <row r="61" spans="1:6">
      <c r="A61" s="7" t="s">
        <v>20</v>
      </c>
      <c r="B61" s="7"/>
      <c r="C61" s="7"/>
      <c r="D61" s="7"/>
      <c r="E61" s="8">
        <f>STDEV(E56:E59)</f>
        <v>6.9102098376243204E-2</v>
      </c>
      <c r="F61" s="8">
        <f>STDEV(F56:F59)</f>
        <v>0.210068060399481</v>
      </c>
    </row>
    <row r="62" spans="1:6">
      <c r="A62" s="7" t="s">
        <v>21</v>
      </c>
      <c r="B62" s="7"/>
      <c r="C62" s="7"/>
      <c r="D62" s="7"/>
      <c r="E62" s="8">
        <f>E61/SQRT(4)</f>
        <v>3.4551049188121602E-2</v>
      </c>
      <c r="F62" s="8">
        <f>F61/SQRT(4)</f>
        <v>0.105034030199741</v>
      </c>
    </row>
    <row r="63" spans="1:6">
      <c r="A63" s="2"/>
      <c r="B63" s="2"/>
      <c r="C63" s="2"/>
      <c r="D63" s="2"/>
      <c r="E63" s="5"/>
      <c r="F63" s="5"/>
    </row>
    <row r="64" spans="1:6">
      <c r="A64" s="6">
        <v>201</v>
      </c>
      <c r="B64" s="6" t="s">
        <v>44</v>
      </c>
      <c r="C64" s="6" t="s">
        <v>33</v>
      </c>
      <c r="D64" s="6" t="s">
        <v>23</v>
      </c>
      <c r="E64" s="5">
        <v>0.32600000000000001</v>
      </c>
      <c r="F64" s="5">
        <v>0.45669999999999999</v>
      </c>
    </row>
    <row r="65" spans="1:6">
      <c r="A65" s="6">
        <v>181</v>
      </c>
      <c r="B65" s="6" t="s">
        <v>44</v>
      </c>
      <c r="C65" s="6" t="s">
        <v>33</v>
      </c>
      <c r="D65" s="6" t="s">
        <v>23</v>
      </c>
      <c r="E65" s="5">
        <v>0.42780000000000001</v>
      </c>
      <c r="F65" s="5">
        <v>3.09E-2</v>
      </c>
    </row>
    <row r="66" spans="1:6">
      <c r="A66" s="6">
        <v>391</v>
      </c>
      <c r="B66" s="6" t="s">
        <v>44</v>
      </c>
      <c r="C66" s="6" t="s">
        <v>33</v>
      </c>
      <c r="D66" s="6" t="s">
        <v>23</v>
      </c>
      <c r="E66" s="5">
        <v>0.66379999999999995</v>
      </c>
      <c r="F66" s="5">
        <v>1.34E-2</v>
      </c>
    </row>
    <row r="67" spans="1:6">
      <c r="A67" s="6">
        <v>702</v>
      </c>
      <c r="B67" s="6" t="s">
        <v>44</v>
      </c>
      <c r="C67" s="6" t="s">
        <v>33</v>
      </c>
      <c r="D67" s="6" t="s">
        <v>23</v>
      </c>
      <c r="E67" s="5">
        <v>0.42170000000000002</v>
      </c>
      <c r="F67" s="5">
        <v>5.7999999999999996E-3</v>
      </c>
    </row>
    <row r="68" spans="1:6">
      <c r="A68" s="7" t="s">
        <v>19</v>
      </c>
      <c r="B68" s="8"/>
      <c r="C68" s="8"/>
      <c r="D68" s="8"/>
      <c r="E68" s="8">
        <f>AVERAGE(E64:E67)</f>
        <v>0.45982499999999998</v>
      </c>
      <c r="F68" s="8">
        <f>AVERAGE(F64:F67)</f>
        <v>0.12670000000000001</v>
      </c>
    </row>
    <row r="69" spans="1:6">
      <c r="A69" s="7" t="s">
        <v>20</v>
      </c>
      <c r="B69" s="8"/>
      <c r="C69" s="8"/>
      <c r="D69" s="8"/>
      <c r="E69" s="8">
        <f>STDEV(E64:E67)</f>
        <v>0.143752156505563</v>
      </c>
      <c r="F69" s="8">
        <f>STDEV(F64:F67)</f>
        <v>0.220250872113294</v>
      </c>
    </row>
    <row r="70" spans="1:6">
      <c r="A70" s="7" t="s">
        <v>21</v>
      </c>
      <c r="B70" s="8"/>
      <c r="C70" s="8"/>
      <c r="D70" s="8"/>
      <c r="E70" s="8">
        <f>E69/SQRT(4)</f>
        <v>7.1876078252781694E-2</v>
      </c>
      <c r="F70" s="8">
        <f>F69/SQRT(4)</f>
        <v>0.110125436056647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2024-11-23T12:12:43Z</dcterms:created>
  <dcterms:modified xsi:type="dcterms:W3CDTF">2025-12-08T09:07:02Z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00AE2CE194BA4293BDF3F8AF6FAE6416_11</vt:lpwstr>
  </property>
  <property fmtid="{D5CDD505-2E9C-101B-9397-08002B2CF9AE}" pid="3" name="KSOProductBuildVer">
    <vt:lpwstr>2052-12.1.0.18608</vt:lpwstr>
  </property>
</Properties>
</file>