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DDF15442-E841-4192-9771-620B6044D3F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pp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2" l="1"/>
  <c r="G3" i="2" s="1"/>
  <c r="E4" i="2"/>
  <c r="G4" i="2" s="1"/>
  <c r="G6" i="2"/>
  <c r="G7" i="2"/>
</calcChain>
</file>

<file path=xl/sharedStrings.xml><?xml version="1.0" encoding="utf-8"?>
<sst xmlns="http://schemas.openxmlformats.org/spreadsheetml/2006/main" count="19" uniqueCount="15">
  <si>
    <t xml:space="preserve"> per pint</t>
  </si>
  <si>
    <t>Juice</t>
  </si>
  <si>
    <t xml:space="preserve"> per pound</t>
  </si>
  <si>
    <t>Form</t>
  </si>
  <si>
    <t>Preparation yield factor</t>
  </si>
  <si>
    <t xml:space="preserve">Size of a cup equivalent </t>
  </si>
  <si>
    <t>Average price per cup equivalent</t>
  </si>
  <si>
    <r>
      <t>Average retail price</t>
    </r>
    <r>
      <rPr>
        <vertAlign val="superscript"/>
        <sz val="12"/>
        <rFont val="Arial"/>
        <family val="2"/>
      </rPr>
      <t xml:space="preserve"> </t>
    </r>
  </si>
  <si>
    <r>
      <t>Fresh</t>
    </r>
    <r>
      <rPr>
        <vertAlign val="superscript"/>
        <sz val="12"/>
        <rFont val="Arial"/>
        <family val="2"/>
      </rPr>
      <t>1</t>
    </r>
  </si>
  <si>
    <r>
      <t>Applesauce</t>
    </r>
    <r>
      <rPr>
        <vertAlign val="superscript"/>
        <sz val="12"/>
        <rFont val="Arial"/>
        <family val="2"/>
      </rPr>
      <t>2</t>
    </r>
  </si>
  <si>
    <r>
      <t>Ready to drink</t>
    </r>
    <r>
      <rPr>
        <vertAlign val="superscript"/>
        <sz val="12"/>
        <rFont val="Agency FB"/>
        <family val="2"/>
      </rPr>
      <t>3</t>
    </r>
  </si>
  <si>
    <r>
      <t>Frozen</t>
    </r>
    <r>
      <rPr>
        <vertAlign val="superscript"/>
        <sz val="12"/>
        <rFont val="Arial"/>
        <family val="2"/>
      </rPr>
      <t>4</t>
    </r>
  </si>
  <si>
    <t>Apples—Average retail price per pound or pint and per cup equivalent, 2022</t>
  </si>
  <si>
    <t>Pounds</t>
  </si>
  <si>
    <t>Fluid ounces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</si>
</sst>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vertAlign val="superscript"/>
      <sz val="12"/>
      <name val="Arial"/>
      <family val="2"/>
    </font>
    <font>
      <vertAlign val="superscript"/>
      <sz val="12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double">
        <color indexed="64"/>
      </top>
      <bottom style="thin">
        <color theme="0"/>
      </bottom>
      <diagonal/>
    </border>
    <border>
      <left style="thin">
        <color theme="0" tint="-0.499984740745262"/>
      </left>
      <right style="thin">
        <color indexed="64"/>
      </right>
      <top style="double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 tint="-0.499984740745262"/>
      </right>
      <top style="double">
        <color indexed="64"/>
      </top>
      <bottom style="thin">
        <color theme="0"/>
      </bottom>
      <diagonal/>
    </border>
    <border>
      <left/>
      <right/>
      <top style="double">
        <color indexed="64"/>
      </top>
      <bottom style="thin">
        <color theme="0"/>
      </bottom>
      <diagonal/>
    </border>
    <border>
      <left style="thin">
        <color theme="0" tint="-0.499984740745262"/>
      </left>
      <right/>
      <top style="double">
        <color indexed="64"/>
      </top>
      <bottom style="thin">
        <color theme="0"/>
      </bottom>
      <diagonal/>
    </border>
    <border>
      <left/>
      <right/>
      <top/>
      <bottom style="double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4" fillId="0" borderId="12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5" fillId="0" borderId="3" xfId="1" applyNumberFormat="1" applyFont="1" applyFill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Continuous" wrapText="1"/>
    </xf>
    <xf numFmtId="0" fontId="4" fillId="0" borderId="4" xfId="0" applyFont="1" applyBorder="1" applyAlignment="1">
      <alignment horizontal="centerContinuous" wrapText="1"/>
    </xf>
    <xf numFmtId="164" fontId="5" fillId="0" borderId="2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5" fillId="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3" borderId="12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 wrapText="1"/>
    </xf>
    <xf numFmtId="2" fontId="5" fillId="3" borderId="9" xfId="0" applyNumberFormat="1" applyFont="1" applyFill="1" applyBorder="1" applyAlignment="1">
      <alignment horizontal="centerContinuous" vertical="center" wrapText="1"/>
    </xf>
    <xf numFmtId="2" fontId="5" fillId="3" borderId="8" xfId="0" applyNumberFormat="1" applyFont="1" applyFill="1" applyBorder="1" applyAlignment="1">
      <alignment horizontal="centerContinuous" vertical="center" wrapText="1"/>
    </xf>
    <xf numFmtId="9" fontId="5" fillId="3" borderId="10" xfId="1" applyFont="1" applyFill="1" applyBorder="1" applyAlignment="1">
      <alignment horizontal="center" vertical="center" wrapText="1"/>
    </xf>
    <xf numFmtId="2" fontId="5" fillId="3" borderId="8" xfId="0" applyNumberFormat="1" applyFont="1" applyFill="1" applyBorder="1" applyAlignment="1">
      <alignment horizontal="centerContinuous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</cellXfs>
  <cellStyles count="9">
    <cellStyle name="Normal 2" xfId="2" xr:uid="{00000000-0005-0000-0000-000001000000}"/>
    <cellStyle name="Normal 4" xfId="3" xr:uid="{00000000-0005-0000-0000-000002000000}"/>
    <cellStyle name="Normal 5" xfId="4" xr:uid="{00000000-0005-0000-0000-000003000000}"/>
    <cellStyle name="Note 3" xfId="5" xr:uid="{00000000-0005-0000-0000-000004000000}"/>
    <cellStyle name="Percent 3" xfId="6" xr:uid="{00000000-0005-0000-0000-000006000000}"/>
    <cellStyle name="Percent 4" xfId="7" xr:uid="{00000000-0005-0000-0000-000007000000}"/>
    <cellStyle name="Percent 5" xfId="8" xr:uid="{00000000-0005-0000-0000-000008000000}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320E-2E14-4FC0-B930-8BB8370E5B0A}">
  <dimension ref="A1:G8"/>
  <sheetViews>
    <sheetView tabSelected="1" workbookViewId="0">
      <selection activeCell="F7" sqref="F7"/>
    </sheetView>
  </sheetViews>
  <sheetFormatPr defaultRowHeight="15.75" x14ac:dyDescent="0.25"/>
  <cols>
    <col min="1" max="1" width="17.7109375" style="1" bestFit="1" customWidth="1"/>
    <col min="2" max="2" width="9.140625" style="1"/>
    <col min="3" max="3" width="11.85546875" style="1" bestFit="1" customWidth="1"/>
    <col min="4" max="4" width="13" style="1" bestFit="1" customWidth="1"/>
    <col min="5" max="5" width="9.140625" style="1"/>
    <col min="6" max="6" width="14" style="1" bestFit="1" customWidth="1"/>
    <col min="7" max="7" width="19.42578125" style="1" bestFit="1" customWidth="1"/>
    <col min="8" max="16384" width="9.140625" style="1"/>
  </cols>
  <sheetData>
    <row r="1" spans="1:7" ht="16.5" thickBot="1" x14ac:dyDescent="0.3">
      <c r="A1" s="14" t="s">
        <v>12</v>
      </c>
      <c r="C1" s="2"/>
      <c r="D1" s="2"/>
      <c r="F1" s="2"/>
      <c r="G1" s="2"/>
    </row>
    <row r="2" spans="1:7" ht="30.75" thickTop="1" x14ac:dyDescent="0.25">
      <c r="A2" s="15" t="s">
        <v>3</v>
      </c>
      <c r="B2" s="16" t="s">
        <v>7</v>
      </c>
      <c r="C2" s="17"/>
      <c r="D2" s="18" t="s">
        <v>4</v>
      </c>
      <c r="E2" s="16" t="s">
        <v>5</v>
      </c>
      <c r="F2" s="19"/>
      <c r="G2" s="20" t="s">
        <v>6</v>
      </c>
    </row>
    <row r="3" spans="1:7" ht="18" x14ac:dyDescent="0.25">
      <c r="A3" s="21" t="s">
        <v>8</v>
      </c>
      <c r="B3" s="3">
        <v>1.8541066819071299</v>
      </c>
      <c r="C3" s="4" t="s">
        <v>2</v>
      </c>
      <c r="D3" s="5">
        <v>0.9</v>
      </c>
      <c r="E3" s="6">
        <f>110/453.59237</f>
        <v>0.24250848840336534</v>
      </c>
      <c r="F3" s="7" t="s">
        <v>13</v>
      </c>
      <c r="G3" s="3">
        <f>B3*E3/D3</f>
        <v>0.49959623196430819</v>
      </c>
    </row>
    <row r="4" spans="1:7" ht="18" x14ac:dyDescent="0.25">
      <c r="A4" s="21" t="s">
        <v>9</v>
      </c>
      <c r="B4" s="3">
        <v>1.1705491533819099</v>
      </c>
      <c r="C4" s="4" t="s">
        <v>2</v>
      </c>
      <c r="D4" s="5">
        <v>1</v>
      </c>
      <c r="E4" s="6">
        <f>245/453.59237</f>
        <v>0.54013254235295005</v>
      </c>
      <c r="F4" s="7" t="s">
        <v>13</v>
      </c>
      <c r="G4" s="3">
        <f>B4*E4/D4</f>
        <v>0.63225169016526428</v>
      </c>
    </row>
    <row r="5" spans="1:7" x14ac:dyDescent="0.25">
      <c r="A5" s="22" t="s">
        <v>1</v>
      </c>
      <c r="B5" s="8"/>
      <c r="C5" s="8"/>
      <c r="D5" s="8"/>
      <c r="E5" s="8"/>
      <c r="F5" s="8"/>
      <c r="G5" s="9"/>
    </row>
    <row r="6" spans="1:7" ht="18.75" x14ac:dyDescent="0.25">
      <c r="A6" s="23" t="s">
        <v>10</v>
      </c>
      <c r="B6" s="3">
        <v>0.86985296312028904</v>
      </c>
      <c r="C6" s="4" t="s">
        <v>0</v>
      </c>
      <c r="D6" s="5">
        <v>1</v>
      </c>
      <c r="E6" s="7">
        <v>8</v>
      </c>
      <c r="F6" s="4" t="s">
        <v>14</v>
      </c>
      <c r="G6" s="3">
        <f>B6/2</f>
        <v>0.43492648156014452</v>
      </c>
    </row>
    <row r="7" spans="1:7" ht="18.75" thickBot="1" x14ac:dyDescent="0.3">
      <c r="A7" s="24" t="s">
        <v>11</v>
      </c>
      <c r="B7" s="10">
        <v>0.60864139999154299</v>
      </c>
      <c r="C7" s="11" t="s">
        <v>0</v>
      </c>
      <c r="D7" s="12">
        <v>1</v>
      </c>
      <c r="E7" s="13">
        <v>8</v>
      </c>
      <c r="F7" s="11" t="s">
        <v>14</v>
      </c>
      <c r="G7" s="10">
        <f>B7/2</f>
        <v>0.30432069999577149</v>
      </c>
    </row>
    <row r="8" spans="1:7" ht="16.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Apples</vt:lpstr>
    </vt:vector>
  </TitlesOfParts>
  <Company>USDA,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Apples—Average retail price per pound or pint and per cup equivalent</dc:title>
  <dc:subject>Agricultural Economics</dc:subject>
  <dc:creator>Hayden Stewart; Jeffrey Hyman</dc:creator>
  <cp:keywords>fruit and vegetable prices, retail prices, costs to consume, costs per edible cup equivalent, apples</cp:keywords>
  <dc:description>Excel table showing average price per cup equivalent for apples in 2022.</dc:description>
  <cp:lastModifiedBy>Илья Охотин</cp:lastModifiedBy>
  <dcterms:created xsi:type="dcterms:W3CDTF">2015-03-10T21:00:12Z</dcterms:created>
  <dcterms:modified xsi:type="dcterms:W3CDTF">2025-12-04T03:30:56Z</dcterms:modified>
</cp:coreProperties>
</file>