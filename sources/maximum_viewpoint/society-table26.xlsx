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C2A42B0-D4D6-4DA7-8201-129D48FB9B0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Fatality_Rate_Adult">'[1]Detailed COVID Calculations - 1'!$C$52</definedName>
    <definedName name="Fatality_Rate_Child">'[1]Detailed COVID Calculations - 1'!$C$51</definedName>
    <definedName name="Fatality_Rate_Over_60">'[1]Detailed COVID Calculations - 1'!$C$53</definedName>
    <definedName name="HH_Adults">'[1]Detailed COVID Calculations - 1'!$C$58</definedName>
    <definedName name="HH_Children">'[1]Detailed COVID Calculations - 1'!$C$57</definedName>
    <definedName name="HH_Over_60">'[1]Detailed COVID Calculations - 1'!$C$59</definedName>
    <definedName name="HH_Size">'[1]Detailed COVID Calculations - 1'!$C$56</definedName>
    <definedName name="Infection_Rate_within_HH">'[1]Detailed COVID Calculations - 1'!$C$48</definedName>
    <definedName name="Package_or_Individual2">'[1]2a. Coverage General Recovery'!$E$3</definedName>
    <definedName name="Percent_Prevalence_at_Beginning_of_Projection_Period">'[1]Detailed COVID Calculations - 1'!$C$7</definedName>
    <definedName name="Percent_Prevalence_at_End_of_Projection_Period">'[1]Detailed COVID Calculations - 1'!$C$9</definedName>
    <definedName name="Reduction_in_Risk_PPE">'[1]Detailed COVID Calculations - 1'!$C$23</definedName>
    <definedName name="Reduction_in_Risk_TS">'[1]Detailed COVID Calculations - 1'!$C$24</definedName>
    <definedName name="Risk_of_Community_Member_being_Infected">'[1]Detailed COVID Calculations - 1'!$C$17</definedName>
    <definedName name="Risk_of_Provider_Being_Infected">'[1]Detailed COVID Calculations - 1'!$C$18</definedName>
    <definedName name="Transmission_Risk_Contact_Health_Care_Provider">'[1]Detailed COVID Calculations - 1'!$C$20</definedName>
    <definedName name="Transmission_Risk_Hospital_Stay">'[1]Detailed COVID Calculations - 1'!$C$21</definedName>
    <definedName name="Transmission_Risk_in_Community">'[1]Detailed COVID Calculations - 1'!$C$19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8" i="1" l="1"/>
  <c r="AA8" i="1" s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A88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A87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A86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A85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A84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A83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A82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A81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A80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A79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A78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A77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A76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A75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A74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A73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A72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A71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A70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A68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A67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A66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A65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A64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A63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A62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A61" i="1"/>
  <c r="V60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A59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A58" i="1"/>
  <c r="V57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A56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A55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A54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A53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A52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A51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A50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A49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A48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A47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A46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A45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A44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A43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A42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A41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A40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A39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A38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A37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A36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A35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A34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A33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A32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A31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A30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A29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A28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27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26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A25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F24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F23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22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A21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A20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A19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A18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A17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A16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A15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B4" i="1"/>
  <c r="AB8" i="1" l="1"/>
  <c r="AC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Weissman</author>
  </authors>
  <commentList>
    <comment ref="AB6" authorId="0" shapeId="0" xr:uid="{00000000-0006-0000-0000-000001000000}">
      <text>
        <r>
          <rPr>
            <sz val="9"/>
            <rFont val="Tahoma"/>
            <charset val="134"/>
          </rPr>
          <t xml:space="preserve">Sometimes increase in use of FP due to mitigation leads to an overall decrease in the absolute number of covered pregnancies.  In that case, this formula allows no negative number.  </t>
        </r>
      </text>
    </comment>
  </commentList>
</comments>
</file>

<file path=xl/sharedStrings.xml><?xml version="1.0" encoding="utf-8"?>
<sst xmlns="http://schemas.openxmlformats.org/spreadsheetml/2006/main" count="185" uniqueCount="120">
  <si>
    <t>Excess COVID Death Associated with Maintaining Essential Services</t>
  </si>
  <si>
    <t>CALCULATION SHEET - HIDDEN</t>
  </si>
  <si>
    <t>(Px (1-Θ))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</si>
  <si>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 xml:space="preserve">2v </t>
    </r>
    <r>
      <rPr>
        <sz val="9"/>
        <color rgb="FF000000"/>
        <rFont val="Century Gothic"/>
        <charset val="134"/>
      </rPr>
      <t>x 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 </t>
    </r>
    <r>
      <rPr>
        <vertAlign val="superscript"/>
        <sz val="9"/>
        <color rgb="FF000000"/>
        <rFont val="Century Gothic"/>
        <charset val="134"/>
      </rPr>
      <t>2vn </t>
    </r>
  </si>
  <si>
    <t>THESE ARE THE CALCULATIONS USED FOR THE FINAL RESULTS</t>
  </si>
  <si>
    <t>HIDDEN</t>
  </si>
  <si>
    <t>Original</t>
  </si>
  <si>
    <t>After Mitigation Measures</t>
  </si>
  <si>
    <t>Baseline</t>
  </si>
  <si>
    <t>PPE</t>
  </si>
  <si>
    <t>PPE+Temperature Screening</t>
  </si>
  <si>
    <t>With PPE+TS+Reduction in Number of Contacts</t>
  </si>
  <si>
    <t>Reduced Number of Contacts + Intervention-Specific Reduction in Infection Risk - Scen. 1</t>
  </si>
  <si>
    <t>Selected</t>
  </si>
  <si>
    <t>Int#</t>
  </si>
  <si>
    <t>Int# in LiST</t>
  </si>
  <si>
    <t>Number of Patients Receiving Care due To Mitigation Measures</t>
  </si>
  <si>
    <t>Average No. of Patient Contacts with Provider</t>
  </si>
  <si>
    <t>Average No. of Patient Contact with Provider</t>
  </si>
  <si>
    <t>Reduction in Transmission Risk</t>
  </si>
  <si>
    <t>Risk of SARS-Cov2 Transmission</t>
  </si>
  <si>
    <t>Excess Risk</t>
  </si>
  <si>
    <t>Excess Infections</t>
  </si>
  <si>
    <t>Excess Deaths</t>
  </si>
  <si>
    <t>By Package</t>
  </si>
  <si>
    <t>Total for Packages</t>
  </si>
  <si>
    <t>Family Planning</t>
  </si>
  <si>
    <t>A</t>
  </si>
  <si>
    <t>Antenatal Care</t>
  </si>
  <si>
    <t>Delivery Care</t>
  </si>
  <si>
    <t>H</t>
  </si>
  <si>
    <t>Newborn Care</t>
  </si>
  <si>
    <t>Breastfeeding</t>
  </si>
  <si>
    <t>Vaccines</t>
  </si>
  <si>
    <t>C</t>
  </si>
  <si>
    <t>Child Health</t>
  </si>
  <si>
    <t>Malnutrition</t>
  </si>
  <si>
    <t>Other</t>
  </si>
  <si>
    <t>By Intervention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</si>
  <si>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</si>
  <si>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</si>
  <si>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</si>
  <si>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</si>
  <si>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</si>
  <si>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</si>
  <si>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</si>
  <si>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</si>
  <si>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x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</si>
  <si>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</si>
  <si>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</si>
  <si>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</si>
  <si>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</si>
  <si>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</si>
  <si>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</si>
  <si>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</si>
  <si>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</si>
  <si>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</si>
  <si>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</si>
  <si>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</si>
  <si>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</si>
  <si>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</si>
  <si>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Hospitalization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</si>
  <si>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</si>
  <si>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</si>
  <si>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</si>
  <si>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</si>
  <si>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</si>
  <si>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</si>
  <si>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</si>
  <si>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</si>
  <si>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</si>
  <si>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</si>
  <si>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</si>
  <si>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</si>
  <si>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</si>
  <si>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</si>
  <si>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</si>
  <si>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</si>
  <si>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</si>
  <si>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</si>
  <si>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</si>
  <si>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</si>
  <si>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</si>
  <si>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</si>
  <si>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</si>
  <si>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</si>
  <si>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</si>
  <si>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</si>
  <si>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</t>
  </si>
  <si>
    <t>68/69</t>
  </si>
  <si>
    <t>Case management of neonatal sepsis/pneumonia</t>
  </si>
  <si>
    <t>Oral antibiotics</t>
  </si>
  <si>
    <t>Injectable antibiotics</t>
  </si>
  <si>
    <t>Full supportive care</t>
  </si>
  <si>
    <t>Early Initiation of Breastfeeding</t>
  </si>
  <si>
    <t>Complementary feeding - Education only</t>
  </si>
  <si>
    <t>Complementary feeding - Supplementary feeding + Education</t>
  </si>
  <si>
    <t>BCG - Single dose</t>
  </si>
  <si>
    <t>Child + Caretaker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</si>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</sst>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8" formatCode="#,##0.0"/>
    <numFmt numFmtId="169" formatCode="0.0%"/>
    <numFmt numFmtId="170" formatCode="0.000%"/>
  </numFmts>
  <fonts count="27">
    <font>
      <sz val="11"/>
      <color theme="1"/>
      <name val="Calibri"/>
      <charset val="134"/>
      <scheme val="minor"/>
    </font>
    <font>
      <sz val="16"/>
      <color rgb="FFFF0000"/>
      <name val="Britannic Bold"/>
      <charset val="134"/>
    </font>
    <font>
      <sz val="16"/>
      <color theme="1"/>
      <name val="Britannic Bold"/>
      <charset val="134"/>
    </font>
    <font>
      <i/>
      <sz val="11"/>
      <color theme="1"/>
      <name val="Calibri"/>
      <charset val="134"/>
      <scheme val="minor"/>
    </font>
    <font>
      <b/>
      <sz val="11"/>
      <color rgb="FFFF0000"/>
      <name val="Century Gothic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b/>
      <sz val="9"/>
      <color theme="0"/>
      <name val="Century Gothic"/>
      <charset val="134"/>
    </font>
    <font>
      <b/>
      <sz val="8"/>
      <color theme="0"/>
      <name val="Arial Narrow"/>
      <charset val="134"/>
    </font>
    <font>
      <b/>
      <i/>
      <sz val="8"/>
      <color theme="0"/>
      <name val="Century Gothic"/>
      <charset val="134"/>
    </font>
    <font>
      <b/>
      <sz val="11"/>
      <color theme="0"/>
      <name val="Century Gothic"/>
      <charset val="134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9"/>
      <color theme="1"/>
      <name val="Century Gothic"/>
      <charset val="134"/>
    </font>
    <font>
      <sz val="8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sz val="9"/>
      <color rgb="FF000000"/>
      <name val="Century Gothic"/>
      <charset val="134"/>
    </font>
    <font>
      <b/>
      <sz val="10"/>
      <color theme="0"/>
      <name val="Century Gothic"/>
      <charset val="134"/>
    </font>
    <font>
      <sz val="9"/>
      <name val="Century Gothic"/>
      <charset val="134"/>
    </font>
    <font>
      <sz val="11"/>
      <color rgb="FFFF0000"/>
      <name val="Calibri"/>
      <charset val="134"/>
      <scheme val="minor"/>
    </font>
    <font>
      <sz val="8"/>
      <color rgb="FFFF0000"/>
      <name val="Century Gothic"/>
      <charset val="134"/>
    </font>
    <font>
      <sz val="8"/>
      <color rgb="FFC00000"/>
      <name val="Century Gothic"/>
      <charset val="134"/>
    </font>
    <font>
      <vertAlign val="subscript"/>
      <sz val="9"/>
      <color rgb="FF000000"/>
      <name val="Century Gothic"/>
      <charset val="134"/>
    </font>
    <font>
      <vertAlign val="superscript"/>
      <sz val="9"/>
      <color rgb="FF000000"/>
      <name val="Century Gothic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/>
    <xf numFmtId="0" fontId="12" fillId="0" borderId="0"/>
  </cellStyleXfs>
  <cellXfs count="128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Continuous"/>
    </xf>
    <xf numFmtId="0" fontId="6" fillId="2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/>
    </xf>
    <xf numFmtId="0" fontId="8" fillId="3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wrapText="1"/>
    </xf>
    <xf numFmtId="0" fontId="9" fillId="4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Continuous" wrapText="1"/>
    </xf>
    <xf numFmtId="0" fontId="11" fillId="5" borderId="3" xfId="3" applyFont="1" applyFill="1" applyBorder="1" applyAlignment="1">
      <alignment vertical="center"/>
    </xf>
    <xf numFmtId="0" fontId="12" fillId="5" borderId="3" xfId="3" applyFill="1" applyBorder="1" applyAlignment="1">
      <alignment vertical="center"/>
    </xf>
    <xf numFmtId="3" fontId="13" fillId="0" borderId="4" xfId="0" applyNumberFormat="1" applyFont="1" applyBorder="1" applyAlignment="1"/>
    <xf numFmtId="168" fontId="13" fillId="0" borderId="4" xfId="0" applyNumberFormat="1" applyFont="1" applyBorder="1" applyAlignment="1"/>
    <xf numFmtId="0" fontId="11" fillId="6" borderId="3" xfId="3" applyFont="1" applyFill="1" applyBorder="1" applyAlignment="1">
      <alignment vertical="center"/>
    </xf>
    <xf numFmtId="0" fontId="14" fillId="6" borderId="3" xfId="3" applyFont="1" applyFill="1" applyBorder="1" applyAlignment="1">
      <alignment vertical="center"/>
    </xf>
    <xf numFmtId="0" fontId="11" fillId="7" borderId="3" xfId="3" applyFont="1" applyFill="1" applyBorder="1" applyAlignment="1">
      <alignment vertical="center"/>
    </xf>
    <xf numFmtId="0" fontId="14" fillId="7" borderId="3" xfId="3" applyFont="1" applyFill="1" applyBorder="1" applyAlignment="1">
      <alignment vertical="center"/>
    </xf>
    <xf numFmtId="0" fontId="14" fillId="5" borderId="3" xfId="3" applyFont="1" applyFill="1" applyBorder="1" applyAlignment="1">
      <alignment vertical="center"/>
    </xf>
    <xf numFmtId="0" fontId="11" fillId="8" borderId="3" xfId="0" applyFont="1" applyFill="1" applyBorder="1">
      <alignment vertical="center"/>
    </xf>
    <xf numFmtId="0" fontId="14" fillId="8" borderId="3" xfId="0" applyFont="1" applyFill="1" applyBorder="1">
      <alignment vertical="center"/>
    </xf>
    <xf numFmtId="0" fontId="11" fillId="9" borderId="3" xfId="0" applyFont="1" applyFill="1" applyBorder="1">
      <alignment vertical="center"/>
    </xf>
    <xf numFmtId="0" fontId="14" fillId="9" borderId="3" xfId="0" applyFont="1" applyFill="1" applyBorder="1">
      <alignment vertical="center"/>
    </xf>
    <xf numFmtId="0" fontId="11" fillId="10" borderId="3" xfId="0" applyFont="1" applyFill="1" applyBorder="1">
      <alignment vertical="center"/>
    </xf>
    <xf numFmtId="0" fontId="14" fillId="10" borderId="3" xfId="0" applyFont="1" applyFill="1" applyBorder="1">
      <alignment vertical="center"/>
    </xf>
    <xf numFmtId="0" fontId="11" fillId="11" borderId="3" xfId="0" applyFont="1" applyFill="1" applyBorder="1" applyAlignment="1">
      <alignment vertical="center" wrapText="1"/>
    </xf>
    <xf numFmtId="0" fontId="14" fillId="11" borderId="3" xfId="0" applyFont="1" applyFill="1" applyBorder="1" applyAlignment="1">
      <alignment vertical="center" wrapText="1"/>
    </xf>
    <xf numFmtId="0" fontId="11" fillId="12" borderId="3" xfId="0" applyFont="1" applyFill="1" applyBorder="1" applyAlignment="1">
      <alignment vertical="center" wrapText="1"/>
    </xf>
    <xf numFmtId="0" fontId="0" fillId="0" borderId="5" xfId="0" applyBorder="1" applyAlignment="1">
      <alignment horizontal="center"/>
    </xf>
    <xf numFmtId="0" fontId="12" fillId="5" borderId="6" xfId="0" applyFont="1" applyFill="1" applyBorder="1">
      <alignment vertical="center"/>
    </xf>
    <xf numFmtId="0" fontId="12" fillId="5" borderId="4" xfId="0" applyFont="1" applyFill="1" applyBorder="1">
      <alignment vertical="center"/>
    </xf>
    <xf numFmtId="0" fontId="12" fillId="5" borderId="5" xfId="0" applyFont="1" applyFill="1" applyBorder="1">
      <alignment vertical="center"/>
    </xf>
    <xf numFmtId="0" fontId="15" fillId="6" borderId="5" xfId="2" applyFont="1" applyFill="1" applyBorder="1"/>
    <xf numFmtId="3" fontId="13" fillId="13" borderId="4" xfId="0" applyNumberFormat="1" applyFont="1" applyFill="1" applyBorder="1" applyAlignment="1"/>
    <xf numFmtId="3" fontId="13" fillId="14" borderId="4" xfId="0" applyNumberFormat="1" applyFont="1" applyFill="1" applyBorder="1" applyAlignment="1"/>
    <xf numFmtId="168" fontId="13" fillId="13" borderId="4" xfId="0" applyNumberFormat="1" applyFont="1" applyFill="1" applyBorder="1" applyAlignment="1"/>
    <xf numFmtId="0" fontId="15" fillId="14" borderId="5" xfId="2" applyFont="1" applyFill="1" applyBorder="1"/>
    <xf numFmtId="0" fontId="12" fillId="14" borderId="9" xfId="0" applyFont="1" applyFill="1" applyBorder="1" applyAlignment="1"/>
    <xf numFmtId="0" fontId="15" fillId="14" borderId="9" xfId="2" applyFont="1" applyFill="1" applyBorder="1"/>
    <xf numFmtId="0" fontId="12" fillId="14" borderId="5" xfId="0" applyFont="1" applyFill="1" applyBorder="1" applyAlignment="1"/>
    <xf numFmtId="0" fontId="12" fillId="5" borderId="9" xfId="0" applyFont="1" applyFill="1" applyBorder="1" applyAlignment="1"/>
    <xf numFmtId="0" fontId="15" fillId="5" borderId="9" xfId="2" applyFont="1" applyFill="1" applyBorder="1"/>
    <xf numFmtId="0" fontId="12" fillId="5" borderId="5" xfId="0" applyFont="1" applyFill="1" applyBorder="1" applyAlignment="1">
      <alignment horizontal="left"/>
    </xf>
    <xf numFmtId="0" fontId="16" fillId="5" borderId="9" xfId="0" applyFont="1" applyFill="1" applyBorder="1" applyAlignment="1"/>
    <xf numFmtId="0" fontId="16" fillId="5" borderId="5" xfId="0" applyFont="1" applyFill="1" applyBorder="1" applyAlignment="1"/>
    <xf numFmtId="0" fontId="12" fillId="5" borderId="5" xfId="0" applyFont="1" applyFill="1" applyBorder="1" applyAlignment="1"/>
    <xf numFmtId="0" fontId="15" fillId="8" borderId="10" xfId="2" applyFont="1" applyFill="1" applyBorder="1"/>
    <xf numFmtId="0" fontId="15" fillId="8" borderId="5" xfId="2" applyFont="1" applyFill="1" applyBorder="1"/>
    <xf numFmtId="0" fontId="17" fillId="0" borderId="0" xfId="0" applyFont="1">
      <alignment vertical="center"/>
    </xf>
    <xf numFmtId="9" fontId="13" fillId="0" borderId="4" xfId="1" applyFont="1" applyBorder="1" applyAlignment="1"/>
    <xf numFmtId="169" fontId="19" fillId="15" borderId="4" xfId="1" applyNumberFormat="1" applyFont="1" applyFill="1" applyBorder="1" applyAlignment="1">
      <alignment vertical="center"/>
    </xf>
    <xf numFmtId="169" fontId="13" fillId="0" borderId="4" xfId="1" applyNumberFormat="1" applyFont="1" applyFill="1" applyBorder="1" applyAlignment="1">
      <alignment vertical="center"/>
    </xf>
    <xf numFmtId="10" fontId="19" fillId="15" borderId="4" xfId="1" applyNumberFormat="1" applyFont="1" applyFill="1" applyBorder="1" applyAlignment="1">
      <alignment vertical="center"/>
    </xf>
    <xf numFmtId="169" fontId="19" fillId="13" borderId="4" xfId="1" applyNumberFormat="1" applyFont="1" applyFill="1" applyBorder="1" applyAlignment="1">
      <alignment vertical="center"/>
    </xf>
    <xf numFmtId="10" fontId="19" fillId="13" borderId="4" xfId="1" applyNumberFormat="1" applyFont="1" applyFill="1" applyBorder="1" applyAlignment="1">
      <alignment vertical="center"/>
    </xf>
    <xf numFmtId="169" fontId="19" fillId="9" borderId="4" xfId="1" applyNumberFormat="1" applyFont="1" applyFill="1" applyBorder="1" applyAlignment="1">
      <alignment vertical="center"/>
    </xf>
    <xf numFmtId="3" fontId="13" fillId="9" borderId="4" xfId="0" applyNumberFormat="1" applyFont="1" applyFill="1" applyBorder="1" applyAlignment="1"/>
    <xf numFmtId="168" fontId="13" fillId="9" borderId="4" xfId="0" applyNumberFormat="1" applyFont="1" applyFill="1" applyBorder="1" applyAlignment="1"/>
    <xf numFmtId="10" fontId="19" fillId="9" borderId="4" xfId="1" applyNumberFormat="1" applyFont="1" applyFill="1" applyBorder="1" applyAlignment="1">
      <alignment vertical="center"/>
    </xf>
    <xf numFmtId="9" fontId="6" fillId="4" borderId="0" xfId="1" applyFont="1" applyFill="1" applyAlignment="1">
      <alignment horizontal="center" wrapText="1"/>
    </xf>
    <xf numFmtId="170" fontId="19" fillId="15" borderId="4" xfId="1" applyNumberFormat="1" applyFont="1" applyFill="1" applyBorder="1" applyAlignment="1">
      <alignment vertical="center"/>
    </xf>
    <xf numFmtId="9" fontId="13" fillId="13" borderId="4" xfId="1" applyFont="1" applyFill="1" applyBorder="1" applyAlignment="1"/>
    <xf numFmtId="0" fontId="21" fillId="0" borderId="0" xfId="0" applyFont="1" applyAlignment="1"/>
    <xf numFmtId="10" fontId="19" fillId="7" borderId="4" xfId="1" applyNumberFormat="1" applyFont="1" applyFill="1" applyBorder="1" applyAlignment="1">
      <alignment vertical="center"/>
    </xf>
    <xf numFmtId="0" fontId="21" fillId="15" borderId="0" xfId="0" applyFont="1" applyFill="1" applyAlignment="1"/>
    <xf numFmtId="0" fontId="22" fillId="0" borderId="0" xfId="0" applyFont="1" applyAlignment="1"/>
    <xf numFmtId="0" fontId="12" fillId="8" borderId="9" xfId="0" applyFont="1" applyFill="1" applyBorder="1" applyAlignment="1"/>
    <xf numFmtId="0" fontId="12" fillId="8" borderId="5" xfId="0" applyFont="1" applyFill="1" applyBorder="1" applyAlignment="1"/>
    <xf numFmtId="0" fontId="12" fillId="9" borderId="9" xfId="0" applyFont="1" applyFill="1" applyBorder="1" applyAlignment="1"/>
    <xf numFmtId="0" fontId="12" fillId="9" borderId="5" xfId="0" applyFont="1" applyFill="1" applyBorder="1" applyAlignment="1"/>
    <xf numFmtId="0" fontId="16" fillId="9" borderId="5" xfId="0" applyFont="1" applyFill="1" applyBorder="1" applyAlignment="1"/>
    <xf numFmtId="0" fontId="12" fillId="10" borderId="9" xfId="0" applyFont="1" applyFill="1" applyBorder="1" applyAlignment="1"/>
    <xf numFmtId="0" fontId="12" fillId="10" borderId="5" xfId="0" applyFont="1" applyFill="1" applyBorder="1" applyAlignment="1"/>
    <xf numFmtId="3" fontId="13" fillId="10" borderId="4" xfId="0" applyNumberFormat="1" applyFont="1" applyFill="1" applyBorder="1" applyAlignment="1"/>
    <xf numFmtId="168" fontId="13" fillId="10" borderId="4" xfId="0" applyNumberFormat="1" applyFont="1" applyFill="1" applyBorder="1" applyAlignment="1"/>
    <xf numFmtId="0" fontId="12" fillId="10" borderId="5" xfId="0" applyFont="1" applyFill="1" applyBorder="1" applyAlignment="1">
      <alignment horizontal="left"/>
    </xf>
    <xf numFmtId="0" fontId="12" fillId="11" borderId="9" xfId="0" applyFont="1" applyFill="1" applyBorder="1" applyAlignment="1"/>
    <xf numFmtId="0" fontId="12" fillId="11" borderId="5" xfId="0" applyFont="1" applyFill="1" applyBorder="1" applyAlignment="1">
      <alignment horizontal="left"/>
    </xf>
    <xf numFmtId="3" fontId="13" fillId="11" borderId="4" xfId="0" applyNumberFormat="1" applyFont="1" applyFill="1" applyBorder="1" applyAlignment="1"/>
    <xf numFmtId="168" fontId="13" fillId="11" borderId="4" xfId="0" applyNumberFormat="1" applyFont="1" applyFill="1" applyBorder="1" applyAlignment="1"/>
    <xf numFmtId="0" fontId="15" fillId="16" borderId="9" xfId="2" applyFont="1" applyFill="1" applyBorder="1"/>
    <xf numFmtId="0" fontId="12" fillId="16" borderId="9" xfId="0" applyFont="1" applyFill="1" applyBorder="1" applyAlignment="1"/>
    <xf numFmtId="0" fontId="11" fillId="12" borderId="5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/>
    <xf numFmtId="3" fontId="13" fillId="12" borderId="4" xfId="0" applyNumberFormat="1" applyFont="1" applyFill="1" applyBorder="1" applyAlignment="1"/>
    <xf numFmtId="168" fontId="13" fillId="12" borderId="4" xfId="0" applyNumberFormat="1" applyFont="1" applyFill="1" applyBorder="1" applyAlignment="1"/>
    <xf numFmtId="9" fontId="13" fillId="9" borderId="4" xfId="1" applyFont="1" applyFill="1" applyBorder="1" applyAlignment="1"/>
    <xf numFmtId="9" fontId="13" fillId="10" borderId="4" xfId="1" applyFont="1" applyFill="1" applyBorder="1" applyAlignment="1"/>
    <xf numFmtId="169" fontId="19" fillId="10" borderId="4" xfId="1" applyNumberFormat="1" applyFont="1" applyFill="1" applyBorder="1" applyAlignment="1">
      <alignment vertical="center"/>
    </xf>
    <xf numFmtId="10" fontId="19" fillId="10" borderId="4" xfId="1" applyNumberFormat="1" applyFont="1" applyFill="1" applyBorder="1" applyAlignment="1">
      <alignment vertical="center"/>
    </xf>
    <xf numFmtId="9" fontId="13" fillId="11" borderId="4" xfId="1" applyFont="1" applyFill="1" applyBorder="1" applyAlignment="1"/>
    <xf numFmtId="169" fontId="19" fillId="11" borderId="4" xfId="1" applyNumberFormat="1" applyFont="1" applyFill="1" applyBorder="1" applyAlignment="1">
      <alignment vertical="center"/>
    </xf>
    <xf numFmtId="10" fontId="19" fillId="11" borderId="4" xfId="1" applyNumberFormat="1" applyFont="1" applyFill="1" applyBorder="1" applyAlignment="1">
      <alignment vertical="center"/>
    </xf>
    <xf numFmtId="9" fontId="13" fillId="12" borderId="4" xfId="1" applyFont="1" applyFill="1" applyBorder="1" applyAlignment="1"/>
    <xf numFmtId="169" fontId="19" fillId="12" borderId="4" xfId="1" applyNumberFormat="1" applyFont="1" applyFill="1" applyBorder="1" applyAlignment="1">
      <alignment vertical="center"/>
    </xf>
    <xf numFmtId="10" fontId="19" fillId="12" borderId="4" xfId="1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horizontal="center" wrapText="1"/>
    </xf>
    <xf numFmtId="0" fontId="7" fillId="3" borderId="11" xfId="0" applyFont="1" applyFill="1" applyBorder="1" applyAlignment="1">
      <alignment horizontal="center" wrapText="1"/>
    </xf>
    <xf numFmtId="0" fontId="11" fillId="5" borderId="4" xfId="3" applyFont="1" applyFill="1" applyBorder="1" applyAlignment="1">
      <alignment horizontal="center" vertical="center"/>
    </xf>
    <xf numFmtId="0" fontId="11" fillId="5" borderId="5" xfId="3" applyFont="1" applyFill="1" applyBorder="1" applyAlignment="1">
      <alignment horizontal="center" vertical="center"/>
    </xf>
    <xf numFmtId="0" fontId="11" fillId="6" borderId="7" xfId="3" applyFont="1" applyFill="1" applyBorder="1" applyAlignment="1">
      <alignment horizontal="center" vertical="center"/>
    </xf>
    <xf numFmtId="0" fontId="11" fillId="6" borderId="8" xfId="3" applyFont="1" applyFill="1" applyBorder="1" applyAlignment="1">
      <alignment horizontal="center" vertical="center"/>
    </xf>
    <xf numFmtId="0" fontId="11" fillId="6" borderId="4" xfId="3" applyFont="1" applyFill="1" applyBorder="1" applyAlignment="1">
      <alignment horizontal="center" vertical="center"/>
    </xf>
    <xf numFmtId="0" fontId="11" fillId="14" borderId="7" xfId="3" applyFont="1" applyFill="1" applyBorder="1" applyAlignment="1">
      <alignment horizontal="left" vertical="center"/>
    </xf>
    <xf numFmtId="0" fontId="11" fillId="14" borderId="8" xfId="3" applyFont="1" applyFill="1" applyBorder="1" applyAlignment="1">
      <alignment horizontal="left" vertical="center"/>
    </xf>
    <xf numFmtId="0" fontId="11" fillId="14" borderId="4" xfId="3" applyFont="1" applyFill="1" applyBorder="1" applyAlignment="1">
      <alignment horizontal="left" vertical="center"/>
    </xf>
    <xf numFmtId="0" fontId="11" fillId="5" borderId="7" xfId="3" applyFont="1" applyFill="1" applyBorder="1" applyAlignment="1">
      <alignment horizontal="center" vertical="center"/>
    </xf>
    <xf numFmtId="0" fontId="11" fillId="5" borderId="8" xfId="3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 wrapText="1"/>
    </xf>
    <xf numFmtId="0" fontId="17" fillId="17" borderId="5" xfId="0" applyFont="1" applyFill="1" applyBorder="1">
      <alignment vertical="center"/>
    </xf>
    <xf numFmtId="0" fontId="18" fillId="18" borderId="12" xfId="0" applyFont="1" applyFill="1" applyBorder="1" applyAlignment="1">
      <alignment horizontal="center"/>
    </xf>
    <xf numFmtId="0" fontId="18" fillId="18" borderId="13" xfId="0" applyFont="1" applyFill="1" applyBorder="1" applyAlignment="1">
      <alignment horizontal="center"/>
    </xf>
    <xf numFmtId="0" fontId="18" fillId="18" borderId="13" xfId="0" applyFont="1" applyFill="1" applyBorder="1" applyAlignment="1">
      <alignment horizontal="center" wrapText="1"/>
    </xf>
    <xf numFmtId="0" fontId="6" fillId="18" borderId="1" xfId="0" applyFont="1" applyFill="1" applyBorder="1" applyAlignment="1">
      <alignment horizontal="center" wrapText="1"/>
    </xf>
    <xf numFmtId="0" fontId="20" fillId="17" borderId="0" xfId="0" applyFont="1" applyFill="1" applyAlignment="1"/>
    <xf numFmtId="0" fontId="21" fillId="17" borderId="0" xfId="0" applyFont="1" applyFill="1" applyAlignment="1"/>
  </cellXfs>
  <cellStyles count="4">
    <cellStyle name="Normal 14" xfId="2" xr:uid="{00000000-0005-0000-0000-000031000000}"/>
    <cellStyle name="Normal 2" xfId="3" xr:uid="{00000000-0005-0000-0000-000032000000}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 refreshError="1">
        <row r="1">
          <cell r="AA1" t="str">
            <v>Mitigation Impact Only</v>
          </cell>
        </row>
      </sheetData>
      <sheetData sheetId="1" refreshError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BY5">
            <v>1</v>
          </cell>
          <cell r="BZ5">
            <v>2</v>
          </cell>
          <cell r="CA5">
            <v>3</v>
          </cell>
          <cell r="CB5">
            <v>4</v>
          </cell>
          <cell r="CC5">
            <v>5</v>
          </cell>
          <cell r="CD5">
            <v>6</v>
          </cell>
          <cell r="CE5">
            <v>7</v>
          </cell>
          <cell r="CF5">
            <v>8</v>
          </cell>
          <cell r="CG5">
            <v>9</v>
          </cell>
          <cell r="CH5">
            <v>10</v>
          </cell>
          <cell r="CI5">
            <v>11</v>
          </cell>
          <cell r="CJ5">
            <v>12</v>
          </cell>
          <cell r="CK5">
            <v>13</v>
          </cell>
          <cell r="CL5">
            <v>14</v>
          </cell>
          <cell r="CM5">
            <v>15</v>
          </cell>
          <cell r="CN5">
            <v>16</v>
          </cell>
          <cell r="CO5">
            <v>17</v>
          </cell>
          <cell r="CP5">
            <v>18</v>
          </cell>
          <cell r="CQ5">
            <v>19</v>
          </cell>
          <cell r="CR5">
            <v>20</v>
          </cell>
          <cell r="CS5">
            <v>21</v>
          </cell>
          <cell r="CT5">
            <v>22</v>
          </cell>
          <cell r="CU5">
            <v>23</v>
          </cell>
          <cell r="CV5">
            <v>24</v>
          </cell>
          <cell r="CW5">
            <v>25</v>
          </cell>
          <cell r="CX5">
            <v>26</v>
          </cell>
          <cell r="CY5">
            <v>27</v>
          </cell>
          <cell r="CZ5">
            <v>28</v>
          </cell>
          <cell r="DA5">
            <v>29</v>
          </cell>
          <cell r="DB5">
            <v>30</v>
          </cell>
          <cell r="DC5">
            <v>31</v>
          </cell>
          <cell r="DD5">
            <v>32</v>
          </cell>
          <cell r="DE5">
            <v>33</v>
          </cell>
          <cell r="DF5">
            <v>34</v>
          </cell>
          <cell r="DG5">
            <v>35</v>
          </cell>
          <cell r="DH5">
            <v>36</v>
          </cell>
          <cell r="DI5">
            <v>37</v>
          </cell>
          <cell r="DJ5">
            <v>38</v>
          </cell>
          <cell r="DK5">
            <v>39</v>
          </cell>
          <cell r="DL5">
            <v>40</v>
          </cell>
          <cell r="DM5">
            <v>41</v>
          </cell>
          <cell r="DN5">
            <v>42</v>
          </cell>
          <cell r="DO5">
            <v>43</v>
          </cell>
          <cell r="DP5">
            <v>44</v>
          </cell>
          <cell r="DQ5">
            <v>45</v>
          </cell>
          <cell r="DR5">
            <v>46</v>
          </cell>
          <cell r="DS5">
            <v>47</v>
          </cell>
          <cell r="DT5">
            <v>48</v>
          </cell>
          <cell r="DU5">
            <v>49</v>
          </cell>
          <cell r="DV5">
            <v>50</v>
          </cell>
          <cell r="DW5">
            <v>51</v>
          </cell>
          <cell r="DX5">
            <v>52</v>
          </cell>
          <cell r="DY5">
            <v>53</v>
          </cell>
          <cell r="DZ5">
            <v>54</v>
          </cell>
          <cell r="EA5">
            <v>55</v>
          </cell>
          <cell r="EB5">
            <v>56</v>
          </cell>
          <cell r="EC5">
            <v>57</v>
          </cell>
          <cell r="ED5">
            <v>58</v>
          </cell>
          <cell r="EE5">
            <v>59</v>
          </cell>
          <cell r="EF5">
            <v>60</v>
          </cell>
          <cell r="EG5">
            <v>61</v>
          </cell>
          <cell r="EH5">
            <v>62</v>
          </cell>
          <cell r="EI5">
            <v>63</v>
          </cell>
          <cell r="EJ5">
            <v>64</v>
          </cell>
          <cell r="EK5">
            <v>65</v>
          </cell>
          <cell r="EL5">
            <v>66</v>
          </cell>
          <cell r="EM5">
            <v>67</v>
          </cell>
          <cell r="EN5">
            <v>68</v>
          </cell>
          <cell r="EO5">
            <v>69</v>
          </cell>
          <cell r="EP5">
            <v>70</v>
          </cell>
          <cell r="EQ5">
            <v>71</v>
          </cell>
          <cell r="ES5">
            <v>1</v>
          </cell>
          <cell r="ET5">
            <v>2</v>
          </cell>
          <cell r="EU5">
            <v>3</v>
          </cell>
          <cell r="EV5">
            <v>4</v>
          </cell>
          <cell r="EW5">
            <v>5</v>
          </cell>
          <cell r="EX5">
            <v>6</v>
          </cell>
          <cell r="EY5">
            <v>7</v>
          </cell>
          <cell r="EZ5">
            <v>8</v>
          </cell>
          <cell r="FA5">
            <v>9</v>
          </cell>
          <cell r="FB5">
            <v>10</v>
          </cell>
          <cell r="FC5">
            <v>11</v>
          </cell>
          <cell r="FD5">
            <v>12</v>
          </cell>
          <cell r="FE5">
            <v>13</v>
          </cell>
          <cell r="FF5">
            <v>14</v>
          </cell>
          <cell r="FG5">
            <v>15</v>
          </cell>
          <cell r="FH5">
            <v>16</v>
          </cell>
          <cell r="FI5">
            <v>17</v>
          </cell>
          <cell r="FJ5">
            <v>18</v>
          </cell>
          <cell r="FK5">
            <v>19</v>
          </cell>
          <cell r="FL5">
            <v>20</v>
          </cell>
          <cell r="FM5">
            <v>21</v>
          </cell>
          <cell r="FN5">
            <v>22</v>
          </cell>
          <cell r="FO5">
            <v>23</v>
          </cell>
          <cell r="FP5">
            <v>24</v>
          </cell>
          <cell r="FQ5">
            <v>25</v>
          </cell>
          <cell r="FR5">
            <v>26</v>
          </cell>
          <cell r="FS5">
            <v>27</v>
          </cell>
          <cell r="FT5">
            <v>28</v>
          </cell>
          <cell r="FU5">
            <v>29</v>
          </cell>
          <cell r="FV5">
            <v>30</v>
          </cell>
          <cell r="FW5">
            <v>31</v>
          </cell>
          <cell r="FX5">
            <v>32</v>
          </cell>
          <cell r="FY5">
            <v>33</v>
          </cell>
          <cell r="FZ5">
            <v>34</v>
          </cell>
          <cell r="GA5">
            <v>35</v>
          </cell>
          <cell r="GB5">
            <v>36</v>
          </cell>
          <cell r="GC5">
            <v>37</v>
          </cell>
          <cell r="GD5">
            <v>38</v>
          </cell>
          <cell r="GE5">
            <v>39</v>
          </cell>
          <cell r="GF5">
            <v>40</v>
          </cell>
          <cell r="GG5">
            <v>41</v>
          </cell>
          <cell r="GH5">
            <v>42</v>
          </cell>
          <cell r="GI5">
            <v>43</v>
          </cell>
          <cell r="GJ5">
            <v>44</v>
          </cell>
          <cell r="GK5">
            <v>45</v>
          </cell>
          <cell r="GL5">
            <v>46</v>
          </cell>
          <cell r="GM5">
            <v>47</v>
          </cell>
          <cell r="GN5">
            <v>48</v>
          </cell>
          <cell r="GO5">
            <v>49</v>
          </cell>
          <cell r="GP5">
            <v>50</v>
          </cell>
          <cell r="GQ5">
            <v>51</v>
          </cell>
          <cell r="GR5">
            <v>52</v>
          </cell>
          <cell r="GS5">
            <v>53</v>
          </cell>
          <cell r="GT5">
            <v>54</v>
          </cell>
          <cell r="GU5">
            <v>55</v>
          </cell>
          <cell r="GV5">
            <v>56</v>
          </cell>
          <cell r="GW5">
            <v>57</v>
          </cell>
          <cell r="GX5">
            <v>58</v>
          </cell>
          <cell r="GY5">
            <v>59</v>
          </cell>
          <cell r="GZ5">
            <v>60</v>
          </cell>
          <cell r="HA5">
            <v>61</v>
          </cell>
          <cell r="HB5">
            <v>62</v>
          </cell>
          <cell r="HC5">
            <v>63</v>
          </cell>
          <cell r="HD5">
            <v>64</v>
          </cell>
          <cell r="HE5">
            <v>65</v>
          </cell>
          <cell r="HF5">
            <v>66</v>
          </cell>
          <cell r="HG5">
            <v>67</v>
          </cell>
          <cell r="HH5">
            <v>68</v>
          </cell>
          <cell r="HI5">
            <v>69</v>
          </cell>
          <cell r="HJ5">
            <v>70</v>
          </cell>
          <cell r="HK5">
            <v>71</v>
          </cell>
        </row>
        <row r="6">
          <cell r="BY6" t="str">
            <v>FP - Pills</v>
          </cell>
          <cell r="BZ6" t="str">
            <v>FP - Condoms</v>
          </cell>
          <cell r="CA6" t="str">
            <v>FP - Injectables</v>
          </cell>
          <cell r="CB6" t="str">
            <v>FP - Implants</v>
          </cell>
          <cell r="CC6" t="str">
            <v>FP - IUD</v>
          </cell>
          <cell r="CD6" t="str">
            <v>FP - Female Sterilization</v>
          </cell>
          <cell r="CE6" t="str">
            <v>FP - Male Sterilization</v>
          </cell>
          <cell r="CF6" t="str">
            <v>FP - Traditional Methods</v>
          </cell>
          <cell r="CG6" t="str">
            <v>Antenatal care (at least 1 visit)</v>
          </cell>
          <cell r="CH6" t="str">
            <v>Antenatal care (at least 4 visits)</v>
          </cell>
          <cell r="CI6" t="str">
            <v>TT - Tetanus toxoid vaccination</v>
          </cell>
          <cell r="CJ6" t="str">
            <v>IPTp - Intermittent preventive treatment of malaria during pregnancy</v>
          </cell>
          <cell r="CK6" t="str">
            <v>Syphilis detection and treatment</v>
          </cell>
          <cell r="CL6" t="str">
            <v>Calcium supplementation</v>
          </cell>
          <cell r="CM6" t="str">
            <v>Iron and folate supplementation in pregnancy</v>
          </cell>
          <cell r="CN6" t="str">
            <v>Multiple micronutrient supplementation in pregnancy</v>
          </cell>
          <cell r="CO6" t="str">
            <v>Balanced energy supplementation</v>
          </cell>
          <cell r="CP6" t="str">
            <v>Hypertensive disorder case management</v>
          </cell>
          <cell r="CQ6" t="str">
            <v>Diabetes case management</v>
          </cell>
          <cell r="CR6" t="str">
            <v>Malaria case management</v>
          </cell>
          <cell r="CS6" t="str">
            <v>MgSO4 management of pre-eclampsia</v>
          </cell>
          <cell r="CT6" t="str">
            <v>Health Facility Delivery</v>
          </cell>
          <cell r="CU6" t="str">
            <v>Clean birth environment</v>
          </cell>
          <cell r="CV6" t="str">
            <v>Manual removal of placenta</v>
          </cell>
          <cell r="CW6" t="str">
            <v>MgSO4 management of eclampsia</v>
          </cell>
          <cell r="CX6" t="str">
            <v>Antibiotics for preterm or prolonged PROM</v>
          </cell>
          <cell r="CY6" t="str">
            <v>Parenteral administration of antibiotics</v>
          </cell>
          <cell r="CZ6" t="str">
            <v>Assisted vaginal delivery</v>
          </cell>
          <cell r="DA6" t="str">
            <v>Active management of third stage of labor (AMTSL)</v>
          </cell>
          <cell r="DB6" t="str">
            <v>Removal of retained products of conception</v>
          </cell>
          <cell r="DC6" t="str">
            <v>Induction of labor for pregnancies lasting 41+ weeks</v>
          </cell>
          <cell r="DD6" t="str">
            <v>Antenatal corticosteroids for preterm labor</v>
          </cell>
          <cell r="DE6" t="str">
            <v>Maternal sepsis case management</v>
          </cell>
          <cell r="DF6" t="str">
            <v>Safe abortion services</v>
          </cell>
          <cell r="DG6" t="str">
            <v>Post abortion case management</v>
          </cell>
          <cell r="DH6" t="str">
            <v>Cesarean delivery</v>
          </cell>
          <cell r="DI6" t="str">
            <v>Blood transfusion</v>
          </cell>
          <cell r="DJ6" t="str">
            <v>Ectopic pregnancy case management</v>
          </cell>
          <cell r="DK6" t="str">
            <v>Immediate drying and additional stimulation</v>
          </cell>
          <cell r="DL6" t="str">
            <v>Thermal protection</v>
          </cell>
          <cell r="DM6" t="str">
            <v>Clean cord care</v>
          </cell>
          <cell r="DN6" t="str">
            <v>Neonatal resuscitation</v>
          </cell>
          <cell r="DO6" t="str">
            <v>Kangaroo-Mother Care (KMC)</v>
          </cell>
          <cell r="DP6" t="str">
            <v>Full supportive care of prematurity</v>
          </cell>
          <cell r="DQ6" t="str">
            <v>Oral antibiotics for neonatal sepsis</v>
          </cell>
          <cell r="DR6" t="str">
            <v>Injectable antibiotics for neonatal sepsis</v>
          </cell>
          <cell r="DS6" t="str">
            <v>Full supportive care for neonatal sepsis/pneumonia</v>
          </cell>
          <cell r="DT6" t="str">
            <v>Breastfeeding</v>
          </cell>
          <cell r="DU6" t="str">
            <v>Complementary feeding - Education only</v>
          </cell>
          <cell r="DV6" t="str">
            <v>Complementary feeding - Supplementary feeding + Education</v>
          </cell>
          <cell r="DW6" t="str">
            <v>BCG - Single dose</v>
          </cell>
          <cell r="DX6" t="str">
            <v>Polio - Three doses</v>
          </cell>
          <cell r="DY6" t="str">
            <v>DPT - Three doses</v>
          </cell>
          <cell r="DZ6" t="str">
            <v>Hib - Three doses</v>
          </cell>
          <cell r="EA6" t="str">
            <v>HepB - Three doses</v>
          </cell>
          <cell r="EB6" t="str">
            <v>Pneumococcal - Three doses</v>
          </cell>
          <cell r="EC6" t="str">
            <v>Rotavirus - Two doses</v>
          </cell>
          <cell r="ED6" t="str">
            <v>Meningococcal A - Single dose</v>
          </cell>
          <cell r="EE6" t="str">
            <v>Malaria vaccine - Three doses</v>
          </cell>
          <cell r="EF6" t="str">
            <v>Measles - Single dose</v>
          </cell>
          <cell r="EG6" t="str">
            <v>Vitamin A supplementation</v>
          </cell>
          <cell r="EH6" t="str">
            <v>Zinc supplementation</v>
          </cell>
          <cell r="EI6" t="str">
            <v>ORS - Oral Rehydration Solution</v>
          </cell>
          <cell r="EJ6" t="str">
            <v>Antibiotics for treatment of dysentery</v>
          </cell>
          <cell r="EK6" t="str">
            <v>Zinc for treatment of diarrhea</v>
          </cell>
          <cell r="EL6" t="str">
            <v>Oral antibiotics for pneumonia</v>
          </cell>
          <cell r="EM6" t="str">
            <v>Vitamin A for treatment of measles</v>
          </cell>
          <cell r="EN6" t="str">
            <v>ACTs - Artemisinin compounds for treatment of malaria</v>
          </cell>
          <cell r="EO6" t="str">
            <v>SAM - treatment for severe acute malnutrition</v>
          </cell>
          <cell r="EP6" t="str">
            <v>MAM - treatment for moderate acute malnutrition</v>
          </cell>
          <cell r="EQ6" t="str">
            <v>ITN/IRS - Households protected from malaria</v>
          </cell>
          <cell r="ES6" t="str">
            <v>FP - Pills</v>
          </cell>
          <cell r="ET6" t="str">
            <v>FP - Condoms</v>
          </cell>
          <cell r="EU6" t="str">
            <v>FP - Injectables</v>
          </cell>
          <cell r="EV6" t="str">
            <v>FP - Implants</v>
          </cell>
          <cell r="EW6" t="str">
            <v>FP - IUD</v>
          </cell>
          <cell r="EX6" t="str">
            <v>FP - Female Sterilization</v>
          </cell>
          <cell r="EY6" t="str">
            <v>FP - Male Sterilization</v>
          </cell>
          <cell r="EZ6" t="str">
            <v>FP - Traditional Methods</v>
          </cell>
          <cell r="FA6" t="str">
            <v>Antenatal care (at least 1 visit)</v>
          </cell>
          <cell r="FB6" t="str">
            <v>Antenatal care (at least 4 visits)</v>
          </cell>
          <cell r="FC6" t="str">
            <v>TT - Tetanus toxoid vaccination</v>
          </cell>
          <cell r="FD6" t="str">
            <v>IPTp - Intermittent preventive treatment of malaria during pregnancy</v>
          </cell>
          <cell r="FE6" t="str">
            <v>Syphilis detection and treatment</v>
          </cell>
          <cell r="FF6" t="str">
            <v>Calcium supplementation</v>
          </cell>
          <cell r="FG6" t="str">
            <v>Iron and folate supplementation in pregnancy</v>
          </cell>
          <cell r="FH6" t="str">
            <v>Multiple micronutrient supplementation in pregnancy</v>
          </cell>
          <cell r="FI6" t="str">
            <v>Balanced energy supplementation</v>
          </cell>
          <cell r="FJ6" t="str">
            <v>Hypertensive disorder case management</v>
          </cell>
          <cell r="FK6" t="str">
            <v>Diabetes case management</v>
          </cell>
          <cell r="FL6" t="str">
            <v>Malaria case management</v>
          </cell>
          <cell r="FM6" t="str">
            <v>MgSO4 management of pre-eclampsia</v>
          </cell>
          <cell r="FN6" t="str">
            <v>Health Facility Delivery</v>
          </cell>
          <cell r="FO6" t="str">
            <v>Clean birth environment</v>
          </cell>
          <cell r="FP6" t="str">
            <v>Manual removal of placenta</v>
          </cell>
          <cell r="FQ6" t="str">
            <v>MgSO4 management of eclampsia</v>
          </cell>
          <cell r="FR6" t="str">
            <v>Antibiotics for preterm or prolonged PROM</v>
          </cell>
          <cell r="FS6" t="str">
            <v>Parenteral administration of antibiotics</v>
          </cell>
          <cell r="FT6" t="str">
            <v>Assisted vaginal delivery</v>
          </cell>
          <cell r="FU6" t="str">
            <v>Active management of third stage of labor (AMTSL)</v>
          </cell>
          <cell r="FV6" t="str">
            <v>Removal of retained products of conception</v>
          </cell>
          <cell r="FW6" t="str">
            <v>Induction of labor for pregnancies lasting 41+ weeks</v>
          </cell>
          <cell r="FX6" t="str">
            <v>Antenatal corticosteroids for preterm labor</v>
          </cell>
          <cell r="FY6" t="str">
            <v>Maternal sepsis case management</v>
          </cell>
          <cell r="FZ6" t="str">
            <v>Safe abortion services</v>
          </cell>
          <cell r="GA6" t="str">
            <v>Post abortion case management</v>
          </cell>
          <cell r="GB6" t="str">
            <v>Cesarean delivery</v>
          </cell>
          <cell r="GC6" t="str">
            <v>Blood transfusion</v>
          </cell>
          <cell r="GD6" t="str">
            <v>Ectopic pregnancy case management</v>
          </cell>
          <cell r="GE6" t="str">
            <v>Immediate drying and additional stimulation</v>
          </cell>
          <cell r="GF6" t="str">
            <v>Thermal protection</v>
          </cell>
          <cell r="GG6" t="str">
            <v>Clean cord care</v>
          </cell>
          <cell r="GH6" t="str">
            <v>Neonatal resuscitation</v>
          </cell>
          <cell r="GI6" t="str">
            <v>Kangaroo-Mother Care (KMC)</v>
          </cell>
          <cell r="GJ6" t="str">
            <v>Full supportive care of prematurity</v>
          </cell>
          <cell r="GK6" t="str">
            <v>Oral antibiotics for neonatal sepsis</v>
          </cell>
          <cell r="GL6" t="str">
            <v>Injectable antibiotics for neonatal sepsis</v>
          </cell>
          <cell r="GM6" t="str">
            <v>Full supportive care for neonatal sepsis/pneumonia</v>
          </cell>
          <cell r="GN6" t="str">
            <v>Breastfeeding</v>
          </cell>
          <cell r="GO6" t="str">
            <v>Complementary feeding - Education only</v>
          </cell>
          <cell r="GP6" t="str">
            <v>Complementary feeding - Supplementary feeding + Education</v>
          </cell>
          <cell r="GQ6" t="str">
            <v>BCG - Single dose</v>
          </cell>
          <cell r="GR6" t="str">
            <v>Polio - Three doses</v>
          </cell>
          <cell r="GS6" t="str">
            <v>DPT - Three doses</v>
          </cell>
          <cell r="GT6" t="str">
            <v>Hib - Three doses</v>
          </cell>
          <cell r="GU6" t="str">
            <v>HepB - Three doses</v>
          </cell>
          <cell r="GV6" t="str">
            <v>Pneumococcal - Three doses</v>
          </cell>
          <cell r="GW6" t="str">
            <v>Rotavirus - Two doses</v>
          </cell>
          <cell r="GX6" t="str">
            <v>Meningococcal A - Single dose</v>
          </cell>
          <cell r="GY6" t="str">
            <v>Malaria vaccine - Three doses</v>
          </cell>
          <cell r="GZ6" t="str">
            <v>Measles - Single dose</v>
          </cell>
          <cell r="HA6" t="str">
            <v>Vitamin A supplementation</v>
          </cell>
          <cell r="HB6" t="str">
            <v>Zinc supplementation</v>
          </cell>
          <cell r="HC6" t="str">
            <v>ORS - Oral Rehydration Solution</v>
          </cell>
          <cell r="HD6" t="str">
            <v>Antibiotics for treatment of dysentery</v>
          </cell>
          <cell r="HE6" t="str">
            <v>Zinc for treatment of diarrhea</v>
          </cell>
          <cell r="HF6" t="str">
            <v>Oral antibiotics for pneumonia</v>
          </cell>
          <cell r="HG6" t="str">
            <v>Vitamin A for treatment of measles</v>
          </cell>
          <cell r="HH6" t="str">
            <v>ACTs - Artemisinin compounds for treatment of malaria</v>
          </cell>
          <cell r="HI6" t="str">
            <v>SAM - treatment for severe acute malnutrition</v>
          </cell>
          <cell r="HJ6" t="str">
            <v>MAM - treatment for moderate acute malnutrition</v>
          </cell>
          <cell r="HK6" t="str">
            <v>ITN/IRS - Households protected from malaria</v>
          </cell>
        </row>
        <row r="7"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0.05</v>
          </cell>
          <cell r="CH7">
            <v>0.05</v>
          </cell>
          <cell r="CI7">
            <v>0.05</v>
          </cell>
          <cell r="CJ7">
            <v>0.05</v>
          </cell>
          <cell r="CK7">
            <v>0.05</v>
          </cell>
          <cell r="CL7">
            <v>0.05</v>
          </cell>
          <cell r="CM7">
            <v>0.05</v>
          </cell>
          <cell r="CN7">
            <v>0</v>
          </cell>
          <cell r="CO7">
            <v>0.05</v>
          </cell>
          <cell r="CP7">
            <v>0.05</v>
          </cell>
          <cell r="CQ7">
            <v>0</v>
          </cell>
          <cell r="CR7">
            <v>0</v>
          </cell>
          <cell r="CS7">
            <v>0.05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H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0.1</v>
          </cell>
          <cell r="DX7">
            <v>0.1</v>
          </cell>
          <cell r="DY7">
            <v>0.1</v>
          </cell>
          <cell r="DZ7">
            <v>0.1</v>
          </cell>
          <cell r="EA7">
            <v>0.1</v>
          </cell>
          <cell r="EB7">
            <v>0.1</v>
          </cell>
          <cell r="EC7">
            <v>0.1</v>
          </cell>
          <cell r="ED7">
            <v>0.1</v>
          </cell>
          <cell r="EE7">
            <v>0.1</v>
          </cell>
          <cell r="EF7">
            <v>0.1</v>
          </cell>
          <cell r="EG7">
            <v>0.1</v>
          </cell>
          <cell r="EH7">
            <v>0.1</v>
          </cell>
          <cell r="EI7">
            <v>0.1</v>
          </cell>
          <cell r="EJ7">
            <v>0.1</v>
          </cell>
          <cell r="EK7">
            <v>0.1</v>
          </cell>
          <cell r="EL7">
            <v>0.1</v>
          </cell>
          <cell r="EM7">
            <v>0.1</v>
          </cell>
          <cell r="EN7">
            <v>0.1</v>
          </cell>
          <cell r="EO7">
            <v>0</v>
          </cell>
          <cell r="EP7">
            <v>0</v>
          </cell>
          <cell r="EQ7">
            <v>0</v>
          </cell>
          <cell r="ES7">
            <v>0.89</v>
          </cell>
          <cell r="ET7">
            <v>0.89</v>
          </cell>
          <cell r="EU7">
            <v>0.89</v>
          </cell>
          <cell r="EV7">
            <v>0.89</v>
          </cell>
          <cell r="EW7">
            <v>0.89</v>
          </cell>
          <cell r="EX7">
            <v>0.89</v>
          </cell>
          <cell r="EY7">
            <v>0.89</v>
          </cell>
          <cell r="EZ7">
            <v>0.89</v>
          </cell>
          <cell r="FA7">
            <v>0.87</v>
          </cell>
          <cell r="FB7">
            <v>0.87</v>
          </cell>
          <cell r="FC7">
            <v>0.87</v>
          </cell>
          <cell r="FD7">
            <v>0.87</v>
          </cell>
          <cell r="FE7">
            <v>0.87</v>
          </cell>
          <cell r="FF7">
            <v>0.87</v>
          </cell>
          <cell r="FG7">
            <v>0.87</v>
          </cell>
          <cell r="FH7">
            <v>0.87</v>
          </cell>
          <cell r="FI7">
            <v>0.87</v>
          </cell>
          <cell r="FJ7">
            <v>0.87</v>
          </cell>
          <cell r="FK7">
            <v>0.87</v>
          </cell>
          <cell r="FL7">
            <v>0.87</v>
          </cell>
          <cell r="FM7">
            <v>0.87</v>
          </cell>
          <cell r="FN7">
            <v>0.77</v>
          </cell>
          <cell r="FO7">
            <v>0.77</v>
          </cell>
          <cell r="FP7">
            <v>0.77</v>
          </cell>
          <cell r="FQ7">
            <v>0.77</v>
          </cell>
          <cell r="FR7">
            <v>0.77</v>
          </cell>
          <cell r="FS7">
            <v>0.77</v>
          </cell>
          <cell r="FT7">
            <v>0.77</v>
          </cell>
          <cell r="FU7">
            <v>0.77</v>
          </cell>
          <cell r="FV7">
            <v>0.77</v>
          </cell>
          <cell r="FW7">
            <v>0.77</v>
          </cell>
          <cell r="FX7">
            <v>0.77</v>
          </cell>
          <cell r="FY7">
            <v>0.77</v>
          </cell>
          <cell r="FZ7">
            <v>0.77</v>
          </cell>
          <cell r="GA7">
            <v>0.77</v>
          </cell>
          <cell r="GB7">
            <v>0.77</v>
          </cell>
          <cell r="GC7">
            <v>0.77</v>
          </cell>
          <cell r="GD7">
            <v>0.77</v>
          </cell>
          <cell r="GE7">
            <v>0.79</v>
          </cell>
          <cell r="GF7">
            <v>0.79</v>
          </cell>
          <cell r="GG7">
            <v>0.79</v>
          </cell>
          <cell r="GH7">
            <v>0.79</v>
          </cell>
          <cell r="GI7">
            <v>0.79</v>
          </cell>
          <cell r="GJ7">
            <v>0.79</v>
          </cell>
          <cell r="GK7">
            <v>0.79</v>
          </cell>
          <cell r="GL7">
            <v>0.79</v>
          </cell>
          <cell r="GM7">
            <v>0.79</v>
          </cell>
          <cell r="GN7">
            <v>0.87</v>
          </cell>
          <cell r="GO7">
            <v>0.87</v>
          </cell>
          <cell r="GP7">
            <v>0.87</v>
          </cell>
          <cell r="GQ7">
            <v>0.87</v>
          </cell>
          <cell r="GR7">
            <v>0.87</v>
          </cell>
          <cell r="GS7">
            <v>0.87</v>
          </cell>
          <cell r="GT7">
            <v>0.87</v>
          </cell>
          <cell r="GU7">
            <v>0.87</v>
          </cell>
          <cell r="GV7">
            <v>0.87</v>
          </cell>
          <cell r="GW7">
            <v>0.87</v>
          </cell>
          <cell r="GX7">
            <v>0.87</v>
          </cell>
          <cell r="GY7">
            <v>0.87</v>
          </cell>
          <cell r="GZ7">
            <v>0.87</v>
          </cell>
          <cell r="HA7">
            <v>0.89</v>
          </cell>
          <cell r="HB7">
            <v>0.89</v>
          </cell>
          <cell r="HC7">
            <v>0.89</v>
          </cell>
          <cell r="HD7">
            <v>0.89</v>
          </cell>
          <cell r="HE7">
            <v>0.89</v>
          </cell>
          <cell r="HF7">
            <v>0.89</v>
          </cell>
          <cell r="HG7">
            <v>0.89</v>
          </cell>
          <cell r="HH7">
            <v>0.89</v>
          </cell>
          <cell r="HI7">
            <v>0</v>
          </cell>
          <cell r="HJ7">
            <v>0</v>
          </cell>
          <cell r="HK7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5">
          <cell r="B5">
            <v>1</v>
          </cell>
          <cell r="C5">
            <v>7</v>
          </cell>
          <cell r="E5" t="str">
            <v>FP - Pills</v>
          </cell>
          <cell r="F5">
            <v>0.166351625</v>
          </cell>
          <cell r="G5">
            <v>0.13141778374999999</v>
          </cell>
          <cell r="H5">
            <v>0.13141778374999999</v>
          </cell>
          <cell r="I5">
            <v>0.1696786575</v>
          </cell>
          <cell r="J5">
            <v>0.14971646250000001</v>
          </cell>
          <cell r="K5">
            <v>0.229066187625</v>
          </cell>
          <cell r="L5">
            <v>175100</v>
          </cell>
          <cell r="M5">
            <v>141600</v>
          </cell>
          <cell r="N5">
            <v>145100</v>
          </cell>
          <cell r="O5">
            <v>187400</v>
          </cell>
          <cell r="P5">
            <v>165400</v>
          </cell>
          <cell r="Q5">
            <v>253000</v>
          </cell>
          <cell r="R5">
            <v>-33500</v>
          </cell>
          <cell r="S5">
            <v>42300</v>
          </cell>
          <cell r="T5">
            <v>87600</v>
          </cell>
        </row>
        <row r="6">
          <cell r="B6">
            <v>2</v>
          </cell>
          <cell r="C6">
            <v>1</v>
          </cell>
          <cell r="E6" t="str">
            <v>FP - Condoms</v>
          </cell>
          <cell r="F6">
            <v>3.3270325000000003E-2</v>
          </cell>
          <cell r="G6">
            <v>2.6283556749999999E-2</v>
          </cell>
          <cell r="H6">
            <v>2.6283556749999999E-2</v>
          </cell>
          <cell r="I6">
            <v>3.3935731500000003E-2</v>
          </cell>
          <cell r="J6">
            <v>2.99432925E-2</v>
          </cell>
          <cell r="K6">
            <v>4.5813237525000002E-2</v>
          </cell>
          <cell r="L6">
            <v>7000</v>
          </cell>
          <cell r="M6">
            <v>5700</v>
          </cell>
          <cell r="N6">
            <v>5800</v>
          </cell>
          <cell r="O6">
            <v>7500</v>
          </cell>
          <cell r="P6">
            <v>6600</v>
          </cell>
          <cell r="Q6">
            <v>10100</v>
          </cell>
          <cell r="R6">
            <v>-1300</v>
          </cell>
          <cell r="S6">
            <v>1700</v>
          </cell>
          <cell r="T6">
            <v>3500</v>
          </cell>
        </row>
        <row r="7">
          <cell r="B7">
            <v>3</v>
          </cell>
          <cell r="C7">
            <v>4</v>
          </cell>
          <cell r="E7" t="str">
            <v>FP - Injectables</v>
          </cell>
          <cell r="F7">
            <v>4.05482E-2</v>
          </cell>
          <cell r="G7">
            <v>3.2033078E-2</v>
          </cell>
          <cell r="H7">
            <v>3.2033078E-2</v>
          </cell>
          <cell r="I7">
            <v>4.1359163999999997E-2</v>
          </cell>
          <cell r="J7">
            <v>3.6493379999999999E-2</v>
          </cell>
          <cell r="K7">
            <v>5.58348714E-2</v>
          </cell>
          <cell r="L7">
            <v>10400</v>
          </cell>
          <cell r="M7">
            <v>8400</v>
          </cell>
          <cell r="N7">
            <v>8600</v>
          </cell>
          <cell r="O7">
            <v>11100</v>
          </cell>
          <cell r="P7">
            <v>9800</v>
          </cell>
          <cell r="Q7">
            <v>15000</v>
          </cell>
          <cell r="R7">
            <v>-2000</v>
          </cell>
          <cell r="S7">
            <v>2500</v>
          </cell>
          <cell r="T7">
            <v>5200</v>
          </cell>
        </row>
        <row r="8">
          <cell r="B8">
            <v>4</v>
          </cell>
          <cell r="C8">
            <v>5</v>
          </cell>
          <cell r="E8" t="str">
            <v>FP - Implants</v>
          </cell>
          <cell r="F8">
            <v>2.079385E-3</v>
          </cell>
          <cell r="G8">
            <v>1.64271415E-3</v>
          </cell>
          <cell r="H8">
            <v>1.64271415E-3</v>
          </cell>
          <cell r="I8">
            <v>2.1209726999999999E-3</v>
          </cell>
          <cell r="J8">
            <v>1.8714465000000001E-3</v>
          </cell>
          <cell r="K8">
            <v>2.863313145E-3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B9">
            <v>5</v>
          </cell>
          <cell r="C9">
            <v>6</v>
          </cell>
          <cell r="E9" t="str">
            <v>FP - IUD</v>
          </cell>
          <cell r="F9">
            <v>9.1493379999999999E-2</v>
          </cell>
          <cell r="G9">
            <v>7.2279770199999996E-2</v>
          </cell>
          <cell r="H9">
            <v>7.2279770199999996E-2</v>
          </cell>
          <cell r="I9">
            <v>9.3323247600000006E-2</v>
          </cell>
          <cell r="J9">
            <v>8.2344042000000006E-2</v>
          </cell>
          <cell r="K9">
            <v>0.12598638426</v>
          </cell>
          <cell r="L9">
            <v>53000</v>
          </cell>
          <cell r="M9">
            <v>42800</v>
          </cell>
          <cell r="N9">
            <v>43900</v>
          </cell>
          <cell r="O9">
            <v>56700</v>
          </cell>
          <cell r="P9">
            <v>50000</v>
          </cell>
          <cell r="Q9">
            <v>76500</v>
          </cell>
          <cell r="R9">
            <v>-10200</v>
          </cell>
          <cell r="S9">
            <v>12800</v>
          </cell>
          <cell r="T9">
            <v>26500</v>
          </cell>
        </row>
        <row r="10">
          <cell r="B10">
            <v>6</v>
          </cell>
          <cell r="C10">
            <v>2</v>
          </cell>
          <cell r="E10" t="str">
            <v>FP - Female Sterilization</v>
          </cell>
          <cell r="F10">
            <v>3.119094E-2</v>
          </cell>
          <cell r="G10">
            <v>2.4640842600000001E-2</v>
          </cell>
          <cell r="H10">
            <v>2.4640842600000001E-2</v>
          </cell>
          <cell r="I10">
            <v>3.1814758800000002E-2</v>
          </cell>
          <cell r="J10">
            <v>2.8071846000000001E-2</v>
          </cell>
          <cell r="K10">
            <v>4.2949924379999997E-2</v>
          </cell>
          <cell r="L10">
            <v>6200</v>
          </cell>
          <cell r="M10">
            <v>5000</v>
          </cell>
          <cell r="N10">
            <v>5100</v>
          </cell>
          <cell r="O10">
            <v>6600</v>
          </cell>
          <cell r="P10">
            <v>5800</v>
          </cell>
          <cell r="Q10">
            <v>8900</v>
          </cell>
          <cell r="R10">
            <v>-1200</v>
          </cell>
          <cell r="S10">
            <v>1500</v>
          </cell>
          <cell r="T10">
            <v>3100</v>
          </cell>
        </row>
        <row r="11">
          <cell r="B11">
            <v>7</v>
          </cell>
          <cell r="C11">
            <v>3</v>
          </cell>
          <cell r="E11" t="str">
            <v>FP - Male Sterilization</v>
          </cell>
          <cell r="F11">
            <v>1.0397200000000001E-3</v>
          </cell>
          <cell r="G11">
            <v>8.2137880000000005E-4</v>
          </cell>
          <cell r="H11">
            <v>8.2137880000000005E-4</v>
          </cell>
          <cell r="I11">
            <v>1.0605144E-3</v>
          </cell>
          <cell r="J11">
            <v>9.3574800000000003E-4</v>
          </cell>
          <cell r="K11">
            <v>1.43169444E-3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B12">
            <v>8</v>
          </cell>
          <cell r="C12">
            <v>8</v>
          </cell>
          <cell r="E12" t="str">
            <v>FP - Traditional Methods + Other</v>
          </cell>
          <cell r="F12">
            <v>0.17362949999999999</v>
          </cell>
          <cell r="G12">
            <v>0.13716730499999999</v>
          </cell>
          <cell r="H12">
            <v>0.13716730499999999</v>
          </cell>
          <cell r="I12">
            <v>0.17710208999999999</v>
          </cell>
          <cell r="J12">
            <v>0.15626655</v>
          </cell>
          <cell r="K12">
            <v>0.23908782149999999</v>
          </cell>
          <cell r="L12">
            <v>190800</v>
          </cell>
          <cell r="M12">
            <v>154300</v>
          </cell>
          <cell r="N12">
            <v>158100</v>
          </cell>
          <cell r="O12">
            <v>204200</v>
          </cell>
          <cell r="P12">
            <v>180100</v>
          </cell>
          <cell r="Q12">
            <v>275600</v>
          </cell>
          <cell r="R12">
            <v>-36500</v>
          </cell>
          <cell r="S12">
            <v>46100</v>
          </cell>
          <cell r="T12">
            <v>95500</v>
          </cell>
        </row>
        <row r="13">
          <cell r="B13">
            <v>9</v>
          </cell>
          <cell r="C13">
            <v>14</v>
          </cell>
          <cell r="D13" t="str">
            <v>Pregnancy/ Antenatal</v>
          </cell>
          <cell r="E13" t="str">
            <v>Antenatal care (at least 1 visit)</v>
          </cell>
          <cell r="F13">
            <v>0.876</v>
          </cell>
          <cell r="G13">
            <v>0.54312000000000005</v>
          </cell>
          <cell r="H13">
            <v>0.54312000000000005</v>
          </cell>
          <cell r="I13">
            <v>0.77666159999999995</v>
          </cell>
          <cell r="J13">
            <v>0.78839999999999999</v>
          </cell>
          <cell r="K13">
            <v>1</v>
          </cell>
          <cell r="L13">
            <v>1334200</v>
          </cell>
          <cell r="M13">
            <v>837300</v>
          </cell>
          <cell r="N13">
            <v>1005100</v>
          </cell>
          <cell r="O13">
            <v>1202200</v>
          </cell>
          <cell r="P13">
            <v>1702700</v>
          </cell>
          <cell r="Q13" t="e">
            <v>#VALUE!</v>
          </cell>
          <cell r="R13">
            <v>-496900</v>
          </cell>
          <cell r="S13">
            <v>197100</v>
          </cell>
          <cell r="T13" t="e">
            <v>#VALUE!</v>
          </cell>
        </row>
        <row r="14">
          <cell r="B14">
            <v>10</v>
          </cell>
          <cell r="C14">
            <v>15</v>
          </cell>
          <cell r="E14" t="str">
            <v>Antenatal care (at least 4 visits)</v>
          </cell>
          <cell r="F14">
            <v>0.67900000000000005</v>
          </cell>
          <cell r="G14">
            <v>0.42098000000000002</v>
          </cell>
          <cell r="H14">
            <v>0.42098000000000002</v>
          </cell>
          <cell r="I14">
            <v>0.60200140000000002</v>
          </cell>
          <cell r="J14">
            <v>0.61109999999999998</v>
          </cell>
          <cell r="K14">
            <v>0.87387300000000001</v>
          </cell>
          <cell r="L14">
            <v>1034200</v>
          </cell>
          <cell r="M14">
            <v>649000</v>
          </cell>
          <cell r="N14">
            <v>779100</v>
          </cell>
          <cell r="O14">
            <v>931800</v>
          </cell>
          <cell r="P14">
            <v>1319800</v>
          </cell>
          <cell r="Q14" t="e">
            <v>#VALUE!</v>
          </cell>
          <cell r="R14">
            <v>-385200</v>
          </cell>
          <cell r="S14">
            <v>152700</v>
          </cell>
          <cell r="T14" t="e">
            <v>#VALUE!</v>
          </cell>
        </row>
        <row r="15">
          <cell r="B15">
            <v>11</v>
          </cell>
          <cell r="C15">
            <v>16</v>
          </cell>
          <cell r="E15" t="str">
            <v>TT - Tetanus toxoid vaccination</v>
          </cell>
          <cell r="F15">
            <v>0.75</v>
          </cell>
          <cell r="G15">
            <v>0.46500000000000002</v>
          </cell>
          <cell r="H15">
            <v>0.46500000000000002</v>
          </cell>
          <cell r="I15">
            <v>0.66495000000000004</v>
          </cell>
          <cell r="J15">
            <v>0.67500000000000004</v>
          </cell>
          <cell r="K15">
            <v>0.96525000000000005</v>
          </cell>
          <cell r="L15">
            <v>1142300</v>
          </cell>
          <cell r="M15">
            <v>716900</v>
          </cell>
          <cell r="N15">
            <v>860600</v>
          </cell>
          <cell r="O15">
            <v>1029200</v>
          </cell>
          <cell r="P15">
            <v>1457800</v>
          </cell>
          <cell r="Q15" t="e">
            <v>#VALUE!</v>
          </cell>
          <cell r="R15">
            <v>-425400</v>
          </cell>
          <cell r="S15">
            <v>168600</v>
          </cell>
          <cell r="T15" t="e">
            <v>#VALUE!</v>
          </cell>
        </row>
        <row r="16">
          <cell r="B16">
            <v>12</v>
          </cell>
          <cell r="C16">
            <v>17</v>
          </cell>
          <cell r="E16" t="str">
            <v>IPTp - Intermittent preventive treatment of malaria during pregnancy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e">
            <v>#VALUE!</v>
          </cell>
          <cell r="R16">
            <v>0</v>
          </cell>
          <cell r="S16">
            <v>0</v>
          </cell>
          <cell r="T16" t="e">
            <v>#VALUE!</v>
          </cell>
        </row>
        <row r="17">
          <cell r="B17">
            <v>13</v>
          </cell>
          <cell r="C17">
            <v>18</v>
          </cell>
          <cell r="E17" t="str">
            <v>Syphilis detection and treatment</v>
          </cell>
          <cell r="F17">
            <v>0.217</v>
          </cell>
          <cell r="G17">
            <v>0.13453999999999999</v>
          </cell>
          <cell r="H17">
            <v>0.13453999999999999</v>
          </cell>
          <cell r="I17">
            <v>0.19239220000000001</v>
          </cell>
          <cell r="J17">
            <v>0.1953</v>
          </cell>
          <cell r="K17">
            <v>0.279279</v>
          </cell>
          <cell r="L17">
            <v>330500</v>
          </cell>
          <cell r="M17">
            <v>207400</v>
          </cell>
          <cell r="N17">
            <v>249000</v>
          </cell>
          <cell r="O17">
            <v>297800</v>
          </cell>
          <cell r="P17">
            <v>421800</v>
          </cell>
          <cell r="Q17" t="e">
            <v>#VALUE!</v>
          </cell>
          <cell r="R17">
            <v>-123100</v>
          </cell>
          <cell r="S17">
            <v>48800</v>
          </cell>
          <cell r="T17" t="e">
            <v>#VALUE!</v>
          </cell>
        </row>
        <row r="18">
          <cell r="B18">
            <v>14</v>
          </cell>
          <cell r="C18">
            <v>19</v>
          </cell>
          <cell r="E18" t="str">
            <v>Calcium supplementation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e">
            <v>#VALUE!</v>
          </cell>
          <cell r="R18">
            <v>0</v>
          </cell>
          <cell r="S18">
            <v>0</v>
          </cell>
          <cell r="T18" t="e">
            <v>#VALUE!</v>
          </cell>
        </row>
        <row r="19">
          <cell r="B19">
            <v>15</v>
          </cell>
          <cell r="C19">
            <v>20</v>
          </cell>
          <cell r="E19" t="str">
            <v>Iron and folate supplementation in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e">
            <v>#VALUE!</v>
          </cell>
          <cell r="R19">
            <v>0</v>
          </cell>
          <cell r="S19">
            <v>0</v>
          </cell>
          <cell r="T19" t="e">
            <v>#VALUE!</v>
          </cell>
        </row>
        <row r="20">
          <cell r="B20">
            <v>16</v>
          </cell>
          <cell r="C20">
            <v>21</v>
          </cell>
          <cell r="E20" t="str">
            <v>Multiple micronutrient supplementation in pregnancy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e">
            <v>#VALUE!</v>
          </cell>
          <cell r="R20">
            <v>0</v>
          </cell>
          <cell r="S20">
            <v>0</v>
          </cell>
          <cell r="T20" t="e">
            <v>#VALUE!</v>
          </cell>
        </row>
        <row r="21">
          <cell r="B21">
            <v>17</v>
          </cell>
          <cell r="C21">
            <v>22</v>
          </cell>
          <cell r="E21" t="str">
            <v>Balanced energy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 t="e">
            <v>#VALUE!</v>
          </cell>
          <cell r="R21">
            <v>0</v>
          </cell>
          <cell r="S21">
            <v>0</v>
          </cell>
          <cell r="T21" t="e">
            <v>#VALUE!</v>
          </cell>
        </row>
        <row r="22">
          <cell r="B22">
            <v>18</v>
          </cell>
          <cell r="C22">
            <v>23</v>
          </cell>
          <cell r="E22" t="str">
            <v>Hypertensive disorder case management</v>
          </cell>
          <cell r="F22">
            <v>0.16300000000000001</v>
          </cell>
          <cell r="G22">
            <v>0.10106</v>
          </cell>
          <cell r="H22">
            <v>0.10106</v>
          </cell>
          <cell r="I22">
            <v>0.1445158</v>
          </cell>
          <cell r="J22">
            <v>0.1467</v>
          </cell>
          <cell r="K22">
            <v>0.209781</v>
          </cell>
          <cell r="L22">
            <v>12400</v>
          </cell>
          <cell r="M22">
            <v>7800</v>
          </cell>
          <cell r="N22">
            <v>9400</v>
          </cell>
          <cell r="O22">
            <v>11200</v>
          </cell>
          <cell r="P22">
            <v>15800</v>
          </cell>
          <cell r="Q22" t="e">
            <v>#VALUE!</v>
          </cell>
          <cell r="R22">
            <v>-4600</v>
          </cell>
          <cell r="S22">
            <v>1800</v>
          </cell>
          <cell r="T22" t="e">
            <v>#VALUE!</v>
          </cell>
        </row>
        <row r="23">
          <cell r="B23">
            <v>19</v>
          </cell>
          <cell r="C23">
            <v>24</v>
          </cell>
          <cell r="E23" t="str">
            <v>Diabetes case management</v>
          </cell>
          <cell r="F23">
            <v>0.127</v>
          </cell>
          <cell r="G23">
            <v>7.8740000000000004E-2</v>
          </cell>
          <cell r="H23">
            <v>7.8740000000000004E-2</v>
          </cell>
          <cell r="I23">
            <v>0.1086612</v>
          </cell>
          <cell r="J23">
            <v>0.1143</v>
          </cell>
          <cell r="K23">
            <v>0.15773400000000001</v>
          </cell>
          <cell r="L23">
            <v>17200</v>
          </cell>
          <cell r="M23">
            <v>10800</v>
          </cell>
          <cell r="N23">
            <v>13000</v>
          </cell>
          <cell r="O23">
            <v>15000</v>
          </cell>
          <cell r="P23">
            <v>22000</v>
          </cell>
          <cell r="Q23" t="e">
            <v>#VALUE!</v>
          </cell>
          <cell r="R23">
            <v>-6400</v>
          </cell>
          <cell r="S23">
            <v>2000</v>
          </cell>
          <cell r="T23" t="e">
            <v>#VALUE!</v>
          </cell>
        </row>
        <row r="24">
          <cell r="B24">
            <v>20</v>
          </cell>
          <cell r="C24">
            <v>25</v>
          </cell>
          <cell r="E24" t="str">
            <v>Malaria case management</v>
          </cell>
          <cell r="F24">
            <v>0.52700000000000002</v>
          </cell>
          <cell r="G24">
            <v>0.32673999999999997</v>
          </cell>
          <cell r="H24">
            <v>0.32673999999999997</v>
          </cell>
          <cell r="I24">
            <v>0.4509012</v>
          </cell>
          <cell r="J24">
            <v>0.4743</v>
          </cell>
          <cell r="K24">
            <v>0.65453399999999995</v>
          </cell>
          <cell r="L24">
            <v>17700</v>
          </cell>
          <cell r="M24">
            <v>11100</v>
          </cell>
          <cell r="N24">
            <v>11200</v>
          </cell>
          <cell r="O24">
            <v>15400</v>
          </cell>
          <cell r="P24">
            <v>22500</v>
          </cell>
          <cell r="Q24" t="e">
            <v>#VALUE!</v>
          </cell>
          <cell r="R24">
            <v>-6600</v>
          </cell>
          <cell r="S24">
            <v>4200</v>
          </cell>
          <cell r="T24" t="e">
            <v>#VALUE!</v>
          </cell>
        </row>
        <row r="25">
          <cell r="B25">
            <v>21</v>
          </cell>
          <cell r="C25">
            <v>26</v>
          </cell>
          <cell r="E25" t="str">
            <v>MgSO4 management of pre-eclampsia</v>
          </cell>
          <cell r="F25">
            <v>0.32300000000000001</v>
          </cell>
          <cell r="G25">
            <v>0.20025999999999999</v>
          </cell>
          <cell r="H25">
            <v>0.20025999999999999</v>
          </cell>
          <cell r="I25">
            <v>0.28637180000000001</v>
          </cell>
          <cell r="J25">
            <v>0.29070000000000001</v>
          </cell>
          <cell r="K25">
            <v>0.41570099999999999</v>
          </cell>
          <cell r="L25">
            <v>1200</v>
          </cell>
          <cell r="M25">
            <v>800</v>
          </cell>
          <cell r="N25">
            <v>800</v>
          </cell>
          <cell r="O25">
            <v>1100</v>
          </cell>
          <cell r="P25">
            <v>1600</v>
          </cell>
          <cell r="Q25" t="e">
            <v>#VALUE!</v>
          </cell>
          <cell r="R25">
            <v>-400</v>
          </cell>
          <cell r="S25">
            <v>300</v>
          </cell>
          <cell r="T25" t="e">
            <v>#VALUE!</v>
          </cell>
        </row>
        <row r="26">
          <cell r="B26">
            <v>22</v>
          </cell>
          <cell r="C26">
            <v>27</v>
          </cell>
          <cell r="D26" t="str">
            <v>Delivery Care/ 
BEmoC/ 
CEmOC</v>
          </cell>
          <cell r="E26" t="str">
            <v>Health Facility Delivery</v>
          </cell>
          <cell r="F26">
            <v>0.86599999999999999</v>
          </cell>
          <cell r="G26">
            <v>0.83135999999999999</v>
          </cell>
          <cell r="H26">
            <v>0.83135999999999999</v>
          </cell>
          <cell r="I26">
            <v>0.88331999999999999</v>
          </cell>
          <cell r="J26">
            <v>0.77939999999999998</v>
          </cell>
          <cell r="K26">
            <v>1</v>
          </cell>
          <cell r="L26">
            <v>959300</v>
          </cell>
          <cell r="M26">
            <v>933100</v>
          </cell>
          <cell r="N26">
            <v>946500</v>
          </cell>
          <cell r="O26">
            <v>1002600</v>
          </cell>
          <cell r="P26">
            <v>1198900</v>
          </cell>
          <cell r="Q26" t="e">
            <v>#VALUE!</v>
          </cell>
          <cell r="R26">
            <v>-26200</v>
          </cell>
          <cell r="S26">
            <v>56100</v>
          </cell>
          <cell r="T26" t="e">
            <v>#VALUE!</v>
          </cell>
        </row>
        <row r="27">
          <cell r="B27">
            <v>23</v>
          </cell>
          <cell r="C27">
            <v>28</v>
          </cell>
          <cell r="E27" t="str">
            <v>Clean birth environment</v>
          </cell>
          <cell r="F27">
            <v>0.71</v>
          </cell>
          <cell r="G27">
            <v>0.68159999999999998</v>
          </cell>
          <cell r="H27">
            <v>0.68159999999999998</v>
          </cell>
          <cell r="I27">
            <v>0.72419999999999995</v>
          </cell>
          <cell r="J27">
            <v>0.63900000000000001</v>
          </cell>
          <cell r="K27">
            <v>0.84987000000000001</v>
          </cell>
          <cell r="L27">
            <v>786500</v>
          </cell>
          <cell r="M27">
            <v>765000</v>
          </cell>
          <cell r="N27">
            <v>776000</v>
          </cell>
          <cell r="O27">
            <v>822000</v>
          </cell>
          <cell r="P27">
            <v>982900</v>
          </cell>
          <cell r="Q27" t="e">
            <v>#VALUE!</v>
          </cell>
          <cell r="R27">
            <v>-21500</v>
          </cell>
          <cell r="S27">
            <v>46000</v>
          </cell>
          <cell r="T27" t="e">
            <v>#VALUE!</v>
          </cell>
        </row>
        <row r="28">
          <cell r="B28">
            <v>24</v>
          </cell>
          <cell r="C28">
            <v>32</v>
          </cell>
          <cell r="E28" t="str">
            <v>Manual removal of placenta</v>
          </cell>
          <cell r="F28">
            <v>0.32400000000000001</v>
          </cell>
          <cell r="G28">
            <v>0.31103999999999998</v>
          </cell>
          <cell r="H28">
            <v>0.31103999999999998</v>
          </cell>
          <cell r="I28">
            <v>0.33048</v>
          </cell>
          <cell r="J28">
            <v>0.29160000000000003</v>
          </cell>
          <cell r="K28">
            <v>0.38782800000000001</v>
          </cell>
          <cell r="L28">
            <v>7200</v>
          </cell>
          <cell r="M28">
            <v>7000</v>
          </cell>
          <cell r="N28">
            <v>7100</v>
          </cell>
          <cell r="O28">
            <v>7500</v>
          </cell>
          <cell r="P28">
            <v>9000</v>
          </cell>
          <cell r="Q28" t="e">
            <v>#VALUE!</v>
          </cell>
          <cell r="R28">
            <v>-200</v>
          </cell>
          <cell r="S28">
            <v>400</v>
          </cell>
          <cell r="T28" t="e">
            <v>#VALUE!</v>
          </cell>
        </row>
        <row r="29">
          <cell r="B29">
            <v>25</v>
          </cell>
          <cell r="C29">
            <v>33</v>
          </cell>
          <cell r="E29" t="str">
            <v>MgSO4 management of eclampsia</v>
          </cell>
          <cell r="F29">
            <v>0.61899999999999999</v>
          </cell>
          <cell r="G29">
            <v>0.59423999999999999</v>
          </cell>
          <cell r="H29">
            <v>0.59423999999999999</v>
          </cell>
          <cell r="I29">
            <v>0.63138000000000005</v>
          </cell>
          <cell r="J29">
            <v>0.55710000000000004</v>
          </cell>
          <cell r="K29">
            <v>0.74094300000000002</v>
          </cell>
          <cell r="L29">
            <v>1700</v>
          </cell>
          <cell r="M29">
            <v>1700</v>
          </cell>
          <cell r="N29">
            <v>1700</v>
          </cell>
          <cell r="O29">
            <v>1800</v>
          </cell>
          <cell r="P29">
            <v>2100</v>
          </cell>
          <cell r="Q29" t="e">
            <v>#VALUE!</v>
          </cell>
          <cell r="R29">
            <v>0</v>
          </cell>
          <cell r="S29">
            <v>100</v>
          </cell>
          <cell r="T29" t="e">
            <v>#VALUE!</v>
          </cell>
        </row>
        <row r="30">
          <cell r="B30">
            <v>26</v>
          </cell>
          <cell r="C30">
            <v>34</v>
          </cell>
          <cell r="E30" t="str">
            <v>Antibiotics for preterm or prolonged PROM</v>
          </cell>
          <cell r="F30">
            <v>0.64800000000000002</v>
          </cell>
          <cell r="G30">
            <v>0.62207999999999997</v>
          </cell>
          <cell r="H30">
            <v>0.62207999999999997</v>
          </cell>
          <cell r="I30">
            <v>0.66095999999999999</v>
          </cell>
          <cell r="J30">
            <v>0.58320000000000005</v>
          </cell>
          <cell r="K30">
            <v>0.80481599999999998</v>
          </cell>
          <cell r="L30">
            <v>47000</v>
          </cell>
          <cell r="M30">
            <v>45700</v>
          </cell>
          <cell r="N30">
            <v>46400</v>
          </cell>
          <cell r="O30">
            <v>49100</v>
          </cell>
          <cell r="P30">
            <v>58800</v>
          </cell>
          <cell r="Q30" t="e">
            <v>#VALUE!</v>
          </cell>
          <cell r="R30">
            <v>-1300</v>
          </cell>
          <cell r="S30">
            <v>2700</v>
          </cell>
          <cell r="T30" t="e">
            <v>#VALUE!</v>
          </cell>
        </row>
        <row r="31">
          <cell r="B31">
            <v>27</v>
          </cell>
          <cell r="C31">
            <v>35</v>
          </cell>
          <cell r="E31" t="str">
            <v>Parenteral administration of antibiotics</v>
          </cell>
          <cell r="F31">
            <v>0.64800000000000002</v>
          </cell>
          <cell r="G31">
            <v>0.62207999999999997</v>
          </cell>
          <cell r="H31">
            <v>0.62207999999999997</v>
          </cell>
          <cell r="I31">
            <v>0.66095999999999999</v>
          </cell>
          <cell r="J31">
            <v>0.58320000000000005</v>
          </cell>
          <cell r="K31">
            <v>0.80481599999999998</v>
          </cell>
          <cell r="L31">
            <v>71800</v>
          </cell>
          <cell r="M31">
            <v>69800</v>
          </cell>
          <cell r="N31">
            <v>70800</v>
          </cell>
          <cell r="O31">
            <v>75000</v>
          </cell>
          <cell r="P31">
            <v>89700</v>
          </cell>
          <cell r="Q31" t="e">
            <v>#VALUE!</v>
          </cell>
          <cell r="R31">
            <v>-2000</v>
          </cell>
          <cell r="S31">
            <v>4200</v>
          </cell>
          <cell r="T31" t="e">
            <v>#VALUE!</v>
          </cell>
        </row>
        <row r="32">
          <cell r="B32">
            <v>28</v>
          </cell>
          <cell r="C32">
            <v>36</v>
          </cell>
          <cell r="E32" t="str">
            <v>Assisted vaginal delivery</v>
          </cell>
          <cell r="F32">
            <v>0.219</v>
          </cell>
          <cell r="G32">
            <v>0.21024000000000001</v>
          </cell>
          <cell r="H32">
            <v>0.21024000000000001</v>
          </cell>
          <cell r="I32">
            <v>0.22338</v>
          </cell>
          <cell r="J32">
            <v>0.1971</v>
          </cell>
          <cell r="K32">
            <v>0.27199800000000002</v>
          </cell>
          <cell r="L32">
            <v>24300</v>
          </cell>
          <cell r="M32">
            <v>23600</v>
          </cell>
          <cell r="N32">
            <v>23900</v>
          </cell>
          <cell r="O32">
            <v>25400</v>
          </cell>
          <cell r="P32">
            <v>30300</v>
          </cell>
          <cell r="Q32" t="e">
            <v>#VALUE!</v>
          </cell>
          <cell r="R32">
            <v>-700</v>
          </cell>
          <cell r="S32">
            <v>1500</v>
          </cell>
          <cell r="T32" t="e">
            <v>#VALUE!</v>
          </cell>
        </row>
        <row r="33">
          <cell r="B33">
            <v>29</v>
          </cell>
          <cell r="C33">
            <v>38</v>
          </cell>
          <cell r="E33" t="str">
            <v>Active management of third stage of labor (AMTSL)</v>
          </cell>
          <cell r="F33">
            <v>0.77400000000000002</v>
          </cell>
          <cell r="G33">
            <v>0.74304000000000003</v>
          </cell>
          <cell r="H33">
            <v>0.74304000000000003</v>
          </cell>
          <cell r="I33">
            <v>0.78947999999999996</v>
          </cell>
          <cell r="J33">
            <v>0.6966</v>
          </cell>
          <cell r="K33">
            <v>0.92647800000000002</v>
          </cell>
          <cell r="L33">
            <v>857400</v>
          </cell>
          <cell r="M33">
            <v>833900</v>
          </cell>
          <cell r="N33">
            <v>845900</v>
          </cell>
          <cell r="O33">
            <v>896100</v>
          </cell>
          <cell r="P33">
            <v>1071500</v>
          </cell>
          <cell r="Q33" t="e">
            <v>#VALUE!</v>
          </cell>
          <cell r="R33">
            <v>-23500</v>
          </cell>
          <cell r="S33">
            <v>50200</v>
          </cell>
          <cell r="T33" t="e">
            <v>#VALUE!</v>
          </cell>
        </row>
        <row r="34">
          <cell r="B34">
            <v>30</v>
          </cell>
          <cell r="C34">
            <v>39</v>
          </cell>
          <cell r="E34" t="str">
            <v>Removal of retained products of conception</v>
          </cell>
          <cell r="F34">
            <v>0.28699999999999998</v>
          </cell>
          <cell r="G34">
            <v>0.27551999999999999</v>
          </cell>
          <cell r="H34">
            <v>0.27551999999999999</v>
          </cell>
          <cell r="I34">
            <v>0.29274</v>
          </cell>
          <cell r="J34">
            <v>0.25829999999999997</v>
          </cell>
          <cell r="K34">
            <v>0.35645399999999999</v>
          </cell>
          <cell r="L34">
            <v>3200</v>
          </cell>
          <cell r="M34">
            <v>3100</v>
          </cell>
          <cell r="N34">
            <v>3100</v>
          </cell>
          <cell r="O34">
            <v>3300</v>
          </cell>
          <cell r="P34">
            <v>4000</v>
          </cell>
          <cell r="Q34" t="e">
            <v>#VALUE!</v>
          </cell>
          <cell r="R34">
            <v>-100</v>
          </cell>
          <cell r="S34">
            <v>200</v>
          </cell>
          <cell r="T34" t="e">
            <v>#VALUE!</v>
          </cell>
        </row>
        <row r="35">
          <cell r="B35">
            <v>31</v>
          </cell>
          <cell r="C35">
            <v>40</v>
          </cell>
          <cell r="E35" t="str">
            <v>Induction of labor for pregnancies lasting 41+ weeks</v>
          </cell>
          <cell r="F35">
            <v>1.4999999999999999E-2</v>
          </cell>
          <cell r="G35">
            <v>1.44E-2</v>
          </cell>
          <cell r="H35">
            <v>1.44E-2</v>
          </cell>
          <cell r="I35">
            <v>1.5299999999999999E-2</v>
          </cell>
          <cell r="J35">
            <v>1.35E-2</v>
          </cell>
          <cell r="K35">
            <v>1.8630000000000001E-2</v>
          </cell>
          <cell r="L35">
            <v>800</v>
          </cell>
          <cell r="M35">
            <v>800</v>
          </cell>
          <cell r="N35">
            <v>800</v>
          </cell>
          <cell r="O35">
            <v>900</v>
          </cell>
          <cell r="P35">
            <v>1000</v>
          </cell>
          <cell r="Q35" t="e">
            <v>#VALUE!</v>
          </cell>
          <cell r="R35">
            <v>0</v>
          </cell>
          <cell r="S35">
            <v>100</v>
          </cell>
          <cell r="T35" t="e">
            <v>#VALUE!</v>
          </cell>
        </row>
        <row r="36">
          <cell r="B36">
            <v>32</v>
          </cell>
          <cell r="C36">
            <v>41</v>
          </cell>
          <cell r="E36" t="str">
            <v>Antenatal corticosteroids for preterm labor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 t="e">
            <v>#VALUE!</v>
          </cell>
          <cell r="R36">
            <v>0</v>
          </cell>
          <cell r="S36">
            <v>0</v>
          </cell>
          <cell r="T36" t="e">
            <v>#VALUE!</v>
          </cell>
        </row>
        <row r="37">
          <cell r="B37">
            <v>33</v>
          </cell>
          <cell r="C37">
            <v>65</v>
          </cell>
          <cell r="E37" t="str">
            <v>Maternal sepsis case management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 t="e">
            <v>#VALUE!</v>
          </cell>
          <cell r="R37">
            <v>0</v>
          </cell>
          <cell r="S37">
            <v>0</v>
          </cell>
          <cell r="T37" t="e">
            <v>#VALUE!</v>
          </cell>
        </row>
        <row r="38">
          <cell r="B38">
            <v>34</v>
          </cell>
          <cell r="C38">
            <v>10</v>
          </cell>
          <cell r="E38" t="str">
            <v>Safe abortion services</v>
          </cell>
          <cell r="F38">
            <v>0.4</v>
          </cell>
          <cell r="G38">
            <v>0.38400000000000001</v>
          </cell>
          <cell r="H38">
            <v>0.38400000000000001</v>
          </cell>
          <cell r="I38">
            <v>0.38400000000000001</v>
          </cell>
          <cell r="J38">
            <v>0.36</v>
          </cell>
          <cell r="K38">
            <v>0.36</v>
          </cell>
          <cell r="L38">
            <v>86900</v>
          </cell>
          <cell r="M38">
            <v>84100</v>
          </cell>
          <cell r="N38">
            <v>84800</v>
          </cell>
          <cell r="O38">
            <v>84800</v>
          </cell>
          <cell r="P38">
            <v>110900</v>
          </cell>
          <cell r="Q38" t="e">
            <v>#VALUE!</v>
          </cell>
          <cell r="R38">
            <v>-2800</v>
          </cell>
          <cell r="S38">
            <v>0</v>
          </cell>
          <cell r="T38" t="e">
            <v>#VALUE!</v>
          </cell>
        </row>
        <row r="39">
          <cell r="B39">
            <v>35</v>
          </cell>
          <cell r="C39">
            <v>11</v>
          </cell>
          <cell r="E39" t="str">
            <v>Post abortion case management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 t="e">
            <v>#VALUE!</v>
          </cell>
          <cell r="R39">
            <v>0</v>
          </cell>
          <cell r="S39">
            <v>0</v>
          </cell>
          <cell r="T39" t="e">
            <v>#VALUE!</v>
          </cell>
        </row>
        <row r="40">
          <cell r="B40">
            <v>36</v>
          </cell>
          <cell r="C40">
            <v>42</v>
          </cell>
          <cell r="E40" t="str">
            <v>Cesarean delivery</v>
          </cell>
          <cell r="F40">
            <v>0.33200000000000002</v>
          </cell>
          <cell r="G40">
            <v>0.31872</v>
          </cell>
          <cell r="H40">
            <v>0.31872</v>
          </cell>
          <cell r="I40">
            <v>0.33864</v>
          </cell>
          <cell r="J40">
            <v>0.29880000000000001</v>
          </cell>
          <cell r="K40">
            <v>0.41234399999999999</v>
          </cell>
          <cell r="L40">
            <v>36800</v>
          </cell>
          <cell r="M40">
            <v>35800</v>
          </cell>
          <cell r="N40">
            <v>36300</v>
          </cell>
          <cell r="O40">
            <v>38400</v>
          </cell>
          <cell r="P40">
            <v>46000</v>
          </cell>
          <cell r="Q40" t="e">
            <v>#VALUE!</v>
          </cell>
          <cell r="S40">
            <v>2100</v>
          </cell>
          <cell r="T40" t="e">
            <v>#VALUE!</v>
          </cell>
        </row>
        <row r="41">
          <cell r="B41">
            <v>37</v>
          </cell>
          <cell r="C41">
            <v>43</v>
          </cell>
          <cell r="E41" t="str">
            <v>Blood transfusion</v>
          </cell>
          <cell r="F41">
            <v>0.109</v>
          </cell>
          <cell r="G41">
            <v>0.10464</v>
          </cell>
          <cell r="H41">
            <v>0.10464</v>
          </cell>
          <cell r="I41">
            <v>0.10464</v>
          </cell>
          <cell r="J41">
            <v>9.8100000000000007E-2</v>
          </cell>
          <cell r="K41">
            <v>9.8100000000000007E-2</v>
          </cell>
          <cell r="L41">
            <v>2400</v>
          </cell>
          <cell r="M41">
            <v>2300</v>
          </cell>
          <cell r="N41">
            <v>2400</v>
          </cell>
          <cell r="O41">
            <v>2400</v>
          </cell>
          <cell r="P41">
            <v>3000</v>
          </cell>
          <cell r="Q41" t="e">
            <v>#VALUE!</v>
          </cell>
          <cell r="R41">
            <v>-100</v>
          </cell>
          <cell r="S41">
            <v>0</v>
          </cell>
          <cell r="T41" t="e">
            <v>#VALUE!</v>
          </cell>
        </row>
        <row r="42">
          <cell r="B42">
            <v>38</v>
          </cell>
          <cell r="C42">
            <v>12</v>
          </cell>
          <cell r="E42" t="str">
            <v>Ectopic pregnancy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 t="e">
            <v>#VALUE!</v>
          </cell>
          <cell r="R42">
            <v>0</v>
          </cell>
          <cell r="S42">
            <v>0</v>
          </cell>
          <cell r="T42" t="e">
            <v>#VALUE!</v>
          </cell>
        </row>
        <row r="43">
          <cell r="B43">
            <v>39</v>
          </cell>
          <cell r="C43">
            <v>29</v>
          </cell>
          <cell r="D43" t="str">
            <v>Newborn Care</v>
          </cell>
          <cell r="E43" t="str">
            <v>Immediate drying and additional stimulation</v>
          </cell>
          <cell r="F43">
            <v>0.79300000000000004</v>
          </cell>
          <cell r="G43">
            <v>0.64232999999999996</v>
          </cell>
          <cell r="H43">
            <v>0.64232999999999996</v>
          </cell>
          <cell r="I43">
            <v>0.80886000000000002</v>
          </cell>
          <cell r="J43">
            <v>0.7137</v>
          </cell>
          <cell r="K43">
            <v>0.98490599999999995</v>
          </cell>
          <cell r="L43">
            <v>878500</v>
          </cell>
          <cell r="M43">
            <v>720900</v>
          </cell>
          <cell r="N43">
            <v>731300</v>
          </cell>
          <cell r="O43">
            <v>918100</v>
          </cell>
          <cell r="P43">
            <v>1097800</v>
          </cell>
          <cell r="Q43" t="e">
            <v>#VALUE!</v>
          </cell>
          <cell r="R43">
            <v>-157600</v>
          </cell>
          <cell r="S43">
            <v>186800</v>
          </cell>
          <cell r="T43" t="e">
            <v>#VALUE!</v>
          </cell>
        </row>
        <row r="44">
          <cell r="B44">
            <v>40</v>
          </cell>
          <cell r="C44">
            <v>30</v>
          </cell>
          <cell r="E44" t="str">
            <v>Thermal protection</v>
          </cell>
          <cell r="F44">
            <v>0.85599999999999998</v>
          </cell>
          <cell r="G44">
            <v>0.69335999999999998</v>
          </cell>
          <cell r="H44">
            <v>0.69335999999999998</v>
          </cell>
          <cell r="I44">
            <v>0.87312000000000001</v>
          </cell>
          <cell r="J44">
            <v>0.77039999999999997</v>
          </cell>
          <cell r="K44">
            <v>1</v>
          </cell>
          <cell r="L44">
            <v>62100</v>
          </cell>
          <cell r="M44">
            <v>51000</v>
          </cell>
          <cell r="N44">
            <v>51700</v>
          </cell>
          <cell r="O44">
            <v>64900</v>
          </cell>
          <cell r="P44">
            <v>77600</v>
          </cell>
          <cell r="Q44" t="e">
            <v>#VALUE!</v>
          </cell>
          <cell r="R44">
            <v>-11100</v>
          </cell>
          <cell r="S44">
            <v>13200</v>
          </cell>
          <cell r="T44" t="e">
            <v>#VALUE!</v>
          </cell>
        </row>
        <row r="45">
          <cell r="B45">
            <v>41</v>
          </cell>
          <cell r="C45">
            <v>31</v>
          </cell>
          <cell r="E45" t="str">
            <v>Clean cord care</v>
          </cell>
          <cell r="F45">
            <v>0.82599999999999996</v>
          </cell>
          <cell r="G45">
            <v>0.66905999999999999</v>
          </cell>
          <cell r="H45">
            <v>0.66905999999999999</v>
          </cell>
          <cell r="I45">
            <v>0.84252000000000005</v>
          </cell>
          <cell r="J45">
            <v>0.74339999999999995</v>
          </cell>
          <cell r="K45">
            <v>1</v>
          </cell>
          <cell r="L45">
            <v>915000</v>
          </cell>
          <cell r="M45">
            <v>750900</v>
          </cell>
          <cell r="N45">
            <v>761700</v>
          </cell>
          <cell r="O45">
            <v>956300</v>
          </cell>
          <cell r="P45">
            <v>1143500</v>
          </cell>
          <cell r="Q45" t="e">
            <v>#VALUE!</v>
          </cell>
          <cell r="R45">
            <v>-164100</v>
          </cell>
          <cell r="S45">
            <v>194600</v>
          </cell>
          <cell r="T45" t="e">
            <v>#VALUE!</v>
          </cell>
        </row>
        <row r="46">
          <cell r="B46">
            <v>42</v>
          </cell>
          <cell r="C46">
            <v>37</v>
          </cell>
          <cell r="E46" t="str">
            <v>Neonatal resuscitation</v>
          </cell>
          <cell r="F46">
            <v>0.47599999999999998</v>
          </cell>
          <cell r="G46">
            <v>0.38556000000000001</v>
          </cell>
          <cell r="H46">
            <v>0.38556000000000001</v>
          </cell>
          <cell r="I46">
            <v>0.48552000000000001</v>
          </cell>
          <cell r="J46">
            <v>0.4284</v>
          </cell>
          <cell r="K46">
            <v>0.59119200000000005</v>
          </cell>
          <cell r="L46">
            <v>26400</v>
          </cell>
          <cell r="M46">
            <v>21600</v>
          </cell>
          <cell r="N46">
            <v>21900</v>
          </cell>
          <cell r="O46">
            <v>27600</v>
          </cell>
          <cell r="P46">
            <v>32900</v>
          </cell>
          <cell r="Q46" t="e">
            <v>#VALUE!</v>
          </cell>
          <cell r="R46">
            <v>-4800</v>
          </cell>
          <cell r="S46">
            <v>5700</v>
          </cell>
          <cell r="T46" t="e">
            <v>#VALUE!</v>
          </cell>
        </row>
        <row r="47">
          <cell r="E47" t="str">
            <v>Case management of premature babies</v>
          </cell>
        </row>
        <row r="48">
          <cell r="B48">
            <v>43</v>
          </cell>
          <cell r="C48">
            <v>66</v>
          </cell>
          <cell r="E48" t="str">
            <v>Kangaroo-Mother Care (KMC)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 t="e">
            <v>#VALUE!</v>
          </cell>
          <cell r="R48">
            <v>0</v>
          </cell>
          <cell r="S48">
            <v>0</v>
          </cell>
          <cell r="T48" t="e">
            <v>#VALUE!</v>
          </cell>
        </row>
        <row r="49">
          <cell r="B49">
            <v>44</v>
          </cell>
          <cell r="C49">
            <v>67</v>
          </cell>
          <cell r="E49" t="str">
            <v>Full supportive care of prematurity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 t="e">
            <v>#VALUE!</v>
          </cell>
          <cell r="R49">
            <v>0</v>
          </cell>
          <cell r="S49">
            <v>0</v>
          </cell>
          <cell r="T49" t="e">
            <v>#VALUE!</v>
          </cell>
        </row>
        <row r="50">
          <cell r="E50" t="str">
            <v>Case management of neonatal sepsis/pneumonia</v>
          </cell>
        </row>
        <row r="51">
          <cell r="B51">
            <v>45</v>
          </cell>
          <cell r="C51">
            <v>68</v>
          </cell>
          <cell r="E51" t="str">
            <v>Oral antibiotics for neonatal sepsis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 t="e">
            <v>#VALUE!</v>
          </cell>
          <cell r="R51">
            <v>0</v>
          </cell>
          <cell r="S51">
            <v>0</v>
          </cell>
          <cell r="T51" t="e">
            <v>#VALUE!</v>
          </cell>
        </row>
        <row r="52">
          <cell r="B52">
            <v>46</v>
          </cell>
          <cell r="C52">
            <v>69</v>
          </cell>
          <cell r="E52" t="str">
            <v>Injectable antibiotics for neonatal sepsis</v>
          </cell>
          <cell r="F52">
            <v>0.86599999999999999</v>
          </cell>
          <cell r="G52">
            <v>0.70145999999999997</v>
          </cell>
          <cell r="H52">
            <v>0.70145999999999997</v>
          </cell>
          <cell r="I52">
            <v>0.88331999999999999</v>
          </cell>
          <cell r="J52">
            <v>0.77939999999999998</v>
          </cell>
          <cell r="K52">
            <v>1</v>
          </cell>
          <cell r="L52">
            <v>151600</v>
          </cell>
          <cell r="M52">
            <v>124400</v>
          </cell>
          <cell r="N52">
            <v>126200</v>
          </cell>
          <cell r="O52">
            <v>158400</v>
          </cell>
          <cell r="P52">
            <v>189400</v>
          </cell>
          <cell r="Q52" t="e">
            <v>#VALUE!</v>
          </cell>
          <cell r="R52">
            <v>-27200</v>
          </cell>
          <cell r="S52">
            <v>32200</v>
          </cell>
          <cell r="T52" t="e">
            <v>#VALUE!</v>
          </cell>
        </row>
        <row r="53">
          <cell r="B53">
            <v>47</v>
          </cell>
          <cell r="C53">
            <v>70</v>
          </cell>
          <cell r="E53" t="str">
            <v>Full supportive care for neonatal sepsis/pneumonia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 t="e">
            <v>#VALUE!</v>
          </cell>
          <cell r="R53">
            <v>0</v>
          </cell>
          <cell r="S53">
            <v>0</v>
          </cell>
          <cell r="T53" t="e">
            <v>#VALUE!</v>
          </cell>
        </row>
        <row r="54">
          <cell r="B54">
            <v>48</v>
          </cell>
          <cell r="C54">
            <v>44</v>
          </cell>
          <cell r="D54" t="str">
            <v>Breastfeeding</v>
          </cell>
          <cell r="E54" t="str">
            <v>Early Initiation of Breastfeeding</v>
          </cell>
          <cell r="F54">
            <v>0.32400000000000001</v>
          </cell>
          <cell r="G54">
            <v>0.31428</v>
          </cell>
          <cell r="H54">
            <v>0.31428</v>
          </cell>
          <cell r="I54">
            <v>0.33048</v>
          </cell>
          <cell r="J54">
            <v>0.29160000000000003</v>
          </cell>
          <cell r="K54">
            <v>0.40240799999999999</v>
          </cell>
          <cell r="L54">
            <v>358900</v>
          </cell>
          <cell r="M54">
            <v>352700</v>
          </cell>
          <cell r="N54">
            <v>357800</v>
          </cell>
          <cell r="O54">
            <v>375100</v>
          </cell>
          <cell r="P54">
            <v>448500</v>
          </cell>
          <cell r="Q54" t="e">
            <v>#VALUE!</v>
          </cell>
          <cell r="R54">
            <v>-6200</v>
          </cell>
          <cell r="S54">
            <v>17300</v>
          </cell>
          <cell r="T54" t="e">
            <v>#VALUE!</v>
          </cell>
        </row>
        <row r="55">
          <cell r="B55">
            <v>49</v>
          </cell>
          <cell r="C55">
            <v>45</v>
          </cell>
          <cell r="E55" t="str">
            <v>Complementary feeding - Education only</v>
          </cell>
          <cell r="F55">
            <v>0.60099999999999998</v>
          </cell>
          <cell r="G55">
            <v>0.58296999999999999</v>
          </cell>
          <cell r="H55">
            <v>0.58296999999999999</v>
          </cell>
          <cell r="I55">
            <v>0.61302000000000001</v>
          </cell>
          <cell r="J55">
            <v>0.54090000000000005</v>
          </cell>
          <cell r="K55">
            <v>0.74644200000000005</v>
          </cell>
          <cell r="L55">
            <v>665800</v>
          </cell>
          <cell r="M55">
            <v>654300</v>
          </cell>
          <cell r="N55">
            <v>663700</v>
          </cell>
          <cell r="O55">
            <v>695800</v>
          </cell>
          <cell r="P55">
            <v>832000</v>
          </cell>
          <cell r="Q55" t="e">
            <v>#VALUE!</v>
          </cell>
          <cell r="R55">
            <v>-11500</v>
          </cell>
          <cell r="S55">
            <v>32100</v>
          </cell>
          <cell r="T55" t="e">
            <v>#VALUE!</v>
          </cell>
        </row>
        <row r="56">
          <cell r="B56">
            <v>50</v>
          </cell>
          <cell r="C56">
            <v>46</v>
          </cell>
          <cell r="E56" t="str">
            <v>Complementary feeding - Supplementary feeding + Education</v>
          </cell>
          <cell r="F56">
            <v>0.60099999999999998</v>
          </cell>
          <cell r="G56">
            <v>0.48681000000000002</v>
          </cell>
          <cell r="H56">
            <v>0.48681000000000002</v>
          </cell>
          <cell r="I56">
            <v>0.61302000000000001</v>
          </cell>
          <cell r="J56">
            <v>0.54090000000000005</v>
          </cell>
          <cell r="K56">
            <v>0.74644200000000005</v>
          </cell>
          <cell r="L56">
            <v>332900</v>
          </cell>
          <cell r="M56">
            <v>273200</v>
          </cell>
          <cell r="N56">
            <v>277100</v>
          </cell>
          <cell r="O56">
            <v>347900</v>
          </cell>
          <cell r="P56">
            <v>416000</v>
          </cell>
          <cell r="Q56" t="e">
            <v>#VALUE!</v>
          </cell>
          <cell r="R56">
            <v>-59700</v>
          </cell>
          <cell r="S56">
            <v>70800</v>
          </cell>
          <cell r="T56" t="e">
            <v>#VALUE!</v>
          </cell>
        </row>
        <row r="57">
          <cell r="B57">
            <v>51</v>
          </cell>
          <cell r="C57">
            <v>55</v>
          </cell>
          <cell r="D57" t="str">
            <v>Vaccines</v>
          </cell>
          <cell r="E57" t="str">
            <v>BCG - Single dose</v>
          </cell>
          <cell r="F57">
            <v>0.98</v>
          </cell>
          <cell r="G57">
            <v>0.75460000000000005</v>
          </cell>
          <cell r="H57">
            <v>0.75460000000000005</v>
          </cell>
          <cell r="I57">
            <v>0.99960000000000004</v>
          </cell>
          <cell r="J57">
            <v>0.88200000000000001</v>
          </cell>
          <cell r="K57">
            <v>1</v>
          </cell>
          <cell r="L57">
            <v>1085600</v>
          </cell>
          <cell r="M57">
            <v>846900</v>
          </cell>
          <cell r="N57">
            <v>859100</v>
          </cell>
          <cell r="O57">
            <v>1134600</v>
          </cell>
          <cell r="P57">
            <v>1356700</v>
          </cell>
          <cell r="Q57" t="e">
            <v>#VALUE!</v>
          </cell>
          <cell r="R57">
            <v>-238700</v>
          </cell>
          <cell r="S57">
            <v>275500</v>
          </cell>
          <cell r="T57" t="e">
            <v>#VALUE!</v>
          </cell>
        </row>
        <row r="58">
          <cell r="B58">
            <v>52</v>
          </cell>
          <cell r="C58">
            <v>56</v>
          </cell>
          <cell r="E58" t="str">
            <v>Polio - Three doses</v>
          </cell>
          <cell r="F58">
            <v>0.85</v>
          </cell>
          <cell r="G58">
            <v>0.65449999999999997</v>
          </cell>
          <cell r="H58">
            <v>0.65449999999999997</v>
          </cell>
          <cell r="I58">
            <v>0.86699999999999999</v>
          </cell>
          <cell r="J58">
            <v>0.76500000000000001</v>
          </cell>
          <cell r="K58">
            <v>1</v>
          </cell>
          <cell r="L58">
            <v>941600</v>
          </cell>
          <cell r="M58">
            <v>734600</v>
          </cell>
          <cell r="N58">
            <v>745100</v>
          </cell>
          <cell r="O58">
            <v>984100</v>
          </cell>
          <cell r="P58">
            <v>1176700</v>
          </cell>
          <cell r="Q58" t="e">
            <v>#VALUE!</v>
          </cell>
          <cell r="R58">
            <v>-207000</v>
          </cell>
          <cell r="S58">
            <v>239000</v>
          </cell>
          <cell r="T58" t="e">
            <v>#VALUE!</v>
          </cell>
        </row>
        <row r="59">
          <cell r="E59" t="str">
            <v>Pentavalent</v>
          </cell>
        </row>
        <row r="60">
          <cell r="B60">
            <v>53</v>
          </cell>
          <cell r="C60">
            <v>57</v>
          </cell>
          <cell r="E60" t="str">
            <v>DPT - Three doses</v>
          </cell>
          <cell r="F60">
            <v>0.84</v>
          </cell>
          <cell r="G60">
            <v>0.64680000000000004</v>
          </cell>
          <cell r="H60">
            <v>0.64680000000000004</v>
          </cell>
          <cell r="I60">
            <v>0.85680000000000001</v>
          </cell>
          <cell r="J60">
            <v>0.75600000000000001</v>
          </cell>
          <cell r="K60">
            <v>1</v>
          </cell>
          <cell r="L60">
            <v>930500</v>
          </cell>
          <cell r="M60">
            <v>725900</v>
          </cell>
          <cell r="N60">
            <v>736300</v>
          </cell>
          <cell r="O60">
            <v>972500</v>
          </cell>
          <cell r="P60">
            <v>1162900</v>
          </cell>
          <cell r="Q60" t="e">
            <v>#VALUE!</v>
          </cell>
          <cell r="R60">
            <v>-204600</v>
          </cell>
          <cell r="S60">
            <v>236200</v>
          </cell>
          <cell r="T60" t="e">
            <v>#VALUE!</v>
          </cell>
        </row>
        <row r="61">
          <cell r="B61">
            <v>54</v>
          </cell>
          <cell r="C61">
            <v>58</v>
          </cell>
          <cell r="E61" t="str">
            <v>Hib - Three doses</v>
          </cell>
          <cell r="F61">
            <v>0.84</v>
          </cell>
          <cell r="G61">
            <v>0.64680000000000004</v>
          </cell>
          <cell r="H61">
            <v>0.64680000000000004</v>
          </cell>
          <cell r="I61">
            <v>0.85680000000000001</v>
          </cell>
          <cell r="J61">
            <v>0.75600000000000001</v>
          </cell>
          <cell r="K61">
            <v>1</v>
          </cell>
          <cell r="L61">
            <v>930500</v>
          </cell>
          <cell r="M61">
            <v>725900</v>
          </cell>
          <cell r="N61">
            <v>736300</v>
          </cell>
          <cell r="O61">
            <v>972500</v>
          </cell>
          <cell r="P61">
            <v>1162900</v>
          </cell>
          <cell r="Q61" t="e">
            <v>#VALUE!</v>
          </cell>
          <cell r="R61">
            <v>-204600</v>
          </cell>
          <cell r="S61">
            <v>236200</v>
          </cell>
          <cell r="T61" t="e">
            <v>#VALUE!</v>
          </cell>
        </row>
        <row r="62">
          <cell r="B62">
            <v>55</v>
          </cell>
          <cell r="C62">
            <v>59</v>
          </cell>
          <cell r="E62" t="str">
            <v>HepB - Three doses</v>
          </cell>
          <cell r="F62">
            <v>0.84</v>
          </cell>
          <cell r="G62">
            <v>0.64680000000000004</v>
          </cell>
          <cell r="H62">
            <v>0.64680000000000004</v>
          </cell>
          <cell r="I62">
            <v>0.85680000000000001</v>
          </cell>
          <cell r="J62">
            <v>0.75600000000000001</v>
          </cell>
          <cell r="K62">
            <v>1</v>
          </cell>
          <cell r="L62">
            <v>930500</v>
          </cell>
          <cell r="M62">
            <v>725900</v>
          </cell>
          <cell r="N62">
            <v>736300</v>
          </cell>
          <cell r="O62">
            <v>972500</v>
          </cell>
          <cell r="P62">
            <v>1162900</v>
          </cell>
          <cell r="Q62" t="e">
            <v>#VALUE!</v>
          </cell>
          <cell r="R62">
            <v>-204600</v>
          </cell>
          <cell r="S62">
            <v>236200</v>
          </cell>
          <cell r="T62" t="e">
            <v>#VALUE!</v>
          </cell>
        </row>
        <row r="63">
          <cell r="B63">
            <v>56</v>
          </cell>
          <cell r="C63">
            <v>60</v>
          </cell>
          <cell r="E63" t="str">
            <v>Pneumococcal - Three doses</v>
          </cell>
          <cell r="F63">
            <v>0.37</v>
          </cell>
          <cell r="G63">
            <v>0.28489999999999999</v>
          </cell>
          <cell r="H63">
            <v>0.28489999999999999</v>
          </cell>
          <cell r="I63">
            <v>0.37740000000000001</v>
          </cell>
          <cell r="J63">
            <v>0.33300000000000002</v>
          </cell>
          <cell r="K63">
            <v>0.48285</v>
          </cell>
          <cell r="L63">
            <v>409900</v>
          </cell>
          <cell r="M63">
            <v>319800</v>
          </cell>
          <cell r="N63">
            <v>324300</v>
          </cell>
          <cell r="O63">
            <v>428400</v>
          </cell>
          <cell r="P63">
            <v>512200</v>
          </cell>
          <cell r="Q63" t="e">
            <v>#VALUE!</v>
          </cell>
          <cell r="R63">
            <v>-90100</v>
          </cell>
          <cell r="S63">
            <v>104100</v>
          </cell>
          <cell r="T63" t="e">
            <v>#VALUE!</v>
          </cell>
        </row>
        <row r="64">
          <cell r="B64">
            <v>57</v>
          </cell>
          <cell r="C64">
            <v>61</v>
          </cell>
          <cell r="E64" t="str">
            <v>Rotavirus - Two doses</v>
          </cell>
          <cell r="F64">
            <v>0.05</v>
          </cell>
          <cell r="G64">
            <v>3.85E-2</v>
          </cell>
          <cell r="H64">
            <v>3.85E-2</v>
          </cell>
          <cell r="I64">
            <v>5.0999999999999997E-2</v>
          </cell>
          <cell r="J64">
            <v>4.4999999999999998E-2</v>
          </cell>
          <cell r="K64">
            <v>6.5250000000000002E-2</v>
          </cell>
          <cell r="L64">
            <v>55400</v>
          </cell>
          <cell r="M64">
            <v>43200</v>
          </cell>
          <cell r="N64">
            <v>43800</v>
          </cell>
          <cell r="O64">
            <v>57900</v>
          </cell>
          <cell r="P64">
            <v>69200</v>
          </cell>
          <cell r="Q64" t="e">
            <v>#VALUE!</v>
          </cell>
          <cell r="R64">
            <v>-12200</v>
          </cell>
          <cell r="S64">
            <v>14100</v>
          </cell>
          <cell r="T64" t="e">
            <v>#VALUE!</v>
          </cell>
        </row>
        <row r="65">
          <cell r="B65">
            <v>58</v>
          </cell>
          <cell r="C65">
            <v>62</v>
          </cell>
          <cell r="E65" t="str">
            <v>Meningococcal A - Single dose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 t="e">
            <v>#VALUE!</v>
          </cell>
          <cell r="R65">
            <v>0</v>
          </cell>
          <cell r="S65">
            <v>0</v>
          </cell>
          <cell r="T65" t="e">
            <v>#VALUE!</v>
          </cell>
        </row>
        <row r="66">
          <cell r="B66">
            <v>59</v>
          </cell>
          <cell r="C66">
            <v>63</v>
          </cell>
          <cell r="E66" t="str">
            <v>Malaria vaccine - Three doses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 t="e">
            <v>#VALUE!</v>
          </cell>
          <cell r="R66">
            <v>0</v>
          </cell>
          <cell r="S66">
            <v>0</v>
          </cell>
          <cell r="T66" t="e">
            <v>#VALUE!</v>
          </cell>
        </row>
        <row r="67">
          <cell r="B67">
            <v>60</v>
          </cell>
          <cell r="C67">
            <v>64</v>
          </cell>
          <cell r="E67" t="str">
            <v>Measles - Single dose</v>
          </cell>
          <cell r="F67">
            <v>0.82</v>
          </cell>
          <cell r="G67">
            <v>0.63139999999999996</v>
          </cell>
          <cell r="H67">
            <v>0.63139999999999996</v>
          </cell>
          <cell r="I67">
            <v>0.83640000000000003</v>
          </cell>
          <cell r="J67">
            <v>0.73799999999999999</v>
          </cell>
          <cell r="K67">
            <v>1</v>
          </cell>
          <cell r="L67">
            <v>908400</v>
          </cell>
          <cell r="M67">
            <v>708600</v>
          </cell>
          <cell r="N67">
            <v>718800</v>
          </cell>
          <cell r="O67">
            <v>949300</v>
          </cell>
          <cell r="P67">
            <v>1135200</v>
          </cell>
          <cell r="Q67" t="e">
            <v>#VALUE!</v>
          </cell>
          <cell r="R67">
            <v>-199800</v>
          </cell>
          <cell r="S67">
            <v>230500</v>
          </cell>
          <cell r="T67" t="e">
            <v>#VALUE!</v>
          </cell>
        </row>
        <row r="68">
          <cell r="B68">
            <v>61</v>
          </cell>
          <cell r="C68">
            <v>47</v>
          </cell>
          <cell r="D68" t="str">
            <v>Child Health</v>
          </cell>
          <cell r="E68" t="str">
            <v>Vitamin A supplementation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 t="e">
            <v>#VALUE!</v>
          </cell>
          <cell r="R68">
            <v>0</v>
          </cell>
          <cell r="S68">
            <v>0</v>
          </cell>
          <cell r="T68" t="e">
            <v>#VALUE!</v>
          </cell>
        </row>
        <row r="69">
          <cell r="B69">
            <v>62</v>
          </cell>
          <cell r="C69">
            <v>48</v>
          </cell>
          <cell r="E69" t="str">
            <v>Zinc supplementation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#VALUE!</v>
          </cell>
          <cell r="R69">
            <v>0</v>
          </cell>
          <cell r="S69">
            <v>0</v>
          </cell>
          <cell r="T69" t="e">
            <v>#VALUE!</v>
          </cell>
        </row>
        <row r="70">
          <cell r="B70">
            <v>63</v>
          </cell>
          <cell r="C70">
            <v>71</v>
          </cell>
          <cell r="E70" t="str">
            <v>ORS - Oral Rehydration Solution</v>
          </cell>
          <cell r="F70">
            <v>0.254</v>
          </cell>
          <cell r="G70">
            <v>0.20574000000000001</v>
          </cell>
          <cell r="H70">
            <v>0.20574000000000001</v>
          </cell>
          <cell r="I70">
            <v>0.25907999999999998</v>
          </cell>
          <cell r="J70">
            <v>0.2286</v>
          </cell>
          <cell r="K70">
            <v>0.33146999999999999</v>
          </cell>
          <cell r="L70">
            <v>690000</v>
          </cell>
          <cell r="M70">
            <v>566200</v>
          </cell>
          <cell r="N70">
            <v>574400</v>
          </cell>
          <cell r="O70">
            <v>3450900</v>
          </cell>
          <cell r="P70">
            <v>862300</v>
          </cell>
          <cell r="Q70" t="e">
            <v>#VALUE!</v>
          </cell>
          <cell r="R70">
            <v>-123800</v>
          </cell>
          <cell r="S70">
            <v>2876500</v>
          </cell>
          <cell r="T70" t="e">
            <v>#VALUE!</v>
          </cell>
        </row>
        <row r="71">
          <cell r="B71">
            <v>64</v>
          </cell>
          <cell r="C71">
            <v>72</v>
          </cell>
          <cell r="E71" t="str">
            <v>Antibiotics for treatment of dysentery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#VALUE!</v>
          </cell>
          <cell r="R71">
            <v>0</v>
          </cell>
          <cell r="S71">
            <v>0</v>
          </cell>
          <cell r="T71" t="e">
            <v>#VALUE!</v>
          </cell>
        </row>
        <row r="72">
          <cell r="B72">
            <v>65</v>
          </cell>
          <cell r="C72">
            <v>73</v>
          </cell>
          <cell r="E72" t="str">
            <v>Zinc for treatment of diarrhea</v>
          </cell>
          <cell r="F72">
            <v>7.3999999999999996E-2</v>
          </cell>
          <cell r="G72">
            <v>5.994E-2</v>
          </cell>
          <cell r="H72">
            <v>5.994E-2</v>
          </cell>
          <cell r="I72">
            <v>7.5480000000000005E-2</v>
          </cell>
          <cell r="J72">
            <v>6.6600000000000006E-2</v>
          </cell>
          <cell r="K72">
            <v>9.6570000000000003E-2</v>
          </cell>
          <cell r="L72">
            <v>201000</v>
          </cell>
          <cell r="M72">
            <v>165000</v>
          </cell>
          <cell r="N72">
            <v>167300</v>
          </cell>
          <cell r="O72">
            <v>1005400</v>
          </cell>
          <cell r="P72">
            <v>251200</v>
          </cell>
          <cell r="Q72" t="e">
            <v>#VALUE!</v>
          </cell>
          <cell r="R72">
            <v>-36000</v>
          </cell>
          <cell r="S72">
            <v>838100</v>
          </cell>
          <cell r="T72" t="e">
            <v>#VALUE!</v>
          </cell>
        </row>
        <row r="73">
          <cell r="B73">
            <v>66</v>
          </cell>
          <cell r="C73">
            <v>74</v>
          </cell>
          <cell r="E73" t="str">
            <v>Oral antibiotics for pneumonia</v>
          </cell>
          <cell r="F73">
            <v>0.40300000000000002</v>
          </cell>
          <cell r="G73">
            <v>0.32643</v>
          </cell>
          <cell r="H73">
            <v>0.32643</v>
          </cell>
          <cell r="I73">
            <v>0.41105999999999998</v>
          </cell>
          <cell r="J73">
            <v>0.36270000000000002</v>
          </cell>
          <cell r="K73">
            <v>0.52591500000000002</v>
          </cell>
          <cell r="L73">
            <v>15200</v>
          </cell>
          <cell r="M73">
            <v>12500</v>
          </cell>
          <cell r="N73">
            <v>12600</v>
          </cell>
          <cell r="O73">
            <v>1454400</v>
          </cell>
          <cell r="P73">
            <v>363400</v>
          </cell>
          <cell r="Q73" t="e">
            <v>#VALUE!</v>
          </cell>
          <cell r="R73">
            <v>-2700</v>
          </cell>
          <cell r="S73">
            <v>1441800</v>
          </cell>
          <cell r="T73" t="e">
            <v>#VALUE!</v>
          </cell>
        </row>
        <row r="74">
          <cell r="B74">
            <v>67</v>
          </cell>
          <cell r="C74">
            <v>75</v>
          </cell>
          <cell r="E74" t="str">
            <v>Vitamin A for treatment of measles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 t="e">
            <v>#VALUE!</v>
          </cell>
          <cell r="R74">
            <v>0</v>
          </cell>
          <cell r="S74">
            <v>0</v>
          </cell>
          <cell r="T74" t="e">
            <v>#VALUE!</v>
          </cell>
        </row>
        <row r="75">
          <cell r="B75">
            <v>68</v>
          </cell>
          <cell r="C75">
            <v>76</v>
          </cell>
          <cell r="E75" t="str">
            <v>ACTs - Artemisinin compounds for treatment of malaria</v>
          </cell>
          <cell r="F75">
            <v>0.5</v>
          </cell>
          <cell r="G75">
            <v>0.40500000000000003</v>
          </cell>
          <cell r="H75">
            <v>0.40500000000000003</v>
          </cell>
          <cell r="I75">
            <v>0.51</v>
          </cell>
          <cell r="J75">
            <v>0.45</v>
          </cell>
          <cell r="K75">
            <v>0.65249999999999997</v>
          </cell>
          <cell r="L75">
            <v>4921500</v>
          </cell>
          <cell r="M75">
            <v>4080500</v>
          </cell>
          <cell r="N75">
            <v>4181800</v>
          </cell>
          <cell r="O75">
            <v>5266000</v>
          </cell>
          <cell r="P75">
            <v>4646500</v>
          </cell>
          <cell r="Q75">
            <v>6737400</v>
          </cell>
          <cell r="R75">
            <v>-841000</v>
          </cell>
          <cell r="S75">
            <v>1084200</v>
          </cell>
          <cell r="T75">
            <v>2090900</v>
          </cell>
        </row>
        <row r="76">
          <cell r="B76">
            <v>69</v>
          </cell>
          <cell r="C76">
            <v>77</v>
          </cell>
          <cell r="D76" t="str">
            <v>Malnutrition</v>
          </cell>
          <cell r="E76" t="str">
            <v>SAM - treatment for severe acute malnutrition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 t="e">
            <v>#VALUE!</v>
          </cell>
          <cell r="R76">
            <v>0</v>
          </cell>
          <cell r="S76">
            <v>0</v>
          </cell>
          <cell r="T76" t="e">
            <v>#VALUE!</v>
          </cell>
        </row>
        <row r="77">
          <cell r="B77">
            <v>70</v>
          </cell>
          <cell r="C77">
            <v>78</v>
          </cell>
          <cell r="E77" t="str">
            <v>MAM - treatment for moderate acute malnutrition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 t="e">
            <v>#VALUE!</v>
          </cell>
          <cell r="R77">
            <v>0</v>
          </cell>
          <cell r="S77">
            <v>0</v>
          </cell>
          <cell r="T77" t="e">
            <v>#VALUE!</v>
          </cell>
        </row>
        <row r="78">
          <cell r="B78">
            <v>71</v>
          </cell>
          <cell r="C78">
            <v>54</v>
          </cell>
          <cell r="D78" t="str">
            <v>Other</v>
          </cell>
          <cell r="E78" t="str">
            <v>ITN/IRS - Households protected from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 t="e">
            <v>#VALUE!</v>
          </cell>
          <cell r="R78">
            <v>0</v>
          </cell>
          <cell r="S78">
            <v>0</v>
          </cell>
          <cell r="T78" t="e">
            <v>#VALUE!</v>
          </cell>
        </row>
      </sheetData>
      <sheetData sheetId="21" refreshError="1"/>
      <sheetData sheetId="22" refreshError="1"/>
      <sheetData sheetId="23" refreshError="1">
        <row r="4">
          <cell r="B4">
            <v>1</v>
          </cell>
          <cell r="C4">
            <v>7</v>
          </cell>
          <cell r="D4" t="str">
            <v>FP - Pills</v>
          </cell>
          <cell r="E4">
            <v>12</v>
          </cell>
          <cell r="F4">
            <v>1</v>
          </cell>
          <cell r="G4">
            <v>12</v>
          </cell>
          <cell r="I4">
            <v>12</v>
          </cell>
        </row>
        <row r="5">
          <cell r="B5">
            <v>2</v>
          </cell>
          <cell r="C5">
            <v>1</v>
          </cell>
          <cell r="D5" t="str">
            <v>FP - Condoms</v>
          </cell>
          <cell r="E5">
            <v>12</v>
          </cell>
          <cell r="F5">
            <v>1</v>
          </cell>
          <cell r="G5">
            <v>12</v>
          </cell>
          <cell r="I5">
            <v>12</v>
          </cell>
        </row>
        <row r="6">
          <cell r="B6">
            <v>3</v>
          </cell>
          <cell r="C6">
            <v>4</v>
          </cell>
          <cell r="D6" t="str">
            <v>FP - Injectables</v>
          </cell>
          <cell r="E6">
            <v>4</v>
          </cell>
          <cell r="F6">
            <v>1</v>
          </cell>
          <cell r="G6">
            <v>4</v>
          </cell>
          <cell r="I6">
            <v>4</v>
          </cell>
        </row>
        <row r="7">
          <cell r="B7">
            <v>4</v>
          </cell>
          <cell r="C7">
            <v>5</v>
          </cell>
          <cell r="D7" t="str">
            <v>FP - Implants</v>
          </cell>
          <cell r="E7">
            <v>1</v>
          </cell>
          <cell r="F7">
            <v>1</v>
          </cell>
          <cell r="G7">
            <v>1</v>
          </cell>
          <cell r="I7">
            <v>1</v>
          </cell>
        </row>
        <row r="8">
          <cell r="B8">
            <v>5</v>
          </cell>
          <cell r="C8">
            <v>6</v>
          </cell>
          <cell r="D8" t="str">
            <v>FP - IUD</v>
          </cell>
          <cell r="E8">
            <v>1</v>
          </cell>
          <cell r="F8">
            <v>1</v>
          </cell>
          <cell r="G8">
            <v>1</v>
          </cell>
          <cell r="I8">
            <v>1</v>
          </cell>
        </row>
        <row r="9">
          <cell r="B9">
            <v>6</v>
          </cell>
          <cell r="C9">
            <v>2</v>
          </cell>
          <cell r="D9" t="str">
            <v>FP - Female Sterilization</v>
          </cell>
          <cell r="E9">
            <v>1</v>
          </cell>
          <cell r="F9">
            <v>2</v>
          </cell>
          <cell r="G9">
            <v>2</v>
          </cell>
          <cell r="I9">
            <v>1</v>
          </cell>
        </row>
        <row r="10">
          <cell r="B10">
            <v>7</v>
          </cell>
          <cell r="C10">
            <v>3</v>
          </cell>
          <cell r="D10" t="str">
            <v>FP - Male Sterilization</v>
          </cell>
          <cell r="E10">
            <v>1</v>
          </cell>
          <cell r="F10">
            <v>2</v>
          </cell>
          <cell r="G10">
            <v>2</v>
          </cell>
          <cell r="I10">
            <v>1</v>
          </cell>
        </row>
        <row r="11">
          <cell r="B11">
            <v>8</v>
          </cell>
          <cell r="C11">
            <v>8</v>
          </cell>
          <cell r="D11" t="str">
            <v>FP - Traditional Methods</v>
          </cell>
          <cell r="E11">
            <v>0</v>
          </cell>
          <cell r="F11">
            <v>0</v>
          </cell>
          <cell r="G11">
            <v>0</v>
          </cell>
          <cell r="I11">
            <v>0</v>
          </cell>
        </row>
        <row r="12">
          <cell r="B12" t="str">
            <v>Int#</v>
          </cell>
          <cell r="C12" t="str">
            <v>LiST#</v>
          </cell>
          <cell r="D12" t="str">
            <v>Intervention</v>
          </cell>
          <cell r="E12" t="str">
            <v>Number of Visits per Pregnant Woman</v>
          </cell>
          <cell r="F12" t="str">
            <v>Number of Health Workers involved in each Visit</v>
          </cell>
          <cell r="G12" t="str">
            <v>Number of Health Worker Contacts</v>
          </cell>
          <cell r="I12" t="str">
            <v>No of Visits if Part of Package</v>
          </cell>
        </row>
        <row r="13">
          <cell r="B13">
            <v>100</v>
          </cell>
          <cell r="C13">
            <v>100</v>
          </cell>
          <cell r="D13" t="str">
            <v>ANTENATAL CARE</v>
          </cell>
          <cell r="E13">
            <v>8</v>
          </cell>
          <cell r="F13">
            <v>1</v>
          </cell>
          <cell r="G13">
            <v>8</v>
          </cell>
          <cell r="I13">
            <v>8</v>
          </cell>
        </row>
        <row r="14">
          <cell r="B14">
            <v>11</v>
          </cell>
          <cell r="C14">
            <v>16</v>
          </cell>
          <cell r="D14" t="str">
            <v>TT - Tetanus toxoid vaccination</v>
          </cell>
          <cell r="E14">
            <v>2</v>
          </cell>
          <cell r="F14">
            <v>1</v>
          </cell>
          <cell r="G14">
            <v>2</v>
          </cell>
          <cell r="I14">
            <v>0</v>
          </cell>
        </row>
        <row r="15">
          <cell r="B15">
            <v>12</v>
          </cell>
          <cell r="C15">
            <v>17</v>
          </cell>
          <cell r="D15" t="str">
            <v>IPTp - Intermittent preventive treatment of malaria during pregnancy</v>
          </cell>
          <cell r="E15">
            <v>3</v>
          </cell>
          <cell r="F15">
            <v>1</v>
          </cell>
          <cell r="G15">
            <v>3</v>
          </cell>
          <cell r="I15">
            <v>0</v>
          </cell>
        </row>
        <row r="16">
          <cell r="B16">
            <v>13</v>
          </cell>
          <cell r="C16">
            <v>18</v>
          </cell>
          <cell r="D16" t="str">
            <v>Syphilis detection and treatment</v>
          </cell>
          <cell r="E16">
            <v>2</v>
          </cell>
          <cell r="F16">
            <v>1</v>
          </cell>
          <cell r="G16">
            <v>2</v>
          </cell>
          <cell r="I16">
            <v>0</v>
          </cell>
        </row>
        <row r="17">
          <cell r="B17">
            <v>14</v>
          </cell>
          <cell r="C17">
            <v>19</v>
          </cell>
          <cell r="D17" t="str">
            <v>Calcium supplementation</v>
          </cell>
          <cell r="E17">
            <v>4</v>
          </cell>
          <cell r="F17">
            <v>1</v>
          </cell>
          <cell r="G17">
            <v>4</v>
          </cell>
          <cell r="I17">
            <v>0</v>
          </cell>
        </row>
        <row r="18">
          <cell r="B18">
            <v>15</v>
          </cell>
          <cell r="C18">
            <v>20</v>
          </cell>
          <cell r="D18" t="str">
            <v>Iron supplementation in pregnancy</v>
          </cell>
          <cell r="E18">
            <v>4</v>
          </cell>
          <cell r="F18">
            <v>1</v>
          </cell>
          <cell r="G18">
            <v>4</v>
          </cell>
          <cell r="I18">
            <v>0</v>
          </cell>
        </row>
        <row r="19">
          <cell r="B19">
            <v>16</v>
          </cell>
          <cell r="C19">
            <v>21</v>
          </cell>
          <cell r="D19" t="str">
            <v>Multiple micronutrient supplementation in pregnancy</v>
          </cell>
          <cell r="E19">
            <v>4</v>
          </cell>
          <cell r="F19">
            <v>1</v>
          </cell>
          <cell r="G19">
            <v>4</v>
          </cell>
          <cell r="I19">
            <v>0</v>
          </cell>
        </row>
        <row r="20">
          <cell r="B20">
            <v>17</v>
          </cell>
          <cell r="C20">
            <v>22</v>
          </cell>
          <cell r="D20" t="str">
            <v>Balanced energy supplementation</v>
          </cell>
          <cell r="E20">
            <v>4</v>
          </cell>
          <cell r="F20">
            <v>1</v>
          </cell>
          <cell r="G20">
            <v>4</v>
          </cell>
          <cell r="I20">
            <v>0</v>
          </cell>
        </row>
        <row r="21">
          <cell r="B21">
            <v>18</v>
          </cell>
          <cell r="C21">
            <v>23</v>
          </cell>
          <cell r="D21" t="str">
            <v>Hypertensive disorder case management</v>
          </cell>
          <cell r="E21">
            <v>4</v>
          </cell>
          <cell r="F21">
            <v>1</v>
          </cell>
          <cell r="G21">
            <v>4</v>
          </cell>
          <cell r="I21">
            <v>0</v>
          </cell>
        </row>
        <row r="22">
          <cell r="B22">
            <v>19</v>
          </cell>
          <cell r="C22">
            <v>24</v>
          </cell>
          <cell r="D22" t="str">
            <v>Diabetes case management</v>
          </cell>
          <cell r="E22">
            <v>4</v>
          </cell>
          <cell r="F22">
            <v>1</v>
          </cell>
          <cell r="G22">
            <v>4</v>
          </cell>
          <cell r="I22">
            <v>0</v>
          </cell>
        </row>
        <row r="23">
          <cell r="B23">
            <v>20</v>
          </cell>
          <cell r="C23">
            <v>25</v>
          </cell>
          <cell r="D23" t="str">
            <v>Malaria case management</v>
          </cell>
          <cell r="E23">
            <v>2</v>
          </cell>
          <cell r="F23">
            <v>1</v>
          </cell>
          <cell r="G23">
            <v>2</v>
          </cell>
          <cell r="I23">
            <v>0</v>
          </cell>
        </row>
        <row r="24">
          <cell r="B24">
            <v>21</v>
          </cell>
          <cell r="C24">
            <v>26</v>
          </cell>
          <cell r="D24" t="str">
            <v>MgSO4 management of pre-eclampsia</v>
          </cell>
          <cell r="E24">
            <v>1</v>
          </cell>
          <cell r="F24">
            <v>2</v>
          </cell>
          <cell r="G24">
            <v>2</v>
          </cell>
          <cell r="I24">
            <v>1</v>
          </cell>
        </row>
        <row r="25">
          <cell r="B25" t="str">
            <v>Int#</v>
          </cell>
          <cell r="C25" t="str">
            <v>LiST#</v>
          </cell>
          <cell r="D25" t="str">
            <v>Intervention</v>
          </cell>
          <cell r="E25" t="str">
            <v>Hospital Stay in Days</v>
          </cell>
          <cell r="F25" t="str">
            <v>Avg. No of Health Workers Seen per Day</v>
          </cell>
          <cell r="G25" t="str">
            <v>Number of Health Worker Contacts</v>
          </cell>
          <cell r="I25" t="str">
            <v>No of Visits if Part of Package</v>
          </cell>
        </row>
        <row r="26">
          <cell r="B26">
            <v>200</v>
          </cell>
          <cell r="C26">
            <v>200</v>
          </cell>
          <cell r="D26" t="str">
            <v>FACILITY-BASED DELIVERY</v>
          </cell>
          <cell r="E26">
            <v>2</v>
          </cell>
          <cell r="F26">
            <v>2</v>
          </cell>
          <cell r="G26">
            <v>4</v>
          </cell>
          <cell r="I26">
            <v>2</v>
          </cell>
          <cell r="N26">
            <v>287100</v>
          </cell>
        </row>
        <row r="27">
          <cell r="B27">
            <v>23</v>
          </cell>
          <cell r="C27">
            <v>28</v>
          </cell>
          <cell r="D27" t="str">
            <v>Clean birth environment</v>
          </cell>
        </row>
        <row r="28">
          <cell r="B28">
            <v>24</v>
          </cell>
          <cell r="C28">
            <v>32</v>
          </cell>
          <cell r="D28" t="str">
            <v>Manual removal of placenta</v>
          </cell>
          <cell r="E28">
            <v>2</v>
          </cell>
          <cell r="F28">
            <v>2</v>
          </cell>
          <cell r="G28">
            <v>4</v>
          </cell>
          <cell r="I28">
            <v>0</v>
          </cell>
        </row>
        <row r="29">
          <cell r="B29">
            <v>25</v>
          </cell>
          <cell r="C29">
            <v>33</v>
          </cell>
          <cell r="D29" t="str">
            <v>MgSO4 management of eclampsia</v>
          </cell>
          <cell r="E29">
            <v>5</v>
          </cell>
          <cell r="F29">
            <v>2</v>
          </cell>
          <cell r="G29">
            <v>10</v>
          </cell>
          <cell r="I29">
            <v>0</v>
          </cell>
        </row>
        <row r="30">
          <cell r="B30">
            <v>26</v>
          </cell>
          <cell r="C30">
            <v>34</v>
          </cell>
          <cell r="D30" t="str">
            <v>Antibiotics for preterm or prolonged PROM</v>
          </cell>
          <cell r="E30">
            <v>3</v>
          </cell>
          <cell r="F30">
            <v>2</v>
          </cell>
          <cell r="G30">
            <v>6</v>
          </cell>
          <cell r="I30">
            <v>0</v>
          </cell>
        </row>
        <row r="31">
          <cell r="B31">
            <v>27</v>
          </cell>
          <cell r="C31">
            <v>35</v>
          </cell>
          <cell r="D31" t="str">
            <v>Parenteral administration of antibiotics</v>
          </cell>
          <cell r="E31">
            <v>5</v>
          </cell>
          <cell r="F31">
            <v>2</v>
          </cell>
          <cell r="G31">
            <v>10</v>
          </cell>
          <cell r="I31">
            <v>0</v>
          </cell>
        </row>
        <row r="32">
          <cell r="B32">
            <v>28</v>
          </cell>
          <cell r="C32">
            <v>36</v>
          </cell>
          <cell r="D32" t="str">
            <v>Assisted vaginal delivery</v>
          </cell>
          <cell r="E32">
            <v>2</v>
          </cell>
          <cell r="F32">
            <v>2</v>
          </cell>
          <cell r="G32">
            <v>4</v>
          </cell>
          <cell r="I32">
            <v>0</v>
          </cell>
        </row>
        <row r="33">
          <cell r="B33">
            <v>29</v>
          </cell>
          <cell r="C33">
            <v>38</v>
          </cell>
          <cell r="D33" t="str">
            <v>Active management of third stage of labor (AMTSL)</v>
          </cell>
          <cell r="F33">
            <v>2</v>
          </cell>
          <cell r="G33">
            <v>2</v>
          </cell>
          <cell r="I33">
            <v>0</v>
          </cell>
        </row>
        <row r="34">
          <cell r="B34">
            <v>30</v>
          </cell>
          <cell r="C34">
            <v>39</v>
          </cell>
          <cell r="D34" t="str">
            <v>Removal of retained products of conception</v>
          </cell>
          <cell r="E34">
            <v>2</v>
          </cell>
          <cell r="F34">
            <v>2</v>
          </cell>
          <cell r="G34">
            <v>4</v>
          </cell>
          <cell r="I34">
            <v>0</v>
          </cell>
        </row>
        <row r="35">
          <cell r="B35">
            <v>31</v>
          </cell>
          <cell r="C35">
            <v>40</v>
          </cell>
          <cell r="D35" t="str">
            <v>Induction of labor for pregnancies lasting 41+ weeks</v>
          </cell>
          <cell r="E35">
            <v>1</v>
          </cell>
          <cell r="F35">
            <v>1</v>
          </cell>
          <cell r="G35">
            <v>1</v>
          </cell>
          <cell r="I35">
            <v>0</v>
          </cell>
        </row>
        <row r="36">
          <cell r="B36">
            <v>32</v>
          </cell>
          <cell r="C36">
            <v>41</v>
          </cell>
          <cell r="D36" t="str">
            <v>Antenatal corticosteroids for preterm labor</v>
          </cell>
          <cell r="E36">
            <v>2</v>
          </cell>
          <cell r="F36">
            <v>2</v>
          </cell>
          <cell r="G36">
            <v>4</v>
          </cell>
          <cell r="I36">
            <v>0</v>
          </cell>
        </row>
        <row r="37">
          <cell r="B37">
            <v>33</v>
          </cell>
          <cell r="C37">
            <v>65</v>
          </cell>
          <cell r="D37" t="str">
            <v>Maternal sepsis case management</v>
          </cell>
          <cell r="E37">
            <v>5</v>
          </cell>
          <cell r="F37">
            <v>2</v>
          </cell>
          <cell r="G37">
            <v>10</v>
          </cell>
          <cell r="I37">
            <v>0</v>
          </cell>
        </row>
        <row r="38">
          <cell r="B38">
            <v>34</v>
          </cell>
          <cell r="C38">
            <v>10</v>
          </cell>
          <cell r="D38" t="str">
            <v>Safe abortion services</v>
          </cell>
          <cell r="E38">
            <v>1</v>
          </cell>
          <cell r="F38">
            <v>2</v>
          </cell>
          <cell r="G38">
            <v>2</v>
          </cell>
          <cell r="I38">
            <v>1</v>
          </cell>
        </row>
        <row r="39">
          <cell r="B39">
            <v>35</v>
          </cell>
          <cell r="C39">
            <v>11</v>
          </cell>
          <cell r="D39" t="str">
            <v>Post abortion case management</v>
          </cell>
          <cell r="E39">
            <v>3</v>
          </cell>
          <cell r="F39">
            <v>2</v>
          </cell>
          <cell r="G39">
            <v>6</v>
          </cell>
          <cell r="I39">
            <v>1</v>
          </cell>
        </row>
        <row r="40">
          <cell r="B40">
            <v>36</v>
          </cell>
          <cell r="C40">
            <v>42</v>
          </cell>
          <cell r="D40" t="str">
            <v>Cesarean delivery</v>
          </cell>
          <cell r="E40">
            <v>7</v>
          </cell>
          <cell r="F40">
            <v>3</v>
          </cell>
          <cell r="G40">
            <v>21</v>
          </cell>
          <cell r="I40">
            <v>0</v>
          </cell>
        </row>
        <row r="41">
          <cell r="B41">
            <v>37</v>
          </cell>
          <cell r="C41">
            <v>43</v>
          </cell>
          <cell r="D41" t="str">
            <v>Blood transfusion</v>
          </cell>
          <cell r="E41">
            <v>5</v>
          </cell>
          <cell r="F41">
            <v>2</v>
          </cell>
          <cell r="G41">
            <v>10</v>
          </cell>
          <cell r="I41">
            <v>0</v>
          </cell>
        </row>
        <row r="42">
          <cell r="B42">
            <v>38</v>
          </cell>
          <cell r="C42">
            <v>12</v>
          </cell>
          <cell r="D42" t="str">
            <v>Ectopic pregnancy case management</v>
          </cell>
          <cell r="E42">
            <v>5</v>
          </cell>
          <cell r="F42">
            <v>2</v>
          </cell>
          <cell r="G42">
            <v>10</v>
          </cell>
          <cell r="I42">
            <v>0</v>
          </cell>
        </row>
        <row r="43">
          <cell r="B43">
            <v>39</v>
          </cell>
          <cell r="C43">
            <v>29</v>
          </cell>
          <cell r="D43" t="str">
            <v>Immediate drying and additional stimulation</v>
          </cell>
          <cell r="F43">
            <v>2</v>
          </cell>
          <cell r="G43">
            <v>2</v>
          </cell>
          <cell r="I43">
            <v>0</v>
          </cell>
          <cell r="N43">
            <v>224400</v>
          </cell>
        </row>
        <row r="44">
          <cell r="B44">
            <v>40</v>
          </cell>
          <cell r="C44">
            <v>30</v>
          </cell>
          <cell r="D44" t="str">
            <v>Thermal protection</v>
          </cell>
          <cell r="F44">
            <v>2</v>
          </cell>
          <cell r="G44">
            <v>2</v>
          </cell>
          <cell r="I44">
            <v>0</v>
          </cell>
        </row>
        <row r="45">
          <cell r="B45">
            <v>41</v>
          </cell>
          <cell r="C45">
            <v>31</v>
          </cell>
          <cell r="D45" t="str">
            <v>Clean cord care</v>
          </cell>
          <cell r="F45">
            <v>1</v>
          </cell>
          <cell r="G45">
            <v>1</v>
          </cell>
          <cell r="I45">
            <v>0</v>
          </cell>
        </row>
        <row r="46">
          <cell r="B46">
            <v>42</v>
          </cell>
          <cell r="C46">
            <v>37</v>
          </cell>
          <cell r="D46" t="str">
            <v>Neonatal resuscitation</v>
          </cell>
        </row>
        <row r="47">
          <cell r="D47" t="str">
            <v>Case management of premature babies</v>
          </cell>
        </row>
        <row r="48">
          <cell r="B48">
            <v>43</v>
          </cell>
          <cell r="C48">
            <v>66</v>
          </cell>
          <cell r="D48" t="str">
            <v>Kangaroo-Mother Care (KMC)</v>
          </cell>
          <cell r="F48">
            <v>1</v>
          </cell>
          <cell r="G48">
            <v>1</v>
          </cell>
          <cell r="I48">
            <v>0</v>
          </cell>
        </row>
        <row r="49">
          <cell r="B49">
            <v>44</v>
          </cell>
          <cell r="C49">
            <v>67</v>
          </cell>
          <cell r="D49" t="str">
            <v>Full supportive care of prematurity</v>
          </cell>
          <cell r="E49">
            <v>14</v>
          </cell>
          <cell r="F49">
            <v>2</v>
          </cell>
          <cell r="G49">
            <v>28</v>
          </cell>
          <cell r="I49">
            <v>14</v>
          </cell>
        </row>
        <row r="50">
          <cell r="D50" t="str">
            <v>Case management of neonatal sepsis/pneumonia</v>
          </cell>
        </row>
        <row r="51">
          <cell r="B51">
            <v>45</v>
          </cell>
          <cell r="C51">
            <v>68</v>
          </cell>
          <cell r="D51" t="str">
            <v>Oral antibiotics</v>
          </cell>
          <cell r="F51">
            <v>1</v>
          </cell>
          <cell r="G51">
            <v>1</v>
          </cell>
          <cell r="I51">
            <v>0</v>
          </cell>
        </row>
        <row r="52">
          <cell r="B52">
            <v>46</v>
          </cell>
          <cell r="C52">
            <v>69</v>
          </cell>
          <cell r="D52" t="str">
            <v>Injectable antibiotics</v>
          </cell>
          <cell r="F52">
            <v>1</v>
          </cell>
          <cell r="G52">
            <v>1</v>
          </cell>
          <cell r="I52">
            <v>0</v>
          </cell>
        </row>
        <row r="53">
          <cell r="B53">
            <v>47</v>
          </cell>
          <cell r="C53">
            <v>70</v>
          </cell>
          <cell r="D53" t="str">
            <v>Full supportive care</v>
          </cell>
          <cell r="E53">
            <v>14</v>
          </cell>
          <cell r="F53">
            <v>4</v>
          </cell>
          <cell r="G53">
            <v>56</v>
          </cell>
          <cell r="I53">
            <v>14</v>
          </cell>
        </row>
        <row r="54">
          <cell r="B54" t="str">
            <v>Int#</v>
          </cell>
          <cell r="C54" t="str">
            <v>LiST#</v>
          </cell>
          <cell r="D54" t="str">
            <v>Intervention</v>
          </cell>
          <cell r="E54" t="str">
            <v>Number of Visits per Woman</v>
          </cell>
          <cell r="F54" t="str">
            <v>Number of Health Workers involved in each Visit</v>
          </cell>
          <cell r="G54" t="str">
            <v>Number of Health Worker Contacts</v>
          </cell>
          <cell r="I54" t="str">
            <v>No of Visits if Part of Package</v>
          </cell>
        </row>
        <row r="55">
          <cell r="B55">
            <v>48</v>
          </cell>
          <cell r="C55">
            <v>44</v>
          </cell>
          <cell r="D55" t="str">
            <v>Early Initiation of Breastfeeding</v>
          </cell>
          <cell r="E55">
            <v>2</v>
          </cell>
          <cell r="F55">
            <v>1</v>
          </cell>
          <cell r="G55">
            <v>2</v>
          </cell>
          <cell r="I55">
            <v>2</v>
          </cell>
        </row>
        <row r="56">
          <cell r="B56">
            <v>49</v>
          </cell>
          <cell r="C56">
            <v>45</v>
          </cell>
          <cell r="D56" t="str">
            <v>Complementary feeding - Education only</v>
          </cell>
          <cell r="E56">
            <v>4</v>
          </cell>
          <cell r="F56">
            <v>1</v>
          </cell>
          <cell r="G56">
            <v>4</v>
          </cell>
          <cell r="I56">
            <v>2</v>
          </cell>
        </row>
        <row r="57">
          <cell r="B57">
            <v>50</v>
          </cell>
          <cell r="C57">
            <v>46</v>
          </cell>
          <cell r="D57" t="str">
            <v>Complementary feeding - Supplementary feeding + Education</v>
          </cell>
          <cell r="E57">
            <v>4</v>
          </cell>
          <cell r="F57">
            <v>1</v>
          </cell>
          <cell r="G57">
            <v>4</v>
          </cell>
          <cell r="I57">
            <v>2</v>
          </cell>
        </row>
        <row r="58">
          <cell r="B58" t="str">
            <v>Int#</v>
          </cell>
          <cell r="C58" t="str">
            <v>LiST#</v>
          </cell>
          <cell r="D58" t="str">
            <v>Intervention</v>
          </cell>
          <cell r="E58" t="str">
            <v>Number of Visits per Child</v>
          </cell>
          <cell r="F58" t="str">
            <v>Number of Health Workers involved in each Visit</v>
          </cell>
          <cell r="G58" t="str">
            <v>Number of Health Worker Contacts per Case/Episode</v>
          </cell>
          <cell r="I58" t="str">
            <v>No of Visits if Part of Package</v>
          </cell>
        </row>
        <row r="59">
          <cell r="B59">
            <v>300</v>
          </cell>
          <cell r="C59">
            <v>300</v>
          </cell>
          <cell r="D59" t="str">
            <v>AVERAGE NUMBER OF VACCINATION VISITS PER CHILD IN FiRST LIFE-YEAR</v>
          </cell>
          <cell r="E59">
            <v>6</v>
          </cell>
          <cell r="F59">
            <v>1</v>
          </cell>
          <cell r="G59">
            <v>6</v>
          </cell>
          <cell r="I59">
            <v>6</v>
          </cell>
        </row>
        <row r="60">
          <cell r="B60">
            <v>51</v>
          </cell>
          <cell r="C60">
            <v>55</v>
          </cell>
          <cell r="D60" t="str">
            <v>BCG - Single dose</v>
          </cell>
          <cell r="E60">
            <v>1</v>
          </cell>
          <cell r="F60">
            <v>1</v>
          </cell>
          <cell r="G60">
            <v>1</v>
          </cell>
          <cell r="I60">
            <v>0</v>
          </cell>
        </row>
        <row r="61">
          <cell r="B61">
            <v>52</v>
          </cell>
          <cell r="C61">
            <v>56</v>
          </cell>
          <cell r="D61" t="str">
            <v>Polio - Three doses</v>
          </cell>
          <cell r="E61">
            <v>3</v>
          </cell>
          <cell r="F61">
            <v>1</v>
          </cell>
          <cell r="G61">
            <v>3</v>
          </cell>
          <cell r="I61">
            <v>0</v>
          </cell>
        </row>
        <row r="62">
          <cell r="D62" t="str">
            <v>Pentavalent</v>
          </cell>
        </row>
        <row r="63">
          <cell r="B63">
            <v>53</v>
          </cell>
          <cell r="C63">
            <v>57</v>
          </cell>
          <cell r="D63" t="str">
            <v>DPT - Three doses</v>
          </cell>
          <cell r="E63">
            <v>3</v>
          </cell>
          <cell r="F63">
            <v>1</v>
          </cell>
          <cell r="G63">
            <v>3</v>
          </cell>
          <cell r="I63">
            <v>0</v>
          </cell>
        </row>
        <row r="64">
          <cell r="B64">
            <v>54</v>
          </cell>
          <cell r="C64">
            <v>58</v>
          </cell>
          <cell r="D64" t="str">
            <v>Hib - Three doses</v>
          </cell>
          <cell r="E64">
            <v>3</v>
          </cell>
          <cell r="F64">
            <v>1</v>
          </cell>
          <cell r="G64">
            <v>3</v>
          </cell>
          <cell r="I64">
            <v>0</v>
          </cell>
        </row>
        <row r="65">
          <cell r="B65">
            <v>55</v>
          </cell>
          <cell r="C65">
            <v>59</v>
          </cell>
          <cell r="D65" t="str">
            <v>HepB - Three doses</v>
          </cell>
          <cell r="E65">
            <v>3</v>
          </cell>
          <cell r="F65">
            <v>1</v>
          </cell>
          <cell r="G65">
            <v>3</v>
          </cell>
          <cell r="I65">
            <v>0</v>
          </cell>
        </row>
        <row r="66">
          <cell r="B66">
            <v>56</v>
          </cell>
          <cell r="C66">
            <v>60</v>
          </cell>
          <cell r="D66" t="str">
            <v>Pneumococcal - Three doses</v>
          </cell>
          <cell r="E66">
            <v>3</v>
          </cell>
          <cell r="F66">
            <v>1</v>
          </cell>
          <cell r="G66">
            <v>3</v>
          </cell>
          <cell r="I66">
            <v>0</v>
          </cell>
        </row>
        <row r="67">
          <cell r="B67">
            <v>57</v>
          </cell>
          <cell r="C67">
            <v>61</v>
          </cell>
          <cell r="D67" t="str">
            <v>Rotavirus - Two doses</v>
          </cell>
          <cell r="E67">
            <v>2</v>
          </cell>
          <cell r="F67">
            <v>1</v>
          </cell>
          <cell r="G67">
            <v>2</v>
          </cell>
          <cell r="I67">
            <v>0</v>
          </cell>
        </row>
        <row r="68">
          <cell r="B68">
            <v>58</v>
          </cell>
          <cell r="C68">
            <v>62</v>
          </cell>
          <cell r="D68" t="str">
            <v>Meningococcal A - Single dose</v>
          </cell>
          <cell r="E68">
            <v>1</v>
          </cell>
          <cell r="F68">
            <v>1</v>
          </cell>
          <cell r="G68">
            <v>1</v>
          </cell>
          <cell r="I68">
            <v>0</v>
          </cell>
        </row>
        <row r="69">
          <cell r="B69">
            <v>59</v>
          </cell>
          <cell r="C69">
            <v>63</v>
          </cell>
          <cell r="D69" t="str">
            <v>Malaria vaccine - Three doses</v>
          </cell>
          <cell r="E69">
            <v>3</v>
          </cell>
          <cell r="F69">
            <v>1</v>
          </cell>
          <cell r="G69">
            <v>3</v>
          </cell>
          <cell r="I69">
            <v>0</v>
          </cell>
        </row>
        <row r="70">
          <cell r="B70">
            <v>60</v>
          </cell>
          <cell r="C70">
            <v>64</v>
          </cell>
          <cell r="D70" t="str">
            <v>Measles - Single dose</v>
          </cell>
          <cell r="E70">
            <v>1</v>
          </cell>
          <cell r="F70">
            <v>1</v>
          </cell>
          <cell r="G70">
            <v>1</v>
          </cell>
          <cell r="I70">
            <v>0</v>
          </cell>
        </row>
        <row r="71">
          <cell r="B71" t="str">
            <v>Int#</v>
          </cell>
          <cell r="C71" t="str">
            <v>LiST#</v>
          </cell>
          <cell r="D71" t="str">
            <v>Intervention</v>
          </cell>
          <cell r="E71" t="str">
            <v>Number of Visits per Patient per Case/Episode</v>
          </cell>
          <cell r="F71" t="str">
            <v>Number of Health Workers involved in each Visit</v>
          </cell>
          <cell r="G71" t="str">
            <v>Number of Health Worker Contacts per Case/Episode</v>
          </cell>
          <cell r="I71" t="str">
            <v>No of Visits if Part of Package</v>
          </cell>
        </row>
        <row r="72">
          <cell r="B72">
            <v>400</v>
          </cell>
          <cell r="C72">
            <v>400</v>
          </cell>
          <cell r="D72" t="str">
            <v>AVERAGE NUMBER OF SICK/WELL CHILD VISITS PER YEAR</v>
          </cell>
          <cell r="E72">
            <v>3</v>
          </cell>
          <cell r="F72">
            <v>1</v>
          </cell>
          <cell r="G72">
            <v>3</v>
          </cell>
          <cell r="I72">
            <v>6</v>
          </cell>
        </row>
        <row r="73">
          <cell r="B73">
            <v>61</v>
          </cell>
          <cell r="C73">
            <v>47</v>
          </cell>
          <cell r="D73" t="str">
            <v>Vitamin A supplementation</v>
          </cell>
          <cell r="E73">
            <v>2</v>
          </cell>
          <cell r="F73">
            <v>1</v>
          </cell>
          <cell r="G73">
            <v>2</v>
          </cell>
          <cell r="I73">
            <v>2</v>
          </cell>
        </row>
        <row r="74">
          <cell r="B74">
            <v>62</v>
          </cell>
          <cell r="C74">
            <v>48</v>
          </cell>
          <cell r="D74" t="str">
            <v>Zinc supplementation</v>
          </cell>
          <cell r="E74">
            <v>2</v>
          </cell>
          <cell r="F74">
            <v>1</v>
          </cell>
          <cell r="G74">
            <v>2</v>
          </cell>
          <cell r="I74">
            <v>2</v>
          </cell>
        </row>
        <row r="75">
          <cell r="B75">
            <v>63</v>
          </cell>
          <cell r="C75">
            <v>71</v>
          </cell>
          <cell r="D75" t="str">
            <v>ORS - Oral Rehydration Solution</v>
          </cell>
          <cell r="E75">
            <v>1</v>
          </cell>
          <cell r="F75">
            <v>1</v>
          </cell>
          <cell r="G75">
            <v>1</v>
          </cell>
          <cell r="I75">
            <v>1</v>
          </cell>
        </row>
        <row r="76">
          <cell r="B76">
            <v>64</v>
          </cell>
          <cell r="C76">
            <v>72</v>
          </cell>
          <cell r="D76" t="str">
            <v>Antibiotics for treatment of dysentery</v>
          </cell>
          <cell r="E76">
            <v>1</v>
          </cell>
          <cell r="F76">
            <v>1</v>
          </cell>
          <cell r="G76">
            <v>1</v>
          </cell>
          <cell r="I76">
            <v>1</v>
          </cell>
        </row>
        <row r="77">
          <cell r="B77">
            <v>65</v>
          </cell>
          <cell r="C77">
            <v>73</v>
          </cell>
          <cell r="D77" t="str">
            <v>Zinc for treatment of diarrhea</v>
          </cell>
          <cell r="E77">
            <v>1</v>
          </cell>
          <cell r="F77">
            <v>1</v>
          </cell>
          <cell r="G77">
            <v>1</v>
          </cell>
          <cell r="I77">
            <v>1</v>
          </cell>
        </row>
        <row r="78">
          <cell r="B78">
            <v>66</v>
          </cell>
          <cell r="C78">
            <v>74</v>
          </cell>
          <cell r="D78" t="str">
            <v>Oral antibiotics for pneumonia</v>
          </cell>
          <cell r="E78">
            <v>1</v>
          </cell>
          <cell r="F78">
            <v>1</v>
          </cell>
          <cell r="G78">
            <v>1</v>
          </cell>
          <cell r="I78">
            <v>1</v>
          </cell>
        </row>
        <row r="79">
          <cell r="B79">
            <v>67</v>
          </cell>
          <cell r="C79">
            <v>75</v>
          </cell>
          <cell r="D79" t="str">
            <v>Vitamin A for treatment of measles</v>
          </cell>
          <cell r="E79">
            <v>1</v>
          </cell>
          <cell r="F79">
            <v>1</v>
          </cell>
          <cell r="G79">
            <v>1</v>
          </cell>
          <cell r="I79">
            <v>1</v>
          </cell>
        </row>
        <row r="80">
          <cell r="B80">
            <v>68</v>
          </cell>
          <cell r="C80">
            <v>76</v>
          </cell>
          <cell r="D80" t="str">
            <v>ACTs - Artemisinin compounds for treatment of malaria</v>
          </cell>
          <cell r="E80">
            <v>2</v>
          </cell>
          <cell r="F80">
            <v>1</v>
          </cell>
          <cell r="G80">
            <v>2</v>
          </cell>
          <cell r="I80">
            <v>2</v>
          </cell>
        </row>
        <row r="81">
          <cell r="B81">
            <v>69</v>
          </cell>
          <cell r="C81">
            <v>77</v>
          </cell>
          <cell r="D81" t="str">
            <v>SAM - treatment for severe acute malnutrition</v>
          </cell>
          <cell r="E81">
            <v>4</v>
          </cell>
          <cell r="F81">
            <v>1</v>
          </cell>
          <cell r="G81">
            <v>4</v>
          </cell>
          <cell r="I81">
            <v>4</v>
          </cell>
        </row>
        <row r="82">
          <cell r="B82">
            <v>70</v>
          </cell>
          <cell r="C82">
            <v>78</v>
          </cell>
          <cell r="D82" t="str">
            <v>MAM - treatment for moderate acute malnutrition</v>
          </cell>
          <cell r="E82">
            <v>4</v>
          </cell>
          <cell r="F82">
            <v>1</v>
          </cell>
          <cell r="G82">
            <v>4</v>
          </cell>
          <cell r="I82">
            <v>4</v>
          </cell>
        </row>
        <row r="83">
          <cell r="B83" t="str">
            <v>Int#</v>
          </cell>
          <cell r="C83" t="str">
            <v>LiST#</v>
          </cell>
          <cell r="D83" t="str">
            <v>Intervention</v>
          </cell>
          <cell r="E83" t="str">
            <v>Number of Visits per Patient per Case/Episode</v>
          </cell>
          <cell r="F83" t="str">
            <v>Number of Health Workers involved in each Visit</v>
          </cell>
          <cell r="G83" t="str">
            <v>Number of Health Worker Contacts per Case/Episode</v>
          </cell>
          <cell r="I83" t="str">
            <v>No of Visits if Part of Package</v>
          </cell>
        </row>
        <row r="84">
          <cell r="B84">
            <v>71</v>
          </cell>
          <cell r="C84">
            <v>54</v>
          </cell>
          <cell r="D84" t="str">
            <v>ITN/IRS - Households protected from malaria</v>
          </cell>
          <cell r="E84">
            <v>1</v>
          </cell>
          <cell r="F84">
            <v>1</v>
          </cell>
          <cell r="G84">
            <v>1</v>
          </cell>
          <cell r="I84">
            <v>1</v>
          </cell>
        </row>
      </sheetData>
      <sheetData sheetId="24" refreshError="1"/>
      <sheetData sheetId="25" refreshError="1">
        <row r="7">
          <cell r="C7">
            <v>0.1</v>
          </cell>
        </row>
        <row r="9">
          <cell r="C9">
            <v>0.33333333333333298</v>
          </cell>
        </row>
        <row r="16">
          <cell r="C16">
            <v>5.5</v>
          </cell>
        </row>
        <row r="17">
          <cell r="C17">
            <v>6.7123287671232903E-3</v>
          </cell>
        </row>
        <row r="18">
          <cell r="C18">
            <v>1.6780821917808199E-2</v>
          </cell>
        </row>
        <row r="19">
          <cell r="C19">
            <v>3.5714285714285698E-2</v>
          </cell>
        </row>
        <row r="20">
          <cell r="C20">
            <v>2.21428571428571E-2</v>
          </cell>
        </row>
        <row r="21">
          <cell r="C21">
            <v>6.6428571428571406E-2</v>
          </cell>
        </row>
        <row r="23">
          <cell r="C23">
            <v>0.1</v>
          </cell>
        </row>
        <row r="24">
          <cell r="C24">
            <v>0.1</v>
          </cell>
        </row>
        <row r="48">
          <cell r="C48">
            <v>0.9</v>
          </cell>
        </row>
        <row r="51">
          <cell r="C51">
            <v>1.6099999999999998E-5</v>
          </cell>
        </row>
        <row r="52">
          <cell r="C52">
            <v>8.4639999999999997E-4</v>
          </cell>
        </row>
        <row r="53">
          <cell r="C53">
            <v>3.2837900000000003E-2</v>
          </cell>
        </row>
        <row r="56">
          <cell r="C56">
            <v>6.3</v>
          </cell>
        </row>
        <row r="57">
          <cell r="C57">
            <v>3.2</v>
          </cell>
        </row>
        <row r="58">
          <cell r="C58">
            <v>2.8</v>
          </cell>
        </row>
        <row r="59">
          <cell r="C59">
            <v>0.3</v>
          </cell>
        </row>
      </sheetData>
      <sheetData sheetId="26" refreshError="1">
        <row r="7">
          <cell r="F7">
            <v>56100</v>
          </cell>
        </row>
        <row r="8">
          <cell r="F8">
            <v>56100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8"/>
  <sheetViews>
    <sheetView tabSelected="1" topLeftCell="J47" workbookViewId="0">
      <selection activeCell="AD70" activeCellId="4" sqref="AD5:AD12 AD35:AD47 AD49:AD52 AD67:AD68 AD70:AD87"/>
    </sheetView>
  </sheetViews>
  <sheetFormatPr defaultColWidth="8.7109375" defaultRowHeight="15"/>
  <cols>
    <col min="1" max="1" width="5.28515625" customWidth="1"/>
    <col min="2" max="2" width="6.42578125" customWidth="1"/>
    <col min="3" max="3" width="7.5703125" customWidth="1"/>
    <col min="4" max="4" width="98.42578125" customWidth="1"/>
    <col min="5" max="5" width="69.28515625" customWidth="1"/>
    <col min="6" max="6" width="8.85546875" customWidth="1"/>
    <col min="7" max="7" width="32.42578125" customWidth="1"/>
    <col min="8" max="8" width="6.85546875" customWidth="1"/>
    <col min="9" max="10" width="8.42578125" customWidth="1"/>
    <col min="11" max="11" width="8.85546875" customWidth="1"/>
    <col min="12" max="12" width="7.140625" customWidth="1"/>
    <col min="13" max="13" width="5.5703125" customWidth="1"/>
    <col min="14" max="14" width="37.5703125" customWidth="1"/>
    <col min="15" max="15" width="8" customWidth="1"/>
    <col min="16" max="16" width="7.42578125" customWidth="1"/>
    <col min="17" max="17" width="5.5703125" customWidth="1"/>
    <col min="18" max="18" width="8.42578125" customWidth="1"/>
    <col min="19" max="19" width="8" customWidth="1"/>
    <col min="20" max="20" width="7.42578125" customWidth="1"/>
    <col min="21" max="21" width="5.5703125" customWidth="1"/>
    <col min="22" max="22" width="8.42578125" customWidth="1"/>
    <col min="23" max="23" width="8" customWidth="1"/>
    <col min="24" max="24" width="7.140625" customWidth="1"/>
    <col min="25" max="25" width="5.85546875" customWidth="1"/>
    <col min="26" max="26" width="60.140625" customWidth="1"/>
    <col min="27" max="27" width="8" customWidth="1"/>
    <col min="28" max="28" width="7.140625" customWidth="1"/>
    <col min="29" max="29" width="5.85546875" customWidth="1"/>
    <col min="30" max="30" width="14.5703125" customWidth="1"/>
  </cols>
  <sheetData>
    <row r="1" spans="1:30" ht="20.25">
      <c r="A1" s="1"/>
      <c r="B1" s="2"/>
      <c r="C1" s="3"/>
      <c r="D1" s="2" t="s">
        <v>0</v>
      </c>
      <c r="E1" s="4"/>
      <c r="F1" s="3"/>
      <c r="G1" s="5" t="s">
        <v>1</v>
      </c>
      <c r="H1" s="3"/>
      <c r="I1" s="3"/>
      <c r="J1" s="3"/>
      <c r="K1" s="121" t="s">
        <v>2</v>
      </c>
      <c r="L1" s="3"/>
      <c r="M1" s="3"/>
      <c r="N1" s="121" t="s">
        <v>3</v>
      </c>
      <c r="O1" s="57"/>
      <c r="P1" s="3"/>
      <c r="Q1" s="3"/>
      <c r="R1" s="3"/>
      <c r="S1" s="3"/>
      <c r="T1" s="3"/>
      <c r="U1" s="3"/>
      <c r="V1" s="3"/>
      <c r="W1" s="3"/>
      <c r="X1" s="3"/>
      <c r="Y1" s="3"/>
      <c r="Z1" s="126" t="s">
        <v>4</v>
      </c>
      <c r="AA1" s="3"/>
      <c r="AB1" s="3"/>
      <c r="AC1" s="3"/>
      <c r="AD1" s="71"/>
    </row>
    <row r="2" spans="1:30" ht="15.75">
      <c r="A2" s="6" t="s">
        <v>5</v>
      </c>
      <c r="B2" s="6"/>
      <c r="C2" s="6"/>
      <c r="D2" s="3"/>
      <c r="E2" s="4"/>
      <c r="F2" s="7"/>
      <c r="G2" s="8" t="s">
        <v>6</v>
      </c>
      <c r="H2" s="105" t="s">
        <v>7</v>
      </c>
      <c r="I2" s="106"/>
      <c r="J2" s="122" t="s">
        <v>8</v>
      </c>
      <c r="K2" s="123"/>
      <c r="L2" s="123"/>
      <c r="M2" s="123"/>
      <c r="N2" s="123" t="s">
        <v>9</v>
      </c>
      <c r="O2" s="123"/>
      <c r="P2" s="123"/>
      <c r="Q2" s="123"/>
      <c r="R2" s="123" t="s">
        <v>10</v>
      </c>
      <c r="S2" s="123"/>
      <c r="T2" s="123"/>
      <c r="U2" s="123"/>
      <c r="V2" s="124" t="s">
        <v>11</v>
      </c>
      <c r="W2" s="124"/>
      <c r="X2" s="124"/>
      <c r="Y2" s="124"/>
      <c r="Z2" s="124" t="s">
        <v>12</v>
      </c>
      <c r="AA2" s="124"/>
      <c r="AB2" s="124"/>
      <c r="AC2" s="124"/>
      <c r="AD2" s="71"/>
    </row>
    <row r="3" spans="1:30" ht="102.75">
      <c r="A3" s="9" t="s">
        <v>13</v>
      </c>
      <c r="B3" s="10" t="s">
        <v>14</v>
      </c>
      <c r="C3" s="10" t="s">
        <v>15</v>
      </c>
      <c r="D3" s="11"/>
      <c r="E3" s="12"/>
      <c r="F3" s="7" t="s">
        <v>16</v>
      </c>
      <c r="G3" s="13" t="s">
        <v>17</v>
      </c>
      <c r="H3" s="13" t="s">
        <v>18</v>
      </c>
      <c r="I3" s="13" t="s">
        <v>19</v>
      </c>
      <c r="J3" s="125" t="s">
        <v>20</v>
      </c>
      <c r="K3" s="125" t="s">
        <v>21</v>
      </c>
      <c r="L3" s="125" t="s">
        <v>22</v>
      </c>
      <c r="M3" s="125" t="s">
        <v>23</v>
      </c>
      <c r="N3" s="125" t="s">
        <v>20</v>
      </c>
      <c r="O3" s="125" t="s">
        <v>21</v>
      </c>
      <c r="P3" s="125" t="s">
        <v>22</v>
      </c>
      <c r="Q3" s="125" t="s">
        <v>23</v>
      </c>
      <c r="R3" s="125" t="s">
        <v>20</v>
      </c>
      <c r="S3" s="125" t="s">
        <v>21</v>
      </c>
      <c r="T3" s="125" t="s">
        <v>22</v>
      </c>
      <c r="U3" s="125" t="s">
        <v>23</v>
      </c>
      <c r="V3" s="125" t="s">
        <v>20</v>
      </c>
      <c r="W3" s="125" t="s">
        <v>21</v>
      </c>
      <c r="X3" s="125" t="s">
        <v>22</v>
      </c>
      <c r="Y3" s="125" t="s">
        <v>23</v>
      </c>
      <c r="Z3" s="125" t="s">
        <v>20</v>
      </c>
      <c r="AA3" s="125" t="s">
        <v>21</v>
      </c>
      <c r="AB3" s="125" t="s">
        <v>22</v>
      </c>
      <c r="AC3" s="125" t="s">
        <v>23</v>
      </c>
      <c r="AD3" s="71"/>
    </row>
    <row r="4" spans="1:30" ht="15.75">
      <c r="A4" s="14"/>
      <c r="B4" s="14" t="str">
        <f>IF('[1]1. Select Services'!$E$13="x","x","")</f>
        <v/>
      </c>
      <c r="C4" s="14"/>
      <c r="D4" s="15" t="s">
        <v>24</v>
      </c>
      <c r="E4" s="16"/>
      <c r="F4" s="17"/>
      <c r="G4" s="18" t="s">
        <v>25</v>
      </c>
      <c r="H4" s="18"/>
      <c r="I4" s="18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71"/>
    </row>
    <row r="5" spans="1:30">
      <c r="A5" s="19"/>
      <c r="B5" s="20">
        <v>0</v>
      </c>
      <c r="C5" s="20">
        <v>0</v>
      </c>
      <c r="D5" s="19" t="s">
        <v>26</v>
      </c>
      <c r="E5" s="19"/>
      <c r="F5" s="21">
        <f>SUM(F$15:F$22)</f>
        <v>106900</v>
      </c>
      <c r="G5" s="22">
        <f>SUMPRODUCT($F$15:$F$22,$G$15:$G$22)/$F$5</f>
        <v>5.1805425631431197</v>
      </c>
      <c r="H5" s="22">
        <f>SUMPRODUCT($F$15:$F$22,$H$15:$H$22)/$F5</f>
        <v>5.1805425631431197</v>
      </c>
      <c r="I5" s="58">
        <f>SUMPRODUCT($F$15:$F$22,$I$15:$I$22)/SUM($F$15:$F$22)</f>
        <v>0.89</v>
      </c>
      <c r="J5" s="59">
        <f>1-((1-Risk_of_Provider_Being_Infected*_xlfn.SINGLE(Transmission_Risk_Contact_Health_Care_Provider))^(G5)*(1-Risk_of_Community_Member_being_Infected*Transmission_Risk_in_Community)^(G5*Contacts_During_Travel_to_Facility))</f>
        <v>8.7184205612582701E-3</v>
      </c>
      <c r="K5" s="60">
        <f>J5*(1-(Percent_Prevalence_at_End_of_Projection_Period-Percent_Prevalence_at_Beginning_of_Projection_Period))</f>
        <v>6.6841224302980002E-3</v>
      </c>
      <c r="L5" s="21">
        <f t="shared" ref="L5:L13" si="0">$F5*$K5*HH_Size</f>
        <v>4501.5559331328004</v>
      </c>
      <c r="M5" s="22">
        <f t="shared" ref="M5:M13" si="1">$F5*$J5*(HH_Children*Fatality_Rate_Child+HH_Adults*Fatality_Rate_Adult+HH_Over_60*Fatality_Rate_Over_60)</f>
        <v>11.4382485862757</v>
      </c>
      <c r="N5" s="61">
        <f>1-((1-Risk_of_Provider_Being_Infected*_xlfn.SINGLE(Transmission_Risk_Contact_Health_Care_Provider)*(1-Reduction_in_Risk_PPE))^($G5)*(1-Risk_of_Community_Member_being_Infected*Transmission_Risk_in_Community)^($G5*Contacts_During_Travel_to_Facility))</f>
        <v>8.5275168743771407E-3</v>
      </c>
      <c r="O5" s="59">
        <f t="shared" ref="O5:O13" si="2">N5*(1-(Percent_Prevalence_at_End_of_Projection_Period-Percent_Prevalence_at_Beginning_of_Projection_Period))</f>
        <v>6.5377629370224699E-3</v>
      </c>
      <c r="P5" s="21">
        <f t="shared" ref="P5:P13" si="3">$F5*$O5*HH_Size</f>
        <v>4402.9872051965203</v>
      </c>
      <c r="Q5" s="22">
        <f t="shared" ref="Q5:Q13" si="4">$F5*$O5*(HH_Children*Fatality_Rate_Child+HH_Adults*Fatality_Rate_Adult+HH_Over_60*Fatality_Rate_Over_60)</f>
        <v>8.5773056193346005</v>
      </c>
      <c r="R5" s="61">
        <f>1-((1-Risk_of_Provider_Being_Infected*_xlfn.SINGLE(Transmission_Risk_Contact_Health_Care_Provider)*(1-Reduction_in_Risk_PPE))^($G5*(1-Reduction_in_Risk_TS)))*(1-Risk_of_Community_Member_being_Infected*Transmission_Risk_in_Community)^($G5*Contacts_During_Travel_to_Facility)</f>
        <v>8.3557040556864193E-3</v>
      </c>
      <c r="S5" s="59">
        <f t="shared" ref="S5:S13" si="5">R5*(1-(Percent_Prevalence_at_End_of_Projection_Period-Percent_Prevalence_at_Beginning_of_Projection_Period))</f>
        <v>6.4060397760262499E-3</v>
      </c>
      <c r="T5" s="21">
        <f t="shared" ref="T5:T13" si="6">$F5*$S5*HH_Size</f>
        <v>4314.2756079603996</v>
      </c>
      <c r="U5" s="22">
        <f t="shared" ref="U5:U13" si="7">$F5*$S5*(HH_Children*Fatality_Rate_Child+HH_Adults*Fatality_Rate_Adult+HH_Over_60*Fatality_Rate_Over_60)</f>
        <v>8.4044896546242001</v>
      </c>
      <c r="V5" s="61">
        <f>1-((1-Risk_of_Provider_Being_Infected*_xlfn.SINGLE(Transmission_Risk_Contact_Health_Care_Provider)*(1-Reduction_in_Risk_PPE))^($H5*(1-Reduction_in_Risk_TS)))*(1-Risk_of_Community_Member_being_Infected*Transmission_Risk_in_Community)^($H5*Contacts_During_Travel_to_Facility)</f>
        <v>8.3557040556864193E-3</v>
      </c>
      <c r="W5" s="59">
        <f t="shared" ref="W5:W13" si="8">V5*(1-(Percent_Prevalence_at_End_of_Projection_Period-Percent_Prevalence_at_Beginning_of_Projection_Period))</f>
        <v>6.4060397760262499E-3</v>
      </c>
      <c r="X5" s="21">
        <f t="shared" ref="X5:X13" si="9">$F5*$W5*HH_Size</f>
        <v>4314.2756079603996</v>
      </c>
      <c r="Y5" s="22">
        <f t="shared" ref="Y5:Y13" si="10">$F5*$W5*(HH_Children*Fatality_Rate_Child+HH_Adults*Fatality_Rate_Adult+HH_Over_60*Fatality_Rate_Over_60)</f>
        <v>8.4044896546242001</v>
      </c>
      <c r="Z5" s="61">
        <f>1-((1-Risk_of_Provider_Being_Infected*Transmission_Risk_Contact_Health_Care_Provider*(1-$I5))^($H5)*(1-Risk_of_Community_Member_being_Infected*Transmission_Risk_in_Community)^($H5*Contacts_During_Travel_to_Facility))</f>
        <v>7.01833452286849E-3</v>
      </c>
      <c r="AA5" s="60">
        <f t="shared" ref="AA5:AA13" si="11">Z5*(1-(Percent_Prevalence_at_End_of_Projection_Period-Percent_Prevalence_at_Beginning_of_Projection_Period))</f>
        <v>5.3807231341991696E-3</v>
      </c>
      <c r="AB5" s="21">
        <f>$F5*$AA5*HH_Size*Infection_Rate_within_HH</f>
        <v>3261.3800482701999</v>
      </c>
      <c r="AC5" s="22">
        <f>$F5*$AA5*Infection_Rate_within_HH*(HH_Children*Fatality_Rate_Child+HH_Adults*Fatality_Rate_Adult+HH_Over_60*Fatality_Rate_Over_60)</f>
        <v>6.3533805825731804</v>
      </c>
      <c r="AD5" s="127" t="s">
        <v>27</v>
      </c>
    </row>
    <row r="6" spans="1:30">
      <c r="A6" s="23"/>
      <c r="B6" s="24">
        <v>100</v>
      </c>
      <c r="C6" s="24">
        <v>100</v>
      </c>
      <c r="D6" s="23" t="s">
        <v>28</v>
      </c>
      <c r="E6" s="23"/>
      <c r="F6" s="21">
        <f>F24</f>
        <v>152700</v>
      </c>
      <c r="G6" s="22">
        <f>'[1]7. Number of HW Contacts'!$E$13*'[1]7. Number of HW Contacts'!$F$13</f>
        <v>8</v>
      </c>
      <c r="H6" s="22" t="e">
        <f>G6*#REF!/#REF!</f>
        <v>#REF!</v>
      </c>
      <c r="I6" s="58">
        <f>SUMPRODUCT($F$23:$F$35,$I$23:$I$35)/SUM($F$23:$F$35)</f>
        <v>0.87</v>
      </c>
      <c r="J6" s="59">
        <f>1-((1-Risk_of_Provider_Being_Infected*_xlfn.SINGLE(Transmission_Risk_Contact_Health_Care_Provider))^(G6)*(1-Risk_of_Community_Member_being_Infected*Transmission_Risk_in_Community)^(G6*Contacts_During_Travel_to_Facility))</f>
        <v>1.34313484042911E-2</v>
      </c>
      <c r="K6" s="59">
        <f t="shared" ref="K6:K13" si="12">J6*(1-(Percent_Prevalence_at_End_of_Projection_Period-Percent_Prevalence_at_Beginning_of_Projection_Period)-Percent_Prevalence_at_Beginning_of_Projection_Period-Percent_Prevalence_at_Beginning_of_Projection_Period)</f>
        <v>7.6110974290982602E-3</v>
      </c>
      <c r="L6" s="21">
        <f t="shared" si="0"/>
        <v>7321.9518377668201</v>
      </c>
      <c r="M6" s="22">
        <f t="shared" si="1"/>
        <v>25.1711270963762</v>
      </c>
      <c r="N6" s="61">
        <f>1-((1-Risk_of_Provider_Being_Infected*_xlfn.SINGLE(Transmission_Risk_Contact_Health_Care_Provider)*(1-Reduction_in_Risk_PPE))^($G6)*(1-Risk_of_Community_Member_being_Infected*Transmission_Risk_in_Community)^($G6*Contacts_During_Travel_to_Facility))</f>
        <v>1.3137933554025601E-2</v>
      </c>
      <c r="O6" s="59">
        <f t="shared" si="2"/>
        <v>1.0072415724753E-2</v>
      </c>
      <c r="P6" s="21">
        <f t="shared" si="3"/>
        <v>9689.7646513695909</v>
      </c>
      <c r="Q6" s="22">
        <f t="shared" si="4"/>
        <v>18.876292144599201</v>
      </c>
      <c r="R6" s="61">
        <f>1-((1-Risk_of_Provider_Being_Infected*_xlfn.SINGLE(Transmission_Risk_Contact_Health_Care_Provider)*(1-Reduction_in_Risk_PPE))^($G6*(1-Reduction_in_Risk_TS)))*(1-Risk_of_Community_Member_being_Infected*Transmission_Risk_in_Community)^($G6*Contacts_During_Travel_to_Facility)</f>
        <v>1.2873834666284899E-2</v>
      </c>
      <c r="S6" s="59">
        <f t="shared" si="5"/>
        <v>9.8699399108184097E-3</v>
      </c>
      <c r="T6" s="21">
        <f t="shared" si="6"/>
        <v>9494.9808936064201</v>
      </c>
      <c r="U6" s="22">
        <f t="shared" si="7"/>
        <v>18.4968407080733</v>
      </c>
      <c r="V6" s="61" t="e">
        <f>1-((1-Risk_of_Provider_Being_Infected*_xlfn.SINGLE(Transmission_Risk_Contact_Health_Care_Provider)*(1-$I6)))*(1-Risk_of_Community_Member_being_Infected*Transmission_Risk_in_Community)^($H6*Contacts_During_Travel_to_Facility)</f>
        <v>#REF!</v>
      </c>
      <c r="W6" s="59" t="e">
        <f t="shared" si="8"/>
        <v>#REF!</v>
      </c>
      <c r="X6" s="21" t="e">
        <f t="shared" si="9"/>
        <v>#REF!</v>
      </c>
      <c r="Y6" s="22" t="e">
        <f t="shared" si="10"/>
        <v>#REF!</v>
      </c>
      <c r="Z6" s="61" t="e">
        <f>1-((1-Risk_of_Provider_Being_Infected*Transmission_Risk_Contact_Health_Care_Provider*(1-$I6))^($H6)*(1-Risk_of_Community_Member_being_Infected*Transmission_Risk_in_Community)^($H6*Contacts_During_Travel_to_Facility))</f>
        <v>#REF!</v>
      </c>
      <c r="AA6" s="59" t="e">
        <f t="shared" si="11"/>
        <v>#REF!</v>
      </c>
      <c r="AB6" s="21" t="e">
        <f>IF($F6*$AA6*HH_Size&lt;0,0,$F6*$AA6*HH_Size*Infection_Rate_within_HH)</f>
        <v>#REF!</v>
      </c>
      <c r="AC6" s="22" t="e">
        <f>IF(AB6=0,0,$F6*$AA6*(HH_Children*Fatality_Rate_Child+HH_Adults*Fatality_Rate_Adult+HH_Over_60*Fatality_Rate_Over_60))</f>
        <v>#REF!</v>
      </c>
      <c r="AD6" s="127" t="s">
        <v>27</v>
      </c>
    </row>
    <row r="7" spans="1:30">
      <c r="A7" s="25"/>
      <c r="B7" s="26">
        <v>200</v>
      </c>
      <c r="C7" s="26">
        <v>200</v>
      </c>
      <c r="D7" s="25" t="s">
        <v>29</v>
      </c>
      <c r="E7" s="25"/>
      <c r="F7" s="21">
        <f>$F$36</f>
        <v>56100</v>
      </c>
      <c r="G7" s="22">
        <f>'[1]7. Number of HW Contacts'!N26/'[1]Detailed COVID Calculations - 2'!F7</f>
        <v>5.1176470588235299</v>
      </c>
      <c r="H7" s="22" t="e">
        <f>G7*#REF!/#REF!</f>
        <v>#REF!</v>
      </c>
      <c r="I7" s="58">
        <f>SUMPRODUCT($F$36:$F$52,$I$36:$I$52)/SUM($F$36:$F$52)</f>
        <v>0.77</v>
      </c>
      <c r="J7" s="62">
        <f>1-((1-Risk_of_Provider_Being_Infected*_xlfn.SINGLE(Transmission_Risk_Hospital_Stay))^(G7)*(1-Risk_of_Community_Member_being_Infected*Transmission_Risk_in_Community)^(G7*Contacts_During_Travel_to_Facility))</f>
        <v>1.2379088700740001E-2</v>
      </c>
      <c r="K7" s="62">
        <f t="shared" si="12"/>
        <v>7.0148169304193398E-3</v>
      </c>
      <c r="L7" s="42">
        <f t="shared" si="0"/>
        <v>2479.2467477181099</v>
      </c>
      <c r="M7" s="44">
        <f t="shared" si="1"/>
        <v>8.5230600218101493</v>
      </c>
      <c r="N7" s="63">
        <f>1-((1-Risk_of_Provider_Being_Infected*_xlfn.SINGLE(Transmission_Risk_Hospital_Stay)*(1-Reduction_in_Risk_PPE))^(G7)*(1-Risk_of_Community_Member_being_Infected*Transmission_Risk_in_Community)^($G7*Contacts_During_Travel_to_Facility))</f>
        <v>1.18149148902391E-2</v>
      </c>
      <c r="O7" s="62">
        <f t="shared" si="2"/>
        <v>9.0581014158499906E-3</v>
      </c>
      <c r="P7" s="42">
        <f t="shared" si="3"/>
        <v>3201.4047834038602</v>
      </c>
      <c r="Q7" s="44">
        <f t="shared" si="4"/>
        <v>6.2365448634613898</v>
      </c>
      <c r="R7" s="63">
        <f>1-((1-Risk_of_Provider_Being_Infected*_xlfn.SINGLE(Transmission_Risk_Hospital_Stay)*(1-Reduction_in_Risk_PPE))^(G7*(1-Reduction_in_Risk_TS)))*(1-Risk_of_Community_Member_being_Infected*Transmission_Risk_in_Community)^($G7*Contacts_During_Travel_to_Facility)</f>
        <v>1.13071662462297E-2</v>
      </c>
      <c r="S7" s="62">
        <f t="shared" si="5"/>
        <v>8.6688274554428003E-3</v>
      </c>
      <c r="T7" s="42">
        <f t="shared" si="6"/>
        <v>3063.8236875771499</v>
      </c>
      <c r="U7" s="44">
        <f t="shared" si="7"/>
        <v>5.9685279351005898</v>
      </c>
      <c r="V7" s="63" t="e">
        <f>1-((1-Risk_of_Provider_Being_Infected*_xlfn.SINGLE(Transmission_Risk_Hospital_Stay)*(1-Reduction_in_Risk_PPE))^(H7*(1-Reduction_in_Risk_TS)))*(1-Risk_of_Community_Member_being_Infected*Transmission_Risk_in_Community)^($H7*Contacts_During_Travel_to_Facility)</f>
        <v>#REF!</v>
      </c>
      <c r="W7" s="62" t="e">
        <f t="shared" si="8"/>
        <v>#REF!</v>
      </c>
      <c r="X7" s="42" t="e">
        <f t="shared" si="9"/>
        <v>#REF!</v>
      </c>
      <c r="Y7" s="44" t="e">
        <f t="shared" si="10"/>
        <v>#REF!</v>
      </c>
      <c r="Z7" s="63" t="e">
        <f>1-((1-Risk_of_Provider_Being_Infected*Transmission_Risk_Hospital_Stay*(1-$I7))^($H7)*(1-Risk_of_Community_Member_being_Infected*Transmission_Risk_in_Community)^($G7*Contacts_During_Travel_to_Facility))</f>
        <v>#REF!</v>
      </c>
      <c r="AA7" s="62" t="e">
        <f t="shared" si="11"/>
        <v>#REF!</v>
      </c>
      <c r="AB7" s="42" t="e">
        <f t="shared" ref="AB7:AB13" si="13">$F7*$AA7*HH_Size*Infection_Rate_within_HH</f>
        <v>#REF!</v>
      </c>
      <c r="AC7" s="44" t="e">
        <f t="shared" ref="AC7:AC13" si="14">$F7*$AA7*Infection_Rate_within_HH*(HH_Children*Fatality_Rate_Child+HH_Adults*Fatality_Rate_Adult+HH_Over_60*Fatality_Rate_Over_60)</f>
        <v>#REF!</v>
      </c>
      <c r="AD7" s="127" t="s">
        <v>30</v>
      </c>
    </row>
    <row r="8" spans="1:30">
      <c r="A8" s="19"/>
      <c r="B8" s="27">
        <v>200</v>
      </c>
      <c r="C8" s="27">
        <v>200</v>
      </c>
      <c r="D8" s="19" t="s">
        <v>31</v>
      </c>
      <c r="E8" s="19"/>
      <c r="F8" s="21">
        <f>$F$36</f>
        <v>56100</v>
      </c>
      <c r="G8" s="22">
        <f>'[1]7. Number of HW Contacts'!$N$43/'[1]Detailed COVID Calculations - 2'!F8</f>
        <v>4</v>
      </c>
      <c r="H8" s="22" t="e">
        <f>G8*#REF!/#REF!</f>
        <v>#REF!</v>
      </c>
      <c r="I8" s="58">
        <f>SUMPRODUCT($F$53:$F$63,$I$53:$I$63)/SUM($F$53:$F$63)</f>
        <v>0.79</v>
      </c>
      <c r="J8" s="62">
        <f>1-((1-Risk_of_Provider_Being_Infected*_xlfn.SINGLE(Transmission_Risk_Hospital_Stay))^(G8)*(1-Risk_of_Community_Member_being_Infected*Transmission_Risk_in_Community)^(G8*Contacts_During_Travel_to_Facility))</f>
        <v>9.6887546730593001E-3</v>
      </c>
      <c r="K8" s="62">
        <f t="shared" si="12"/>
        <v>5.4902943147336E-3</v>
      </c>
      <c r="L8" s="42">
        <f t="shared" si="0"/>
        <v>1940.4347196563001</v>
      </c>
      <c r="M8" s="44">
        <f t="shared" si="1"/>
        <v>6.6707525579117597</v>
      </c>
      <c r="N8" s="63">
        <f>1-((1-Risk_of_Provider_Being_Infected*_xlfn.SINGLE(Transmission_Risk_Hospital_Stay)*(1-Reduction_in_Risk_PPE))^(G8)*(1-Risk_of_Community_Member_being_Infected*Transmission_Risk_in_Community)^($G8*Contacts_During_Travel_to_Facility))</f>
        <v>9.2466176008207893E-3</v>
      </c>
      <c r="O8" s="62">
        <f t="shared" si="2"/>
        <v>7.08907349396261E-3</v>
      </c>
      <c r="P8" s="42">
        <f t="shared" si="3"/>
        <v>2505.4912449712001</v>
      </c>
      <c r="Q8" s="44">
        <f t="shared" si="4"/>
        <v>4.8808600009833398</v>
      </c>
      <c r="R8" s="63">
        <f>1-((1-Risk_of_Provider_Being_Infected*_xlfn.SINGLE(Transmission_Risk_Hospital_Stay)*(1-Reduction_in_Risk_PPE))^(G8*(1-Reduction_in_Risk_TS)))*(1-Risk_of_Community_Member_being_Infected*Transmission_Risk_in_Community)^($G8*Contacts_During_Travel_to_Facility)</f>
        <v>8.8487474680197797E-3</v>
      </c>
      <c r="S8" s="62">
        <f t="shared" si="5"/>
        <v>6.7840397254818304E-3</v>
      </c>
      <c r="T8" s="42">
        <f t="shared" si="6"/>
        <v>2397.68316017704</v>
      </c>
      <c r="U8" s="44">
        <f t="shared" si="7"/>
        <v>4.6708428357226097</v>
      </c>
      <c r="V8" s="63" t="e">
        <f>1-((1-Risk_of_Provider_Being_Infected*_xlfn.SINGLE(Transmission_Risk_Hospital_Stay)*(1-Reduction_in_Risk_PPE))^(H8*(1-Reduction_in_Risk_TS)))*(1-Risk_of_Community_Member_being_Infected*Transmission_Risk_in_Community)^($H8*Contacts_During_Travel_to_Facility)</f>
        <v>#REF!</v>
      </c>
      <c r="W8" s="62" t="e">
        <f t="shared" si="8"/>
        <v>#REF!</v>
      </c>
      <c r="X8" s="42" t="e">
        <f t="shared" si="9"/>
        <v>#REF!</v>
      </c>
      <c r="Y8" s="44" t="e">
        <f t="shared" si="10"/>
        <v>#REF!</v>
      </c>
      <c r="Z8" s="63" t="e">
        <f>1-((1-Risk_of_Provider_Being_Infected*Transmission_Risk_Hospital_Stay*(1-$I8))^($H8)*(1-Risk_of_Community_Member_being_Infected*Transmission_Risk_in_Community)^($G8*Contacts_During_Travel_to_Facility))</f>
        <v>#REF!</v>
      </c>
      <c r="AA8" s="62" t="e">
        <f t="shared" si="11"/>
        <v>#REF!</v>
      </c>
      <c r="AB8" s="42" t="e">
        <f t="shared" si="13"/>
        <v>#REF!</v>
      </c>
      <c r="AC8" s="44" t="e">
        <f t="shared" si="14"/>
        <v>#REF!</v>
      </c>
      <c r="AD8" s="127" t="s">
        <v>30</v>
      </c>
    </row>
    <row r="9" spans="1:30">
      <c r="A9" s="28"/>
      <c r="B9" s="29"/>
      <c r="C9" s="29"/>
      <c r="D9" s="28" t="s">
        <v>32</v>
      </c>
      <c r="E9" s="28"/>
      <c r="F9" s="21">
        <f>SUM($F$64:$F$66)</f>
        <v>120200</v>
      </c>
      <c r="G9" s="22">
        <f>IFERROR(SUMPRODUCT($F$64:$F$66,$G$64:$G$66)/SUM($F$64:$F$66),0)</f>
        <v>3.7121464226289498</v>
      </c>
      <c r="H9" s="22">
        <f>IFERROR(SUMPRODUCT($F$64:$F$66,$H$64:$H$66)/SUM($F$64:$F$66),0)</f>
        <v>3.7121464226289498</v>
      </c>
      <c r="I9" s="58">
        <f>SUMPRODUCT($F$64:$F$66,$I$64:$I$66)/SUM($F$64:$F$66)</f>
        <v>0.87</v>
      </c>
      <c r="J9" s="59">
        <f>1-((1-Risk_of_Provider_Being_Infected*_xlfn.SINGLE(Transmission_Risk_Contact_Health_Care_Provider))^(G9)*(1-Risk_of_Community_Member_being_Infected*Transmission_Risk_in_Community)^(G9*Contacts_During_Travel_to_Facility))</f>
        <v>6.2549804454493704E-3</v>
      </c>
      <c r="K9" s="59">
        <f t="shared" si="12"/>
        <v>3.5444889190879699E-3</v>
      </c>
      <c r="L9" s="21">
        <f t="shared" si="0"/>
        <v>2684.0996788685602</v>
      </c>
      <c r="M9" s="22">
        <f t="shared" si="1"/>
        <v>9.2272956245979891</v>
      </c>
      <c r="N9" s="61">
        <f>1-((1-Risk_of_Provider_Being_Infected*_xlfn.SINGLE(Transmission_Risk_Contact_Health_Care_Provider)*(1-Reduction_in_Risk_PPE))^($G9)*(1-Risk_of_Community_Member_being_Infected*Transmission_Risk_in_Community)^($G9*Contacts_During_Travel_to_Facility))</f>
        <v>6.11785115001451E-3</v>
      </c>
      <c r="O9" s="59">
        <f t="shared" si="2"/>
        <v>4.6903525483444602E-3</v>
      </c>
      <c r="P9" s="21">
        <f t="shared" si="3"/>
        <v>3551.8163707593199</v>
      </c>
      <c r="Q9" s="22">
        <f t="shared" si="4"/>
        <v>6.9191694401934498</v>
      </c>
      <c r="R9" s="61">
        <f>1-((1-Risk_of_Provider_Being_Infected*_xlfn.SINGLE(Transmission_Risk_Contact_Health_Care_Provider)*(1-Reduction_in_Risk_PPE))^($G9*(1-Reduction_in_Risk_TS)))*(1-Risk_of_Community_Member_being_Infected*Transmission_Risk_in_Community)^($G9*Contacts_During_Travel_to_Facility)</f>
        <v>5.9944415415667E-3</v>
      </c>
      <c r="S9" s="59">
        <f t="shared" si="5"/>
        <v>4.5957385152011303E-3</v>
      </c>
      <c r="T9" s="21">
        <f t="shared" si="6"/>
        <v>3480.1689480212099</v>
      </c>
      <c r="U9" s="22">
        <f t="shared" si="7"/>
        <v>6.77959559793082</v>
      </c>
      <c r="V9" s="61">
        <f>1-((1-Risk_of_Provider_Being_Infected*_xlfn.SINGLE(Transmission_Risk_Contact_Health_Care_Provider)*(1-$I9)))*(1-Risk_of_Community_Member_being_Infected*Transmission_Risk_in_Community)^($H9*Contacts_During_Travel_to_Facility)</f>
        <v>4.9311341906401697E-3</v>
      </c>
      <c r="W9" s="59">
        <f t="shared" si="8"/>
        <v>3.78053621282413E-3</v>
      </c>
      <c r="X9" s="21">
        <f t="shared" si="9"/>
        <v>2862.8488525232001</v>
      </c>
      <c r="Y9" s="22">
        <f t="shared" si="10"/>
        <v>5.5770158771008402</v>
      </c>
      <c r="Z9" s="61">
        <f>1-((1-Risk_of_Provider_Being_Infected*Transmission_Risk_Contact_Health_Care_Provider*(1-$I9))^($H9)*(1-Risk_of_Community_Member_being_Infected*Transmission_Risk_in_Community)^($H9*Contacts_During_Travel_to_Facility))</f>
        <v>5.0614924492107197E-3</v>
      </c>
      <c r="AA9" s="59">
        <f t="shared" si="11"/>
        <v>3.8804775443948901E-3</v>
      </c>
      <c r="AB9" s="21">
        <f t="shared" si="13"/>
        <v>2644.67738274163</v>
      </c>
      <c r="AC9" s="22">
        <f t="shared" si="14"/>
        <v>5.1520036555055997</v>
      </c>
      <c r="AD9" s="127" t="s">
        <v>27</v>
      </c>
    </row>
    <row r="10" spans="1:30">
      <c r="A10" s="30"/>
      <c r="B10" s="31">
        <v>300</v>
      </c>
      <c r="C10" s="31">
        <v>300</v>
      </c>
      <c r="D10" s="30" t="s">
        <v>33</v>
      </c>
      <c r="E10" s="30"/>
      <c r="F10" s="21">
        <f>SUM($F$67:$F$77)/3</f>
        <v>523933.33333333302</v>
      </c>
      <c r="G10" s="22">
        <f>'[1]7. Number of HW Contacts'!$E$59*'[1]7. Number of HW Contacts'!$F$59</f>
        <v>6</v>
      </c>
      <c r="H10" s="22">
        <f>'[1]7. Number of HW Contacts'!$E$59*'[1]7. Number of HW Contacts'!$F$59</f>
        <v>6</v>
      </c>
      <c r="I10" s="58">
        <f>SUMPRODUCT($F$67:$F$77,$I$67:$I$77)/SUM($F$67:$F$77)</f>
        <v>0.87</v>
      </c>
      <c r="J10" s="64">
        <f>1-((1-Risk_of_Provider_Being_Infected*_xlfn.SINGLE(Transmission_Risk_Contact_Health_Care_Provider))^(2*$G10)*(1-Risk_of_Community_Member_being_Infected*Transmission_Risk_in_Community)^(2*$G10*Contacts_During_Travel_to_Facility))</f>
        <v>2.0079219979132899E-2</v>
      </c>
      <c r="K10" s="64">
        <f t="shared" si="12"/>
        <v>1.1378224654841999E-2</v>
      </c>
      <c r="L10" s="65">
        <f t="shared" si="0"/>
        <v>37557.016376209198</v>
      </c>
      <c r="M10" s="66">
        <f t="shared" si="1"/>
        <v>129.11208015465101</v>
      </c>
      <c r="N10" s="67">
        <f>1-((1-Risk_of_Provider_Being_Infected*_xlfn.SINGLE(Transmission_Risk_Contact_Health_Care_Provider)*(1-Reduction_in_Risk_PPE))^(2*$G10)*(1-Risk_of_Community_Member_being_Infected*Transmission_Risk_in_Community)^(2*$G10*Contacts_During_Travel_to_Facility))</f>
        <v>1.96420309115675E-2</v>
      </c>
      <c r="O10" s="64">
        <f t="shared" si="2"/>
        <v>1.5058890365535101E-2</v>
      </c>
      <c r="P10" s="65">
        <f t="shared" si="3"/>
        <v>49706.084140750798</v>
      </c>
      <c r="Q10" s="66">
        <f t="shared" si="4"/>
        <v>96.830686746579005</v>
      </c>
      <c r="R10" s="67">
        <f>1-((1-Risk_of_Provider_Being_Infected*_xlfn.SINGLE(Transmission_Risk_Contact_Health_Care_Provider)*(1-Reduction_in_Risk_PPE))^(2*$G10*(1-Reduction_in_Risk_TS)))*(1-Risk_of_Community_Member_being_Infected*Transmission_Risk_in_Community)^(2*$G10*Contacts_During_Travel_to_Facility)</f>
        <v>1.9248467141023198E-2</v>
      </c>
      <c r="S10" s="64">
        <f t="shared" si="5"/>
        <v>1.47571581414511E-2</v>
      </c>
      <c r="T10" s="65">
        <f t="shared" si="6"/>
        <v>48710.132450139099</v>
      </c>
      <c r="U10" s="66">
        <f t="shared" si="7"/>
        <v>94.890508037363801</v>
      </c>
      <c r="V10" s="67">
        <f>1-((1-Risk_of_Provider_Being_Infected*_xlfn.SINGLE(Transmission_Risk_Contact_Health_Care_Provider)*(1-Reduction_in_Risk_PPE))^(2*$H10*(1-Reduction_in_Risk_TS)))*(1-Risk_of_Community_Member_being_Infected*Transmission_Risk_in_Community)^(2*$H10*Contacts_During_Travel_to_Facility)</f>
        <v>1.9248467141023198E-2</v>
      </c>
      <c r="W10" s="64">
        <f t="shared" si="8"/>
        <v>1.47571581414511E-2</v>
      </c>
      <c r="X10" s="65">
        <f t="shared" si="9"/>
        <v>48710.132450139099</v>
      </c>
      <c r="Y10" s="66">
        <f t="shared" si="10"/>
        <v>94.890508037363801</v>
      </c>
      <c r="Z10" s="67">
        <f>1-((1-Risk_of_Provider_Being_Infected*Transmission_Risk_Contact_Health_Care_Provider*(1-$I10))^(2*$H10)*(1-Risk_of_Community_Member_being_Infected*Transmission_Risk_in_Community)^(2*$H10*Contacts_During_Travel_to_Facility))</f>
        <v>1.6269681550074799E-2</v>
      </c>
      <c r="AA10" s="64">
        <f t="shared" si="11"/>
        <v>1.2473422521724E-2</v>
      </c>
      <c r="AB10" s="65">
        <f t="shared" si="13"/>
        <v>37054.821232130598</v>
      </c>
      <c r="AC10" s="66">
        <f t="shared" si="14"/>
        <v>72.185203264429205</v>
      </c>
      <c r="AD10" s="127" t="s">
        <v>34</v>
      </c>
    </row>
    <row r="11" spans="1:30">
      <c r="A11" s="32"/>
      <c r="B11" s="33">
        <v>400</v>
      </c>
      <c r="C11" s="33">
        <v>400</v>
      </c>
      <c r="D11" s="32" t="s">
        <v>35</v>
      </c>
      <c r="E11" s="32"/>
      <c r="F11" s="21">
        <f>F78+F79+F83+F84+F85+AVERAGE(F80:F82)</f>
        <v>3764200</v>
      </c>
      <c r="G11" s="22">
        <f>($F$78*$G$78+$F$79*$G$79+$F$80*$G$80+$F$83*$G$83+$F$84*$G$84+$F$85*$G$85)/$F$11</f>
        <v>1.72326125073057</v>
      </c>
      <c r="H11" s="22">
        <f>($F$78*$H$78+$F$79*$H$79+$F$80*$H$80+$F$83*$H$83+$F$84*$H$84+$F$85*$H$85)/$F$11</f>
        <v>1.5509351256575099</v>
      </c>
      <c r="I11" s="58">
        <f>SUMPRODUCT($F$78:$F$85,$I$78:$I$85)/SUM($F$78:$F$85)</f>
        <v>0.89</v>
      </c>
      <c r="J11" s="64">
        <f>1-((1-Risk_of_Provider_Being_Infected*_xlfn.SINGLE(Transmission_Risk_Contact_Health_Care_Provider))^(2*$G11)*(1-Risk_of_Community_Member_being_Infected*Transmission_Risk_in_Community)^(2*$G11*Contacts_During_Travel_to_Facility))</f>
        <v>5.8087057002447198E-3</v>
      </c>
      <c r="K11" s="64">
        <f t="shared" si="12"/>
        <v>3.2915998968053401E-3</v>
      </c>
      <c r="L11" s="65">
        <f t="shared" si="0"/>
        <v>78058.5140887944</v>
      </c>
      <c r="M11" s="66">
        <f t="shared" si="1"/>
        <v>268.34658607677801</v>
      </c>
      <c r="N11" s="67">
        <f>1-((1-Risk_of_Provider_Being_Infected*_xlfn.SINGLE(Transmission_Risk_Contact_Health_Care_Provider)*(1-Reduction_in_Risk_PPE))^(2*$G11)*(1-Risk_of_Community_Member_being_Infected*Transmission_Risk_in_Community)^(2*$G11*Contacts_During_Travel_to_Facility))</f>
        <v>5.68133219181499E-3</v>
      </c>
      <c r="O11" s="64">
        <f t="shared" si="2"/>
        <v>4.3556880137248302E-3</v>
      </c>
      <c r="P11" s="65">
        <f t="shared" si="3"/>
        <v>103292.789173957</v>
      </c>
      <c r="Q11" s="66">
        <f t="shared" si="4"/>
        <v>201.22107554000499</v>
      </c>
      <c r="R11" s="67">
        <f>1-((1-Risk_of_Provider_Being_Infected*_xlfn.SINGLE(Transmission_Risk_Contact_Health_Care_Provider)*(1-Reduction_in_Risk_PPE))^(2*$G11*(1-Reduction_in_Risk_TS)))*(1-Risk_of_Community_Member_being_Infected*Transmission_Risk_in_Community)^(2*$G11*Contacts_During_Travel_to_Facility)</f>
        <v>5.5667033860239403E-3</v>
      </c>
      <c r="S11" s="64">
        <f t="shared" si="5"/>
        <v>4.26780592928502E-3</v>
      </c>
      <c r="T11" s="65">
        <f t="shared" si="6"/>
        <v>101208.712997792</v>
      </c>
      <c r="U11" s="66">
        <f t="shared" si="7"/>
        <v>197.16115951848201</v>
      </c>
      <c r="V11" s="67">
        <f>1-((1-Risk_of_Provider_Being_Infected*_xlfn.SINGLE(Transmission_Risk_Contact_Health_Care_Provider)*(1-Reduction_in_Risk_PPE))^(2*$H11*(1-Reduction_in_Risk_TS)))*(1-Risk_of_Community_Member_being_Infected*Transmission_Risk_in_Community)^(2*$H11*Contacts_During_Travel_to_Facility)</f>
        <v>5.0114303704489301E-3</v>
      </c>
      <c r="W11" s="64">
        <f t="shared" si="8"/>
        <v>3.8420966173441798E-3</v>
      </c>
      <c r="X11" s="65">
        <f t="shared" si="9"/>
        <v>91113.246548143899</v>
      </c>
      <c r="Y11" s="66">
        <f t="shared" si="10"/>
        <v>177.49453386802</v>
      </c>
      <c r="Z11" s="67">
        <f>1-((1-Risk_of_Provider_Being_Infected*Transmission_Risk_Contact_Health_Care_Provider*(1-$I11))^(2*$H11)*(1-Risk_of_Community_Member_being_Infected*Transmission_Risk_in_Community)^(2*$H11*Contacts_During_Travel_to_Facility))</f>
        <v>4.2081918416112503E-3</v>
      </c>
      <c r="AA11" s="64">
        <f t="shared" si="11"/>
        <v>3.2262804119019598E-3</v>
      </c>
      <c r="AB11" s="65">
        <f t="shared" si="13"/>
        <v>68858.547999149305</v>
      </c>
      <c r="AC11" s="66">
        <f t="shared" si="14"/>
        <v>134.14093277292699</v>
      </c>
      <c r="AD11" s="127" t="s">
        <v>34</v>
      </c>
    </row>
    <row r="12" spans="1:30">
      <c r="A12" s="34"/>
      <c r="B12" s="35"/>
      <c r="C12" s="35"/>
      <c r="D12" s="34" t="s">
        <v>36</v>
      </c>
      <c r="E12" s="34"/>
      <c r="F12" s="21">
        <f>SUM(F$86:F$87)</f>
        <v>0</v>
      </c>
      <c r="G12" s="22">
        <f>IFERROR(SUMPRODUCT($F$86:$F$86,$G$87:$G$87)/SUM($F$86:$F$86),0)</f>
        <v>0</v>
      </c>
      <c r="H12" s="22">
        <f>IFERROR(SUMPRODUCT($F$86:$F$86,$H$87:$H$87)/SUM($F$86:$F$86),0)</f>
        <v>0</v>
      </c>
      <c r="I12" s="58">
        <f>IFERROR(SUMPRODUCT(F86:F87,I86:I87)/SUM(F86:F87),0)</f>
        <v>0</v>
      </c>
      <c r="J12" s="64">
        <f>1-((1-Risk_of_Provider_Being_Infected*_xlfn.SINGLE(Transmission_Risk_Contact_Health_Care_Provider))^(2*$G12)*(1-Risk_of_Community_Member_being_Infected*Transmission_Risk_in_Community)^(2*$G12*Contacts_During_Travel_to_Facility))</f>
        <v>0</v>
      </c>
      <c r="K12" s="64">
        <f t="shared" si="12"/>
        <v>0</v>
      </c>
      <c r="L12" s="65">
        <f t="shared" si="0"/>
        <v>0</v>
      </c>
      <c r="M12" s="66">
        <f t="shared" si="1"/>
        <v>0</v>
      </c>
      <c r="N12" s="67">
        <f>1-((1-Risk_of_Provider_Being_Infected*_xlfn.SINGLE(Transmission_Risk_Contact_Health_Care_Provider)*(1-Reduction_in_Risk_PPE))^(2*$G12)*(1-Risk_of_Community_Member_being_Infected*Transmission_Risk_in_Community)^(2*$G12*Contacts_During_Travel_to_Facility))</f>
        <v>0</v>
      </c>
      <c r="O12" s="64">
        <f t="shared" si="2"/>
        <v>0</v>
      </c>
      <c r="P12" s="65">
        <f t="shared" si="3"/>
        <v>0</v>
      </c>
      <c r="Q12" s="66">
        <f t="shared" si="4"/>
        <v>0</v>
      </c>
      <c r="R12" s="67">
        <f>1-((1-Risk_of_Provider_Being_Infected*_xlfn.SINGLE(Transmission_Risk_Contact_Health_Care_Provider)*(1-Reduction_in_Risk_PPE))^(2*$G12*(1-Reduction_in_Risk_TS)))*(1-Risk_of_Community_Member_being_Infected*Transmission_Risk_in_Community)^(2*$G12*Contacts_During_Travel_to_Facility)</f>
        <v>0</v>
      </c>
      <c r="S12" s="64">
        <f t="shared" si="5"/>
        <v>0</v>
      </c>
      <c r="T12" s="65">
        <f t="shared" si="6"/>
        <v>0</v>
      </c>
      <c r="U12" s="66">
        <f t="shared" si="7"/>
        <v>0</v>
      </c>
      <c r="V12" s="67">
        <f>1-((1-Risk_of_Provider_Being_Infected*_xlfn.SINGLE(Transmission_Risk_Contact_Health_Care_Provider)*(1-Reduction_in_Risk_PPE))^(2*$H12*(1-Reduction_in_Risk_TS)))*(1-Risk_of_Community_Member_being_Infected*Transmission_Risk_in_Community)^(2*$H12*Contacts_During_Travel_to_Facility)</f>
        <v>0</v>
      </c>
      <c r="W12" s="64">
        <f t="shared" si="8"/>
        <v>0</v>
      </c>
      <c r="X12" s="65">
        <f t="shared" si="9"/>
        <v>0</v>
      </c>
      <c r="Y12" s="66">
        <f t="shared" si="10"/>
        <v>0</v>
      </c>
      <c r="Z12" s="67">
        <f>1-((1-Risk_of_Provider_Being_Infected*Transmission_Risk_Contact_Health_Care_Provider*(1-$I12))^(2*$H12)*(1-Risk_of_Community_Member_being_Infected*Transmission_Risk_in_Community)^(2*$H12*Contacts_During_Travel_to_Facility))</f>
        <v>0</v>
      </c>
      <c r="AA12" s="64">
        <f t="shared" si="11"/>
        <v>0</v>
      </c>
      <c r="AB12" s="65">
        <f t="shared" si="13"/>
        <v>0</v>
      </c>
      <c r="AC12" s="66">
        <f t="shared" si="14"/>
        <v>0</v>
      </c>
      <c r="AD12" s="127" t="s">
        <v>34</v>
      </c>
    </row>
    <row r="13" spans="1:30">
      <c r="A13" s="36"/>
      <c r="B13" s="36"/>
      <c r="C13" s="36"/>
      <c r="D13" s="36" t="s">
        <v>37</v>
      </c>
      <c r="E13" s="36"/>
      <c r="F13" s="21">
        <f>SUM(F$88:F$88)</f>
        <v>0</v>
      </c>
      <c r="G13" s="22">
        <f t="shared" ref="G13:I13" si="15">G88</f>
        <v>4</v>
      </c>
      <c r="H13" s="22">
        <f t="shared" si="15"/>
        <v>4</v>
      </c>
      <c r="I13" s="58">
        <f t="shared" si="15"/>
        <v>0</v>
      </c>
      <c r="J13" s="59">
        <f>1-((1-Risk_of_Provider_Being_Infected*_xlfn.SINGLE(Transmission_Risk_Contact_Health_Care_Provider))^(G13)*(1-Risk_of_Community_Member_being_Infected*Transmission_Risk_in_Community)^(G13*Contacts_During_Travel_to_Facility))</f>
        <v>6.7383770648796696E-3</v>
      </c>
      <c r="K13" s="59">
        <f t="shared" si="12"/>
        <v>3.8184136700984798E-3</v>
      </c>
      <c r="L13" s="21">
        <f t="shared" si="0"/>
        <v>0</v>
      </c>
      <c r="M13" s="22">
        <f t="shared" si="1"/>
        <v>0</v>
      </c>
      <c r="N13" s="61">
        <f>1-((1-Risk_of_Provider_Being_Infected*_xlfn.SINGLE(Transmission_Risk_Contact_Health_Care_Provider)*(1-Reduction_in_Risk_PPE))^($G13)*(1-Risk_of_Community_Member_being_Infected*Transmission_Risk_in_Community)^($G13*Contacts_During_Travel_to_Facility))</f>
        <v>6.5906853436624698E-3</v>
      </c>
      <c r="O13" s="59">
        <f t="shared" si="2"/>
        <v>5.05285876347456E-3</v>
      </c>
      <c r="P13" s="21">
        <f t="shared" si="3"/>
        <v>0</v>
      </c>
      <c r="Q13" s="22">
        <f t="shared" si="4"/>
        <v>0</v>
      </c>
      <c r="R13" s="61">
        <f>1-((1-Risk_of_Provider_Being_Infected*_xlfn.SINGLE(Transmission_Risk_Contact_Health_Care_Provider)*(1-Reduction_in_Risk_PPE))^($G13*(1-Reduction_in_Risk_TS)))*(1-Risk_of_Community_Member_being_Infected*Transmission_Risk_in_Community)^($G13*Contacts_During_Travel_to_Facility)</f>
        <v>6.4577687215732196E-3</v>
      </c>
      <c r="S13" s="59">
        <f t="shared" si="5"/>
        <v>4.9509560198727999E-3</v>
      </c>
      <c r="T13" s="21">
        <f t="shared" si="6"/>
        <v>0</v>
      </c>
      <c r="U13" s="22">
        <f t="shared" si="7"/>
        <v>0</v>
      </c>
      <c r="V13" s="61">
        <f>1-((1-Risk_of_Provider_Being_Infected*_xlfn.SINGLE(Transmission_Risk_Contact_Health_Care_Provider)*(1-$I13)))*(1-Risk_of_Community_Member_being_Infected*Transmission_Risk_in_Community)^($H13*Contacts_During_Travel_to_Facility)</f>
        <v>5.6303391446484996E-3</v>
      </c>
      <c r="W13" s="59">
        <f t="shared" si="8"/>
        <v>4.3165933442305196E-3</v>
      </c>
      <c r="X13" s="21">
        <f t="shared" si="9"/>
        <v>0</v>
      </c>
      <c r="Y13" s="22">
        <f t="shared" si="10"/>
        <v>0</v>
      </c>
      <c r="Z13" s="61">
        <f>1-((1-Risk_of_Provider_Being_Infected*Transmission_Risk_Contact_Health_Care_Provider*(1-$I13))^($H13)*(1-Risk_of_Community_Member_being_Infected*Transmission_Risk_in_Community)^($H13*Contacts_During_Travel_to_Facility))</f>
        <v>6.7383770648796696E-3</v>
      </c>
      <c r="AA13" s="59">
        <f t="shared" si="11"/>
        <v>5.1660890830744202E-3</v>
      </c>
      <c r="AB13" s="21">
        <f t="shared" si="13"/>
        <v>0</v>
      </c>
      <c r="AC13" s="22">
        <f t="shared" si="14"/>
        <v>0</v>
      </c>
      <c r="AD13" s="71"/>
    </row>
    <row r="14" spans="1:30" ht="15.75">
      <c r="A14" s="14"/>
      <c r="B14" s="14"/>
      <c r="C14" s="14"/>
      <c r="D14" s="15" t="s">
        <v>38</v>
      </c>
      <c r="E14" s="16"/>
      <c r="F14" s="17"/>
      <c r="G14" s="17"/>
      <c r="H14" s="17"/>
      <c r="I14" s="68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71"/>
    </row>
    <row r="15" spans="1:30" ht="15.75">
      <c r="A15" s="37" t="str">
        <f>IF(VLOOKUP(B15,'[1]1. Select Services'!$A$6:$E$77,5,FALSE)="x","x","")</f>
        <v>x</v>
      </c>
      <c r="B15" s="38">
        <v>1</v>
      </c>
      <c r="C15" s="39">
        <v>7</v>
      </c>
      <c r="D15" s="107" t="s">
        <v>26</v>
      </c>
      <c r="E15" s="39" t="s">
        <v>39</v>
      </c>
      <c r="F15" s="21">
        <f>IF(Chosen_Scenario="Mitigation Impact Only",VLOOKUP($B15,'[1]Coverage Review Updated'!$B$5:$T$78,18,FALSE),VLOOKUP($B15,'[1]Coverage Review Updated'!$B$5:$T$78,19,FALSE))</f>
        <v>42300</v>
      </c>
      <c r="G15" s="21">
        <f>VLOOKUP($B15,'[1]7. Number of HW Contacts'!$B$4:$I$84,6,FALSE)</f>
        <v>12</v>
      </c>
      <c r="H15" s="22">
        <f>G15*(1-HLOOKUP($B15,'[1]3. Mitigation Impact on Coverag'!$BY$5:$EQ$7,3,FALSE))</f>
        <v>12</v>
      </c>
      <c r="I15" s="58">
        <f>HLOOKUP(B15,'[1]3. Mitigation Impact on Coverag'!ES$5:HK$7,3,FALSE)</f>
        <v>0.89</v>
      </c>
      <c r="J15" s="59">
        <f t="shared" ref="J15:J34" si="16">1-((1-Risk_of_Provider_Being_Infected*_xlfn.SINGLE(Transmission_Risk_Contact_Health_Care_Provider))^(G15)*(1-Risk_of_Community_Member_being_Infected*Transmission_Risk_in_Community)^(G15*Contacts_During_Travel_to_Facility))</f>
        <v>2.0079219979132899E-2</v>
      </c>
      <c r="K15" s="59">
        <f>J15*(1-(Percent_Prevalence_at_End_of_Projection_Period-Percent_Prevalence_at_Beginning_of_Projection_Period)-Percent_Prevalence_at_Beginning_of_Projection_Period-Percent_Prevalence_at_Beginning_of_Projection_Period)</f>
        <v>1.1378224654841999E-2</v>
      </c>
      <c r="L15" s="21">
        <f t="shared" ref="L15:L56" si="17">$F15*$K15*HH_Size</f>
        <v>3032.18308826883</v>
      </c>
      <c r="M15" s="22">
        <f t="shared" ref="M15:M56" si="18">$F15*$J15*(HH_Children*Fatality_Rate_Child+HH_Adults*Fatality_Rate_Adult+HH_Over_60*Fatality_Rate_Over_60)</f>
        <v>10.4239235091139</v>
      </c>
      <c r="N15" s="61">
        <f>1-((1-Risk_of_Provider_Being_Infected*Transmission_Risk_Contact_Health_Care_Provider*(1-Reduction_in_Risk_PPE))^($G16)*(1-Risk_of_Community_Member_being_Infected*Transmission_Risk_in_Community)^($G16*Contacts_During_Travel_to_Facility))</f>
        <v>1.96420309115675E-2</v>
      </c>
      <c r="O15" s="59">
        <f t="shared" ref="O15:O56" si="19">N15*(1-(Percent_Prevalence_at_End_of_Projection_Period-Percent_Prevalence_at_Beginning_of_Projection_Period))</f>
        <v>1.5058890365535101E-2</v>
      </c>
      <c r="P15" s="21">
        <f t="shared" ref="P15:P56" si="20">$F15*$O15*HH_Size</f>
        <v>4013.0436935114399</v>
      </c>
      <c r="Q15" s="22">
        <f t="shared" ref="Q15:Q56" si="21">$F15*$O15*(HH_Children*Fatality_Rate_Child+HH_Adults*Fatality_Rate_Adult+HH_Over_60*Fatality_Rate_Over_60)</f>
        <v>7.8176702812958903</v>
      </c>
      <c r="R15" s="61">
        <f t="shared" ref="R15:R34" si="22">1-((1-Risk_of_Provider_Being_Infected*_xlfn.SINGLE(Transmission_Risk_Contact_Health_Care_Provider)*(1-Reduction_in_Risk_PPE))^($G15*(1-Reduction_in_Risk_TS)))*(1-Risk_of_Community_Member_being_Infected*Transmission_Risk_in_Community)^($G15*Contacts_During_Travel_to_Facility)</f>
        <v>1.9248467141023198E-2</v>
      </c>
      <c r="S15" s="59">
        <f t="shared" ref="S15:S56" si="23">R15*(1-(Percent_Prevalence_at_End_of_Projection_Period-Percent_Prevalence_at_Beginning_of_Projection_Period))</f>
        <v>1.47571581414511E-2</v>
      </c>
      <c r="T15" s="21">
        <f t="shared" ref="T15:T56" si="24">$F15*$S15*HH_Size</f>
        <v>3932.6350731153202</v>
      </c>
      <c r="U15" s="22">
        <f t="shared" ref="U15:U56" si="25">$F15*$S15*(HH_Children*Fatality_Rate_Child+HH_Adults*Fatality_Rate_Adult+HH_Over_60*Fatality_Rate_Over_60)</f>
        <v>7.6610290558222802</v>
      </c>
      <c r="V15" s="61">
        <f t="shared" ref="V15:V34" si="26">1-((1-Risk_of_Provider_Being_Infected*_xlfn.SINGLE(Transmission_Risk_Contact_Health_Care_Provider)*(1-$I15)))*(1-Risk_of_Community_Member_being_Infected*Transmission_Risk_in_Community)^($H15*Contacts_During_Travel_to_Facility)</f>
        <v>1.57395073851672E-2</v>
      </c>
      <c r="W15" s="59">
        <f t="shared" ref="W15:W56" si="27">V15*(1-(Percent_Prevalence_at_End_of_Projection_Period-Percent_Prevalence_at_Beginning_of_Projection_Period))</f>
        <v>1.20669556619615E-2</v>
      </c>
      <c r="X15" s="21">
        <f t="shared" ref="X15:X56" si="28">$F15*$W15*HH_Size</f>
        <v>3215.7230143561201</v>
      </c>
      <c r="Y15" s="22">
        <f t="shared" ref="Y15:Y56" si="29">$F15*$W15*(HH_Children*Fatality_Rate_Child+HH_Adults*Fatality_Rate_Adult+HH_Over_60*Fatality_Rate_Over_60)</f>
        <v>6.2644377091777601</v>
      </c>
      <c r="Z15" s="61">
        <f t="shared" ref="Z15:Z34" si="30">1-((1-Risk_of_Provider_Being_Infected*Transmission_Risk_Contact_Health_Care_Provider*(1-$I15))^($H15)*(1-Risk_of_Community_Member_being_Infected*Transmission_Risk_in_Community)^($H15*Contacts_During_Travel_to_Facility))</f>
        <v>1.6181946542899301E-2</v>
      </c>
      <c r="AA15" s="59">
        <f t="shared" ref="AA15:AA56" si="31">Z15*(1-(Percent_Prevalence_at_End_of_Projection_Period-Percent_Prevalence_at_Beginning_of_Projection_Period))</f>
        <v>1.2406159016222801E-2</v>
      </c>
      <c r="AB15" s="21">
        <f t="shared" ref="AB15:AB56" si="32">$F15*$AA15*HH_Size*Infection_Rate_within_HH</f>
        <v>2975.5055846098899</v>
      </c>
      <c r="AC15" s="22">
        <f t="shared" ref="AC15:AC56" si="33">$F15*$AA15*Infection_Rate_within_HH*(HH_Children*Fatality_Rate_Child+HH_Adults*Fatality_Rate_Adult+HH_Over_60*Fatality_Rate_Over_60)</f>
        <v>5.7964785228342999</v>
      </c>
      <c r="AD15" s="71"/>
    </row>
    <row r="16" spans="1:30" ht="15.75">
      <c r="A16" s="37" t="str">
        <f>IF(VLOOKUP(B16,'[1]1. Select Services'!$A$6:$E$77,5,FALSE)="x","x","")</f>
        <v>x</v>
      </c>
      <c r="B16" s="38">
        <v>2</v>
      </c>
      <c r="C16" s="40">
        <v>1</v>
      </c>
      <c r="D16" s="108"/>
      <c r="E16" s="40" t="s">
        <v>40</v>
      </c>
      <c r="F16" s="21">
        <f>IF(Chosen_Scenario="Mitigation Impact Only",VLOOKUP($B16,'[1]Coverage Review Updated'!$B$5:$T$78,18,FALSE),VLOOKUP($B16,'[1]Coverage Review Updated'!$B$5:$T$78,19,FALSE))</f>
        <v>1700</v>
      </c>
      <c r="G16" s="21">
        <f>VLOOKUP($B16,'[1]7. Number of HW Contacts'!$B$4:$I$84,6,FALSE)</f>
        <v>12</v>
      </c>
      <c r="H16" s="22">
        <f>G16*(1-HLOOKUP($B16,'[1]3. Mitigation Impact on Coverag'!$BY$5:$EQ$7,3,FALSE))</f>
        <v>12</v>
      </c>
      <c r="I16" s="58">
        <f>HLOOKUP(B16,'[1]3. Mitigation Impact on Coverag'!ES$5:HK$7,3,FALSE)</f>
        <v>0.89</v>
      </c>
      <c r="J16" s="59">
        <f t="shared" si="16"/>
        <v>2.0079219979132899E-2</v>
      </c>
      <c r="K16" s="59">
        <f t="shared" ref="K16:K56" si="34">J16*(1-(Percent_Prevalence_at_End_of_Projection_Period-Percent_Prevalence_at_Beginning_of_Projection_Period))</f>
        <v>1.53940686506685E-2</v>
      </c>
      <c r="L16" s="21">
        <f t="shared" si="17"/>
        <v>164.87047524866</v>
      </c>
      <c r="M16" s="22">
        <f t="shared" si="18"/>
        <v>0.41892836797857302</v>
      </c>
      <c r="N16" s="61">
        <f t="shared" ref="N16:N34" si="35">1-((1-Risk_of_Provider_Being_Infected*_xlfn.SINGLE(Transmission_Risk_Contact_Health_Care_Provider)*(1-Reduction_in_Risk_PPE))^($G16)*(1-Risk_of_Community_Member_being_Infected*Transmission_Risk_in_Community)^($G16*Contacts_During_Travel_to_Facility))</f>
        <v>1.96420309115675E-2</v>
      </c>
      <c r="O16" s="59">
        <f t="shared" si="19"/>
        <v>1.5058890365535101E-2</v>
      </c>
      <c r="P16" s="21">
        <f t="shared" si="20"/>
        <v>161.28071581488101</v>
      </c>
      <c r="Q16" s="22">
        <f t="shared" si="21"/>
        <v>0.31418533045397201</v>
      </c>
      <c r="R16" s="61">
        <f t="shared" si="22"/>
        <v>1.9248467141023198E-2</v>
      </c>
      <c r="S16" s="59">
        <f t="shared" si="23"/>
        <v>1.47571581414511E-2</v>
      </c>
      <c r="T16" s="21">
        <f t="shared" si="24"/>
        <v>158.049163694942</v>
      </c>
      <c r="U16" s="22">
        <f t="shared" si="25"/>
        <v>0.307890056616971</v>
      </c>
      <c r="V16" s="61">
        <f t="shared" si="26"/>
        <v>1.57395073851672E-2</v>
      </c>
      <c r="W16" s="59">
        <f t="shared" si="27"/>
        <v>1.20669556619615E-2</v>
      </c>
      <c r="X16" s="21">
        <f t="shared" si="28"/>
        <v>129.23709513960799</v>
      </c>
      <c r="Y16" s="22">
        <f t="shared" si="29"/>
        <v>0.25176227200005202</v>
      </c>
      <c r="Z16" s="61">
        <f t="shared" si="30"/>
        <v>1.6181946542899301E-2</v>
      </c>
      <c r="AA16" s="59">
        <f t="shared" si="31"/>
        <v>1.2406159016222801E-2</v>
      </c>
      <c r="AB16" s="21">
        <f t="shared" si="32"/>
        <v>119.582966757371</v>
      </c>
      <c r="AC16" s="22">
        <f t="shared" si="33"/>
        <v>0.23295540162691</v>
      </c>
      <c r="AD16" s="71"/>
    </row>
    <row r="17" spans="1:30" ht="15.75">
      <c r="A17" s="37" t="str">
        <f>IF(VLOOKUP(B17,'[1]1. Select Services'!$A$6:$E$77,5,FALSE)="x","x","")</f>
        <v>x</v>
      </c>
      <c r="B17" s="38">
        <v>3</v>
      </c>
      <c r="C17" s="40">
        <v>4</v>
      </c>
      <c r="D17" s="108"/>
      <c r="E17" s="40" t="s">
        <v>41</v>
      </c>
      <c r="F17" s="21">
        <f>IF(Chosen_Scenario="Mitigation Impact Only",VLOOKUP($B17,'[1]Coverage Review Updated'!$B$5:$T$78,18,FALSE),VLOOKUP($B17,'[1]Coverage Review Updated'!$B$5:$T$78,19,FALSE))</f>
        <v>2500</v>
      </c>
      <c r="G17" s="21">
        <f>VLOOKUP($B17,'[1]7. Number of HW Contacts'!$B$4:$I$84,6,FALSE)</f>
        <v>4</v>
      </c>
      <c r="H17" s="22">
        <f>G17*(1-HLOOKUP($B17,'[1]3. Mitigation Impact on Coverag'!$BY$5:$EQ$7,3,FALSE))</f>
        <v>4</v>
      </c>
      <c r="I17" s="58">
        <f>HLOOKUP(B17,'[1]3. Mitigation Impact on Coverag'!ES$5:HK$7,3,FALSE)</f>
        <v>0.89</v>
      </c>
      <c r="J17" s="59">
        <f t="shared" si="16"/>
        <v>6.7383770648796696E-3</v>
      </c>
      <c r="K17" s="59">
        <f t="shared" si="34"/>
        <v>5.1660890830744202E-3</v>
      </c>
      <c r="L17" s="21">
        <f t="shared" si="17"/>
        <v>81.365903058422106</v>
      </c>
      <c r="M17" s="22">
        <f t="shared" si="18"/>
        <v>0.206747053564065</v>
      </c>
      <c r="N17" s="61">
        <f t="shared" si="35"/>
        <v>6.5906853436624698E-3</v>
      </c>
      <c r="O17" s="59">
        <f t="shared" si="19"/>
        <v>5.05285876347456E-3</v>
      </c>
      <c r="P17" s="21">
        <f t="shared" si="20"/>
        <v>79.582525524724304</v>
      </c>
      <c r="Q17" s="22">
        <f t="shared" si="21"/>
        <v>0.155031938902396</v>
      </c>
      <c r="R17" s="61">
        <f t="shared" si="22"/>
        <v>6.4577687215732196E-3</v>
      </c>
      <c r="S17" s="59">
        <f t="shared" si="23"/>
        <v>4.9509560198727999E-3</v>
      </c>
      <c r="T17" s="21">
        <f t="shared" si="24"/>
        <v>77.977557312996595</v>
      </c>
      <c r="U17" s="22">
        <f t="shared" si="25"/>
        <v>0.15190535637563801</v>
      </c>
      <c r="V17" s="61">
        <f t="shared" si="26"/>
        <v>5.3013768202899696E-3</v>
      </c>
      <c r="W17" s="59">
        <f t="shared" si="27"/>
        <v>4.0643888955556396E-3</v>
      </c>
      <c r="X17" s="21">
        <f t="shared" si="28"/>
        <v>64.014125105001398</v>
      </c>
      <c r="Y17" s="22">
        <f t="shared" si="29"/>
        <v>0.124703681703161</v>
      </c>
      <c r="Z17" s="61">
        <f t="shared" si="30"/>
        <v>5.4233416439649603E-3</v>
      </c>
      <c r="AA17" s="59">
        <f t="shared" si="31"/>
        <v>4.1578952603731397E-3</v>
      </c>
      <c r="AB17" s="21">
        <f t="shared" si="32"/>
        <v>58.938165315789199</v>
      </c>
      <c r="AC17" s="22">
        <f t="shared" si="33"/>
        <v>0.114815381693535</v>
      </c>
      <c r="AD17" s="71"/>
    </row>
    <row r="18" spans="1:30" ht="15.75">
      <c r="A18" s="37" t="str">
        <f>IF(VLOOKUP(B18,'[1]1. Select Services'!$A$6:$E$77,5,FALSE)="x","x","")</f>
        <v>x</v>
      </c>
      <c r="B18" s="38">
        <v>4</v>
      </c>
      <c r="C18" s="40">
        <v>5</v>
      </c>
      <c r="D18" s="108"/>
      <c r="E18" s="40" t="s">
        <v>42</v>
      </c>
      <c r="F18" s="21">
        <f>IF(Chosen_Scenario="Mitigation Impact Only",VLOOKUP($B18,'[1]Coverage Review Updated'!$B$5:$T$78,18,FALSE),VLOOKUP($B18,'[1]Coverage Review Updated'!$B$5:$T$78,19,FALSE))</f>
        <v>0</v>
      </c>
      <c r="G18" s="21">
        <f>VLOOKUP($B18,'[1]7. Number of HW Contacts'!$B$4:$I$84,6,FALSE)</f>
        <v>1</v>
      </c>
      <c r="H18" s="22">
        <f>G18*(1-HLOOKUP($B18,'[1]3. Mitigation Impact on Coverag'!$BY$5:$EQ$7,3,FALSE))</f>
        <v>1</v>
      </c>
      <c r="I18" s="58">
        <f>HLOOKUP(B18,'[1]3. Mitigation Impact on Coverag'!ES$5:HK$7,3,FALSE)</f>
        <v>0.89</v>
      </c>
      <c r="J18" s="59">
        <f t="shared" si="16"/>
        <v>1.68886786312739E-3</v>
      </c>
      <c r="K18" s="59">
        <f t="shared" si="34"/>
        <v>1.2947986950643301E-3</v>
      </c>
      <c r="L18" s="21">
        <f t="shared" si="17"/>
        <v>0</v>
      </c>
      <c r="M18" s="22">
        <f t="shared" si="18"/>
        <v>0</v>
      </c>
      <c r="N18" s="61">
        <f t="shared" si="35"/>
        <v>1.6517592944171901E-3</v>
      </c>
      <c r="O18" s="59">
        <f t="shared" si="19"/>
        <v>1.26634879238651E-3</v>
      </c>
      <c r="P18" s="21">
        <f t="shared" si="20"/>
        <v>0</v>
      </c>
      <c r="Q18" s="22">
        <f t="shared" si="21"/>
        <v>0</v>
      </c>
      <c r="R18" s="61">
        <f t="shared" si="22"/>
        <v>1.6183666091496001E-3</v>
      </c>
      <c r="S18" s="59">
        <f t="shared" si="23"/>
        <v>1.24074773368136E-3</v>
      </c>
      <c r="T18" s="21">
        <f t="shared" si="24"/>
        <v>0</v>
      </c>
      <c r="U18" s="22">
        <f t="shared" si="25"/>
        <v>0</v>
      </c>
      <c r="V18" s="61">
        <f t="shared" si="26"/>
        <v>1.3586016016061699E-3</v>
      </c>
      <c r="W18" s="59">
        <f t="shared" si="27"/>
        <v>1.0415945612314E-3</v>
      </c>
      <c r="X18" s="21">
        <f t="shared" si="28"/>
        <v>0</v>
      </c>
      <c r="Y18" s="22">
        <f t="shared" si="29"/>
        <v>0</v>
      </c>
      <c r="Z18" s="61">
        <f t="shared" si="30"/>
        <v>1.3586016016061699E-3</v>
      </c>
      <c r="AA18" s="59">
        <f t="shared" si="31"/>
        <v>1.0415945612314E-3</v>
      </c>
      <c r="AB18" s="21">
        <f t="shared" si="32"/>
        <v>0</v>
      </c>
      <c r="AC18" s="22">
        <f t="shared" si="33"/>
        <v>0</v>
      </c>
      <c r="AD18" s="71"/>
    </row>
    <row r="19" spans="1:30" ht="15.75">
      <c r="A19" s="37" t="str">
        <f>IF(VLOOKUP(B19,'[1]1. Select Services'!$A$6:$E$77,5,FALSE)="x","x","")</f>
        <v>x</v>
      </c>
      <c r="B19" s="38">
        <v>5</v>
      </c>
      <c r="C19" s="40">
        <v>6</v>
      </c>
      <c r="D19" s="108"/>
      <c r="E19" s="40" t="s">
        <v>43</v>
      </c>
      <c r="F19" s="21">
        <f>IF(Chosen_Scenario="Mitigation Impact Only",VLOOKUP($B19,'[1]Coverage Review Updated'!$B$5:$T$78,18,FALSE),VLOOKUP($B19,'[1]Coverage Review Updated'!$B$5:$T$78,19,FALSE))</f>
        <v>12800</v>
      </c>
      <c r="G19" s="21">
        <f>VLOOKUP($B19,'[1]7. Number of HW Contacts'!$B$4:$I$84,6,FALSE)</f>
        <v>1</v>
      </c>
      <c r="H19" s="22">
        <f>G19*(1-HLOOKUP($B19,'[1]3. Mitigation Impact on Coverag'!$BY$5:$EQ$7,3,FALSE))</f>
        <v>1</v>
      </c>
      <c r="I19" s="58">
        <f>HLOOKUP(B19,'[1]3. Mitigation Impact on Coverag'!ES$5:HK$7,3,FALSE)</f>
        <v>0.89</v>
      </c>
      <c r="J19" s="69">
        <f t="shared" si="16"/>
        <v>1.68886786312739E-3</v>
      </c>
      <c r="K19" s="59">
        <f t="shared" si="34"/>
        <v>1.2947986950643301E-3</v>
      </c>
      <c r="L19" s="21">
        <f t="shared" si="17"/>
        <v>104.412566769987</v>
      </c>
      <c r="M19" s="22">
        <f t="shared" si="18"/>
        <v>0.26530757631063601</v>
      </c>
      <c r="N19" s="69">
        <f t="shared" si="35"/>
        <v>1.6517592944171901E-3</v>
      </c>
      <c r="O19" s="59">
        <f t="shared" si="19"/>
        <v>1.26634879238651E-3</v>
      </c>
      <c r="P19" s="21">
        <f t="shared" si="20"/>
        <v>102.118366618048</v>
      </c>
      <c r="Q19" s="22">
        <f t="shared" si="21"/>
        <v>0.19893322397041999</v>
      </c>
      <c r="R19" s="69">
        <f t="shared" si="22"/>
        <v>1.6183666091496001E-3</v>
      </c>
      <c r="S19" s="59">
        <f t="shared" si="23"/>
        <v>1.24074773368136E-3</v>
      </c>
      <c r="T19" s="21">
        <f t="shared" si="24"/>
        <v>100.053897244065</v>
      </c>
      <c r="U19" s="22">
        <f t="shared" si="25"/>
        <v>0.19491150327554499</v>
      </c>
      <c r="V19" s="61">
        <f t="shared" si="26"/>
        <v>1.3586016016061699E-3</v>
      </c>
      <c r="W19" s="59">
        <f t="shared" si="27"/>
        <v>1.0415945612314E-3</v>
      </c>
      <c r="X19" s="21">
        <f t="shared" si="28"/>
        <v>83.994185417699796</v>
      </c>
      <c r="Y19" s="22">
        <f t="shared" si="29"/>
        <v>0.16362613948193599</v>
      </c>
      <c r="Z19" s="61">
        <f t="shared" si="30"/>
        <v>1.3586016016061699E-3</v>
      </c>
      <c r="AA19" s="59">
        <f t="shared" si="31"/>
        <v>1.0415945612314E-3</v>
      </c>
      <c r="AB19" s="21">
        <f t="shared" si="32"/>
        <v>75.594766875929807</v>
      </c>
      <c r="AC19" s="22">
        <f t="shared" si="33"/>
        <v>0.147263525533743</v>
      </c>
      <c r="AD19" s="71"/>
    </row>
    <row r="20" spans="1:30" ht="15.75">
      <c r="A20" s="37" t="str">
        <f>IF(VLOOKUP(B20,'[1]1. Select Services'!$A$6:$E$77,5,FALSE)="x","x","")</f>
        <v>x</v>
      </c>
      <c r="B20" s="38">
        <v>6</v>
      </c>
      <c r="C20" s="40">
        <v>2</v>
      </c>
      <c r="D20" s="108"/>
      <c r="E20" s="40" t="s">
        <v>44</v>
      </c>
      <c r="F20" s="21">
        <f>IF(Chosen_Scenario="Mitigation Impact Only",VLOOKUP($B20,'[1]Coverage Review Updated'!$B$5:$T$78,18,FALSE),VLOOKUP($B20,'[1]Coverage Review Updated'!$B$5:$T$78,19,FALSE))</f>
        <v>1500</v>
      </c>
      <c r="G20" s="21">
        <f>VLOOKUP($B20,'[1]7. Number of HW Contacts'!$B$4:$I$84,6,FALSE)</f>
        <v>2</v>
      </c>
      <c r="H20" s="22">
        <f>G20*(1-HLOOKUP($B20,'[1]3. Mitigation Impact on Coverag'!$BY$5:$EQ$7,3,FALSE))</f>
        <v>2</v>
      </c>
      <c r="I20" s="58">
        <f>HLOOKUP(B20,'[1]3. Mitigation Impact on Coverag'!ES$5:HK$7,3,FALSE)</f>
        <v>0.89</v>
      </c>
      <c r="J20" s="59">
        <f t="shared" si="16"/>
        <v>3.3748834515957599E-3</v>
      </c>
      <c r="K20" s="59">
        <f t="shared" si="34"/>
        <v>2.5874106462234099E-3</v>
      </c>
      <c r="L20" s="21">
        <f t="shared" si="17"/>
        <v>24.451030606811202</v>
      </c>
      <c r="M20" s="22">
        <f t="shared" si="18"/>
        <v>6.21289550603683E-2</v>
      </c>
      <c r="N20" s="61">
        <f t="shared" si="35"/>
        <v>3.30079028006769E-3</v>
      </c>
      <c r="O20" s="59">
        <f t="shared" si="19"/>
        <v>2.53060588138523E-3</v>
      </c>
      <c r="P20" s="21">
        <f t="shared" si="20"/>
        <v>23.914225579090399</v>
      </c>
      <c r="Q20" s="22">
        <f t="shared" si="21"/>
        <v>4.6586467750685201E-2</v>
      </c>
      <c r="R20" s="61">
        <f t="shared" si="22"/>
        <v>3.2341141078177098E-3</v>
      </c>
      <c r="S20" s="59">
        <f t="shared" si="23"/>
        <v>2.4794874826602402E-3</v>
      </c>
      <c r="T20" s="21">
        <f t="shared" si="24"/>
        <v>23.431156711139302</v>
      </c>
      <c r="U20" s="22">
        <f t="shared" si="25"/>
        <v>4.5645418158101199E-2</v>
      </c>
      <c r="V20" s="61">
        <f t="shared" si="26"/>
        <v>2.6745934366563299E-3</v>
      </c>
      <c r="W20" s="59">
        <f t="shared" si="27"/>
        <v>2.05052163476985E-3</v>
      </c>
      <c r="X20" s="21">
        <f t="shared" si="28"/>
        <v>19.3774294485751</v>
      </c>
      <c r="Y20" s="22">
        <f t="shared" si="29"/>
        <v>3.7748493636629597E-2</v>
      </c>
      <c r="Z20" s="61">
        <f t="shared" si="30"/>
        <v>2.7153574049005899E-3</v>
      </c>
      <c r="AA20" s="59">
        <f t="shared" si="31"/>
        <v>2.0817740104237801E-3</v>
      </c>
      <c r="AB20" s="21">
        <f t="shared" si="32"/>
        <v>17.705487958654299</v>
      </c>
      <c r="AC20" s="22">
        <f t="shared" si="33"/>
        <v>3.44914428053733E-2</v>
      </c>
      <c r="AD20" s="71"/>
    </row>
    <row r="21" spans="1:30" ht="15.75">
      <c r="A21" s="37" t="str">
        <f>IF(VLOOKUP(B21,'[1]1. Select Services'!$A$6:$E$77,5,FALSE)="x","x","")</f>
        <v/>
      </c>
      <c r="B21" s="38">
        <v>7</v>
      </c>
      <c r="C21" s="40">
        <v>3</v>
      </c>
      <c r="D21" s="108"/>
      <c r="E21" s="40" t="s">
        <v>45</v>
      </c>
      <c r="F21" s="21">
        <f>IF(Chosen_Scenario="Mitigation Impact Only",VLOOKUP($B21,'[1]Coverage Review Updated'!$B$5:$T$78,18,FALSE),VLOOKUP($B21,'[1]Coverage Review Updated'!$B$5:$T$78,19,FALSE))</f>
        <v>0</v>
      </c>
      <c r="G21" s="21">
        <f>VLOOKUP($B21,'[1]7. Number of HW Contacts'!$B$4:$I$84,6,FALSE)</f>
        <v>2</v>
      </c>
      <c r="H21" s="22">
        <f>G21*(1-HLOOKUP($B21,'[1]3. Mitigation Impact on Coverag'!$BY$5:$EQ$7,3,FALSE))</f>
        <v>2</v>
      </c>
      <c r="I21" s="58">
        <f>HLOOKUP(B21,'[1]3. Mitigation Impact on Coverag'!ES$5:HK$7,3,FALSE)</f>
        <v>0.89</v>
      </c>
      <c r="J21" s="59">
        <f t="shared" si="16"/>
        <v>3.3748834515957599E-3</v>
      </c>
      <c r="K21" s="59">
        <f t="shared" si="34"/>
        <v>2.5874106462234099E-3</v>
      </c>
      <c r="L21" s="21">
        <f t="shared" si="17"/>
        <v>0</v>
      </c>
      <c r="M21" s="22">
        <f t="shared" si="18"/>
        <v>0</v>
      </c>
      <c r="N21" s="61">
        <f t="shared" si="35"/>
        <v>3.30079028006769E-3</v>
      </c>
      <c r="O21" s="59">
        <f t="shared" si="19"/>
        <v>2.53060588138523E-3</v>
      </c>
      <c r="P21" s="21">
        <f t="shared" si="20"/>
        <v>0</v>
      </c>
      <c r="Q21" s="22">
        <f t="shared" si="21"/>
        <v>0</v>
      </c>
      <c r="R21" s="61">
        <f t="shared" si="22"/>
        <v>3.2341141078177098E-3</v>
      </c>
      <c r="S21" s="59">
        <f t="shared" si="23"/>
        <v>2.4794874826602402E-3</v>
      </c>
      <c r="T21" s="21">
        <f t="shared" si="24"/>
        <v>0</v>
      </c>
      <c r="U21" s="22">
        <f t="shared" si="25"/>
        <v>0</v>
      </c>
      <c r="V21" s="61">
        <f t="shared" si="26"/>
        <v>2.6745934366563299E-3</v>
      </c>
      <c r="W21" s="59">
        <f t="shared" si="27"/>
        <v>2.05052163476985E-3</v>
      </c>
      <c r="X21" s="21">
        <f t="shared" si="28"/>
        <v>0</v>
      </c>
      <c r="Y21" s="22">
        <f t="shared" si="29"/>
        <v>0</v>
      </c>
      <c r="Z21" s="61">
        <f t="shared" si="30"/>
        <v>2.7153574049005899E-3</v>
      </c>
      <c r="AA21" s="59">
        <f t="shared" si="31"/>
        <v>2.0817740104237801E-3</v>
      </c>
      <c r="AB21" s="21">
        <f t="shared" si="32"/>
        <v>0</v>
      </c>
      <c r="AC21" s="22">
        <f t="shared" si="33"/>
        <v>0</v>
      </c>
      <c r="AD21" s="71"/>
    </row>
    <row r="22" spans="1:30" ht="15.75">
      <c r="A22" s="37" t="str">
        <f>IF(VLOOKUP(B22,'[1]1. Select Services'!$A$6:$E$77,5,FALSE)="x","x","")</f>
        <v/>
      </c>
      <c r="B22" s="38">
        <v>8</v>
      </c>
      <c r="C22" s="40">
        <v>8</v>
      </c>
      <c r="D22" s="108"/>
      <c r="E22" s="40" t="s">
        <v>46</v>
      </c>
      <c r="F22" s="21">
        <f>IF(Chosen_Scenario="Mitigation Impact Only",VLOOKUP($B22,'[1]Coverage Review Updated'!$B$5:$T$78,18,FALSE),VLOOKUP($B22,'[1]Coverage Review Updated'!$B$5:$T$78,19,FALSE))</f>
        <v>46100</v>
      </c>
      <c r="G22" s="21">
        <f>VLOOKUP($B22,'[1]7. Number of HW Contacts'!$B$4:$I$84,6,FALSE)</f>
        <v>0</v>
      </c>
      <c r="H22" s="22">
        <f>G22*(1-HLOOKUP($B22,'[1]3. Mitigation Impact on Coverag'!$BY$5:$EQ$7,3,FALSE))</f>
        <v>0</v>
      </c>
      <c r="I22" s="58">
        <f>HLOOKUP(B22,'[1]3. Mitigation Impact on Coverag'!ES$5:HK$7,3,FALSE)</f>
        <v>0.89</v>
      </c>
      <c r="J22" s="59">
        <f t="shared" si="16"/>
        <v>0</v>
      </c>
      <c r="K22" s="59">
        <f t="shared" si="34"/>
        <v>0</v>
      </c>
      <c r="L22" s="21">
        <f t="shared" si="17"/>
        <v>0</v>
      </c>
      <c r="M22" s="22">
        <f t="shared" si="18"/>
        <v>0</v>
      </c>
      <c r="N22" s="61">
        <f t="shared" si="35"/>
        <v>0</v>
      </c>
      <c r="O22" s="59">
        <f t="shared" si="19"/>
        <v>0</v>
      </c>
      <c r="P22" s="21">
        <f t="shared" si="20"/>
        <v>0</v>
      </c>
      <c r="Q22" s="22">
        <f t="shared" si="21"/>
        <v>0</v>
      </c>
      <c r="R22" s="61">
        <f t="shared" si="22"/>
        <v>0</v>
      </c>
      <c r="S22" s="59">
        <f t="shared" si="23"/>
        <v>0</v>
      </c>
      <c r="T22" s="21">
        <f t="shared" si="24"/>
        <v>0</v>
      </c>
      <c r="U22" s="22">
        <f t="shared" si="25"/>
        <v>0</v>
      </c>
      <c r="V22" s="61">
        <f t="shared" si="26"/>
        <v>4.0873287671217E-5</v>
      </c>
      <c r="W22" s="59">
        <f t="shared" si="27"/>
        <v>3.1336187214599698E-5</v>
      </c>
      <c r="X22" s="21">
        <f t="shared" si="28"/>
        <v>9.1009688527361892</v>
      </c>
      <c r="Y22" s="22">
        <f t="shared" si="29"/>
        <v>1.7729279610404599E-2</v>
      </c>
      <c r="Z22" s="61">
        <f t="shared" si="30"/>
        <v>0</v>
      </c>
      <c r="AA22" s="59">
        <f t="shared" si="31"/>
        <v>0</v>
      </c>
      <c r="AB22" s="21">
        <f t="shared" si="32"/>
        <v>0</v>
      </c>
      <c r="AC22" s="22">
        <f t="shared" si="33"/>
        <v>0</v>
      </c>
      <c r="AD22" s="71"/>
    </row>
    <row r="23" spans="1:30" ht="15.75">
      <c r="A23" s="37" t="s">
        <v>47</v>
      </c>
      <c r="B23" s="41">
        <v>9</v>
      </c>
      <c r="C23" s="41">
        <v>14</v>
      </c>
      <c r="D23" s="109" t="s">
        <v>28</v>
      </c>
      <c r="E23" s="41" t="s">
        <v>48</v>
      </c>
      <c r="F23" s="21">
        <f>IF(Chosen_Scenario="Mitigation Impact Only",VLOOKUP($B23,'[1]Coverage Review Updated'!$B$5:$T$78,18,FALSE),VLOOKUP($B23,'[1]Coverage Review Updated'!$B$5:$T$78,19,FALSE))</f>
        <v>197100</v>
      </c>
      <c r="G23" s="21">
        <v>1</v>
      </c>
      <c r="H23" s="22">
        <v>1</v>
      </c>
      <c r="I23" s="58">
        <f>HLOOKUP(B23,'[1]3. Mitigation Impact on Coverag'!ES$5:HK$7,3,FALSE)</f>
        <v>0.87</v>
      </c>
      <c r="J23" s="59">
        <f t="shared" si="16"/>
        <v>1.68886786312739E-3</v>
      </c>
      <c r="K23" s="59">
        <f t="shared" si="34"/>
        <v>1.2947986950643301E-3</v>
      </c>
      <c r="L23" s="21">
        <f t="shared" si="17"/>
        <v>1607.7903836222299</v>
      </c>
      <c r="M23" s="22">
        <f t="shared" si="18"/>
        <v>4.0853221320957998</v>
      </c>
      <c r="N23" s="61">
        <f t="shared" si="35"/>
        <v>1.6517592944171901E-3</v>
      </c>
      <c r="O23" s="59">
        <f t="shared" si="19"/>
        <v>1.26634879238651E-3</v>
      </c>
      <c r="P23" s="21">
        <f t="shared" si="20"/>
        <v>1572.4632859701001</v>
      </c>
      <c r="Q23" s="22">
        <f t="shared" si="21"/>
        <v>3.0632608159820198</v>
      </c>
      <c r="R23" s="61">
        <f t="shared" si="22"/>
        <v>1.6183666091496001E-3</v>
      </c>
      <c r="S23" s="59">
        <f t="shared" si="23"/>
        <v>1.24074773368136E-3</v>
      </c>
      <c r="T23" s="21">
        <f t="shared" si="24"/>
        <v>1540.6736833441601</v>
      </c>
      <c r="U23" s="22">
        <f t="shared" si="25"/>
        <v>3.0013326012195201</v>
      </c>
      <c r="V23" s="61">
        <f t="shared" si="26"/>
        <v>1.3660233153483001E-3</v>
      </c>
      <c r="W23" s="59">
        <f t="shared" si="27"/>
        <v>1.04728454176703E-3</v>
      </c>
      <c r="X23" s="21">
        <f t="shared" si="28"/>
        <v>1300.4446340483701</v>
      </c>
      <c r="Y23" s="22">
        <f t="shared" si="29"/>
        <v>2.5333507792373302</v>
      </c>
      <c r="Z23" s="61">
        <f t="shared" si="30"/>
        <v>1.3660233153483001E-3</v>
      </c>
      <c r="AA23" s="59">
        <f t="shared" si="31"/>
        <v>1.04728454176703E-3</v>
      </c>
      <c r="AB23" s="21">
        <f t="shared" si="32"/>
        <v>1170.4001706435299</v>
      </c>
      <c r="AC23" s="22">
        <f t="shared" si="33"/>
        <v>2.2800157013136002</v>
      </c>
      <c r="AD23" s="71"/>
    </row>
    <row r="24" spans="1:30" ht="15.75">
      <c r="A24" s="37" t="s">
        <v>47</v>
      </c>
      <c r="B24" s="41">
        <v>10</v>
      </c>
      <c r="C24" s="41">
        <v>15</v>
      </c>
      <c r="D24" s="110"/>
      <c r="E24" s="41" t="s">
        <v>49</v>
      </c>
      <c r="F24" s="21">
        <f>IF(Chosen_Scenario="Mitigation Impact Only",VLOOKUP($B24,'[1]Coverage Review Updated'!$B$5:$T$78,18,FALSE),VLOOKUP($B24,'[1]Coverage Review Updated'!$B$5:$T$78,19,FALSE))</f>
        <v>152700</v>
      </c>
      <c r="G24" s="21">
        <v>6</v>
      </c>
      <c r="H24" s="22">
        <f>G24*(1-HLOOKUP($B24,'[1]3. Mitigation Impact on Coverag'!$BY$5:$EQ$7,3,FALSE))</f>
        <v>5.7</v>
      </c>
      <c r="I24" s="58">
        <f>HLOOKUP(B24,'[1]3. Mitigation Impact on Coverag'!ES$5:HK$7,3,FALSE)</f>
        <v>0.87</v>
      </c>
      <c r="J24" s="59">
        <f t="shared" si="16"/>
        <v>1.00905192792287E-2</v>
      </c>
      <c r="K24" s="59">
        <f t="shared" si="34"/>
        <v>7.7360647807419702E-3</v>
      </c>
      <c r="L24" s="21">
        <f t="shared" si="17"/>
        <v>7442.1716797215804</v>
      </c>
      <c r="M24" s="22">
        <f t="shared" si="18"/>
        <v>18.910219257267901</v>
      </c>
      <c r="N24" s="61">
        <f t="shared" si="35"/>
        <v>9.8697211536087296E-3</v>
      </c>
      <c r="O24" s="59">
        <f t="shared" si="19"/>
        <v>7.5667862177667003E-3</v>
      </c>
      <c r="P24" s="21">
        <f t="shared" si="20"/>
        <v>7279.3240093537397</v>
      </c>
      <c r="Q24" s="22">
        <f t="shared" si="21"/>
        <v>14.1805969040058</v>
      </c>
      <c r="R24" s="61">
        <f t="shared" si="22"/>
        <v>9.6709976684633495E-3</v>
      </c>
      <c r="S24" s="59">
        <f t="shared" si="23"/>
        <v>7.4144315458219102E-3</v>
      </c>
      <c r="T24" s="21">
        <f t="shared" si="24"/>
        <v>7132.7572913961303</v>
      </c>
      <c r="U24" s="22">
        <f t="shared" si="25"/>
        <v>13.8950753989555</v>
      </c>
      <c r="V24" s="61">
        <f t="shared" si="26"/>
        <v>7.5360781714231004E-3</v>
      </c>
      <c r="W24" s="59">
        <f t="shared" si="27"/>
        <v>5.7776599314243804E-3</v>
      </c>
      <c r="X24" s="21">
        <f t="shared" si="28"/>
        <v>5558.1666306295601</v>
      </c>
      <c r="Y24" s="22">
        <f t="shared" si="29"/>
        <v>10.827670318421699</v>
      </c>
      <c r="Z24" s="61">
        <f t="shared" si="30"/>
        <v>7.7613796360094202E-3</v>
      </c>
      <c r="AA24" s="59">
        <f t="shared" si="31"/>
        <v>5.9503910542738903E-3</v>
      </c>
      <c r="AB24" s="21">
        <f t="shared" si="32"/>
        <v>5151.90212830982</v>
      </c>
      <c r="AC24" s="22">
        <f t="shared" si="33"/>
        <v>10.036240628467</v>
      </c>
      <c r="AD24" s="71"/>
    </row>
    <row r="25" spans="1:30" ht="15.75">
      <c r="A25" s="37" t="str">
        <f>IF(VLOOKUP(B25,'[1]1. Select Services'!$A$6:$E$77,5,FALSE)="x","x","")</f>
        <v>x</v>
      </c>
      <c r="B25" s="41">
        <v>11</v>
      </c>
      <c r="C25" s="41">
        <v>16</v>
      </c>
      <c r="D25" s="110"/>
      <c r="E25" s="41" t="s">
        <v>50</v>
      </c>
      <c r="F25" s="21">
        <f>IF(Chosen_Scenario="Mitigation Impact Only",VLOOKUP($B25,'[1]Coverage Review Updated'!$B$5:$T$78,18,FALSE),VLOOKUP($B25,'[1]Coverage Review Updated'!$B$5:$T$78,19,FALSE))</f>
        <v>168600</v>
      </c>
      <c r="G25" s="21">
        <f>VLOOKUP($B25,'[1]7. Number of HW Contacts'!$B$4:$I$84,6,FALSE)</f>
        <v>2</v>
      </c>
      <c r="H25" s="22">
        <f>G25*(1-HLOOKUP($B25,'[1]3. Mitigation Impact on Coverag'!$BY$5:$EQ$7,3,FALSE))</f>
        <v>1.9</v>
      </c>
      <c r="I25" s="58">
        <f>HLOOKUP(B25,'[1]3. Mitigation Impact on Coverag'!ES$5:HK$7,3,FALSE)</f>
        <v>0.87</v>
      </c>
      <c r="J25" s="59">
        <f t="shared" si="16"/>
        <v>3.3748834515957599E-3</v>
      </c>
      <c r="K25" s="59">
        <f t="shared" si="34"/>
        <v>2.5874106462234099E-3</v>
      </c>
      <c r="L25" s="21">
        <f t="shared" si="17"/>
        <v>2748.2958402055801</v>
      </c>
      <c r="M25" s="22">
        <f t="shared" si="18"/>
        <v>6.9832945487854001</v>
      </c>
      <c r="N25" s="61">
        <f t="shared" si="35"/>
        <v>3.30079028006769E-3</v>
      </c>
      <c r="O25" s="59">
        <f t="shared" si="19"/>
        <v>2.53060588138523E-3</v>
      </c>
      <c r="P25" s="21">
        <f t="shared" si="20"/>
        <v>2687.9589550897599</v>
      </c>
      <c r="Q25" s="22">
        <f t="shared" si="21"/>
        <v>5.2363189751770101</v>
      </c>
      <c r="R25" s="61">
        <f t="shared" si="22"/>
        <v>3.2341141078177098E-3</v>
      </c>
      <c r="S25" s="59">
        <f t="shared" si="23"/>
        <v>2.4794874826602402E-3</v>
      </c>
      <c r="T25" s="21">
        <f t="shared" si="24"/>
        <v>2633.6620143320602</v>
      </c>
      <c r="U25" s="22">
        <f t="shared" si="25"/>
        <v>5.13054500097057</v>
      </c>
      <c r="V25" s="61">
        <f t="shared" si="26"/>
        <v>2.5504852404408798E-3</v>
      </c>
      <c r="W25" s="59">
        <f t="shared" si="27"/>
        <v>1.95537201767134E-3</v>
      </c>
      <c r="X25" s="21">
        <f t="shared" si="28"/>
        <v>2076.9570497301502</v>
      </c>
      <c r="Y25" s="22">
        <f t="shared" si="29"/>
        <v>4.0460474999204203</v>
      </c>
      <c r="Z25" s="61">
        <f t="shared" si="30"/>
        <v>2.59384877964541E-3</v>
      </c>
      <c r="AA25" s="59">
        <f t="shared" si="31"/>
        <v>1.9886173977281501E-3</v>
      </c>
      <c r="AB25" s="21">
        <f t="shared" si="32"/>
        <v>1901.0426647669999</v>
      </c>
      <c r="AC25" s="22">
        <f t="shared" si="33"/>
        <v>3.7033548296157202</v>
      </c>
      <c r="AD25" s="71"/>
    </row>
    <row r="26" spans="1:30" ht="15.75">
      <c r="A26" s="37" t="str">
        <f>IF(VLOOKUP(B26,'[1]1. Select Services'!$A$6:$E$77,5,FALSE)="x","x","")</f>
        <v>x</v>
      </c>
      <c r="B26" s="41">
        <v>12</v>
      </c>
      <c r="C26" s="41">
        <v>17</v>
      </c>
      <c r="D26" s="110"/>
      <c r="E26" s="41" t="s">
        <v>51</v>
      </c>
      <c r="F26" s="21">
        <f>IF(Chosen_Scenario="Mitigation Impact Only",VLOOKUP($B26,'[1]Coverage Review Updated'!$B$5:$T$78,18,FALSE),VLOOKUP($B26,'[1]Coverage Review Updated'!$B$5:$T$78,19,FALSE))</f>
        <v>0</v>
      </c>
      <c r="G26" s="21">
        <f>VLOOKUP($B26,'[1]7. Number of HW Contacts'!$B$4:$I$84,6,FALSE)</f>
        <v>3</v>
      </c>
      <c r="H26" s="22">
        <f>G26*(1-HLOOKUP($B26,'[1]3. Mitigation Impact on Coverag'!$BY$5:$EQ$7,3,FALSE))</f>
        <v>2.85</v>
      </c>
      <c r="I26" s="58">
        <f>HLOOKUP(B26,'[1]3. Mitigation Impact on Coverag'!ES$5:HK$7,3,FALSE)</f>
        <v>0.87</v>
      </c>
      <c r="J26" s="59">
        <f t="shared" si="16"/>
        <v>5.0580515825200401E-3</v>
      </c>
      <c r="K26" s="59">
        <f t="shared" si="34"/>
        <v>3.8778395465987E-3</v>
      </c>
      <c r="L26" s="21">
        <f t="shared" si="17"/>
        <v>0</v>
      </c>
      <c r="M26" s="22">
        <f t="shared" si="18"/>
        <v>0</v>
      </c>
      <c r="N26" s="61">
        <f t="shared" si="35"/>
        <v>4.9470974634608896E-3</v>
      </c>
      <c r="O26" s="59">
        <f t="shared" si="19"/>
        <v>3.7927747219866801E-3</v>
      </c>
      <c r="P26" s="21">
        <f t="shared" si="20"/>
        <v>0</v>
      </c>
      <c r="Q26" s="22">
        <f t="shared" si="21"/>
        <v>0</v>
      </c>
      <c r="R26" s="61">
        <f t="shared" si="22"/>
        <v>4.8472467346851698E-3</v>
      </c>
      <c r="S26" s="59">
        <f t="shared" si="23"/>
        <v>3.7162224965919702E-3</v>
      </c>
      <c r="T26" s="21">
        <f t="shared" si="24"/>
        <v>0</v>
      </c>
      <c r="U26" s="22">
        <f t="shared" si="25"/>
        <v>0</v>
      </c>
      <c r="V26" s="61">
        <f t="shared" si="26"/>
        <v>3.7992265297300798E-3</v>
      </c>
      <c r="W26" s="59">
        <f t="shared" si="27"/>
        <v>2.9127403394597299E-3</v>
      </c>
      <c r="X26" s="21">
        <f t="shared" si="28"/>
        <v>0</v>
      </c>
      <c r="Y26" s="22">
        <f t="shared" si="29"/>
        <v>0</v>
      </c>
      <c r="Z26" s="61">
        <f t="shared" si="30"/>
        <v>3.8882490583746999E-3</v>
      </c>
      <c r="AA26" s="59">
        <f t="shared" si="31"/>
        <v>2.9809909447539402E-3</v>
      </c>
      <c r="AB26" s="21">
        <f t="shared" si="32"/>
        <v>0</v>
      </c>
      <c r="AC26" s="22">
        <f t="shared" si="33"/>
        <v>0</v>
      </c>
      <c r="AD26" s="71"/>
    </row>
    <row r="27" spans="1:30" ht="15.75">
      <c r="A27" s="37" t="str">
        <f>IF(VLOOKUP(B27,'[1]1. Select Services'!$A$6:$E$77,5,FALSE)="x","x","")</f>
        <v>x</v>
      </c>
      <c r="B27" s="41">
        <v>13</v>
      </c>
      <c r="C27" s="41">
        <v>18</v>
      </c>
      <c r="D27" s="110"/>
      <c r="E27" s="41" t="s">
        <v>52</v>
      </c>
      <c r="F27" s="21">
        <f>IF(Chosen_Scenario="Mitigation Impact Only",VLOOKUP($B27,'[1]Coverage Review Updated'!$B$5:$T$78,18,FALSE),VLOOKUP($B27,'[1]Coverage Review Updated'!$B$5:$T$78,19,FALSE))</f>
        <v>48800</v>
      </c>
      <c r="G27" s="21">
        <f>VLOOKUP($B27,'[1]7. Number of HW Contacts'!$B$4:$I$84,6,FALSE)</f>
        <v>2</v>
      </c>
      <c r="H27" s="22">
        <f>G27*(1-HLOOKUP($B27,'[1]3. Mitigation Impact on Coverag'!$BY$5:$EQ$7,3,FALSE))</f>
        <v>1.9</v>
      </c>
      <c r="I27" s="58">
        <f>HLOOKUP(B27,'[1]3. Mitigation Impact on Coverag'!ES$5:HK$7,3,FALSE)</f>
        <v>0.87</v>
      </c>
      <c r="J27" s="59">
        <f t="shared" si="16"/>
        <v>3.3748834515957599E-3</v>
      </c>
      <c r="K27" s="59">
        <f t="shared" si="34"/>
        <v>2.5874106462234099E-3</v>
      </c>
      <c r="L27" s="21">
        <f t="shared" si="17"/>
        <v>795.47352907492598</v>
      </c>
      <c r="M27" s="22">
        <f t="shared" si="18"/>
        <v>2.0212620046306502</v>
      </c>
      <c r="N27" s="61">
        <f t="shared" si="35"/>
        <v>3.30079028006769E-3</v>
      </c>
      <c r="O27" s="59">
        <f t="shared" si="19"/>
        <v>2.53060588138523E-3</v>
      </c>
      <c r="P27" s="21">
        <f t="shared" si="20"/>
        <v>778.00947217307498</v>
      </c>
      <c r="Q27" s="22">
        <f t="shared" si="21"/>
        <v>1.5156130841556199</v>
      </c>
      <c r="R27" s="61">
        <f t="shared" si="22"/>
        <v>3.2341141078177098E-3</v>
      </c>
      <c r="S27" s="59">
        <f t="shared" si="23"/>
        <v>2.4794874826602402E-3</v>
      </c>
      <c r="T27" s="21">
        <f t="shared" si="24"/>
        <v>762.29363166906501</v>
      </c>
      <c r="U27" s="22">
        <f t="shared" si="25"/>
        <v>1.48499760407689</v>
      </c>
      <c r="V27" s="61">
        <f t="shared" si="26"/>
        <v>2.5504852404408798E-3</v>
      </c>
      <c r="W27" s="59">
        <f t="shared" si="27"/>
        <v>1.95537201767134E-3</v>
      </c>
      <c r="X27" s="21">
        <f t="shared" si="28"/>
        <v>601.15957311287696</v>
      </c>
      <c r="Y27" s="22">
        <f t="shared" si="29"/>
        <v>1.1710979715072101</v>
      </c>
      <c r="Z27" s="61">
        <f t="shared" si="30"/>
        <v>2.59384877964541E-3</v>
      </c>
      <c r="AA27" s="59">
        <f t="shared" si="31"/>
        <v>1.9886173977281501E-3</v>
      </c>
      <c r="AB27" s="21">
        <f t="shared" si="32"/>
        <v>550.242479481788</v>
      </c>
      <c r="AC27" s="22">
        <f t="shared" si="33"/>
        <v>1.0719081594617299</v>
      </c>
      <c r="AD27" s="71"/>
    </row>
    <row r="28" spans="1:30" ht="15.75">
      <c r="A28" s="37" t="str">
        <f>IF(VLOOKUP(B28,'[1]1. Select Services'!$A$6:$E$77,5,FALSE)="x","x","")</f>
        <v/>
      </c>
      <c r="B28" s="41">
        <v>14</v>
      </c>
      <c r="C28" s="41">
        <v>19</v>
      </c>
      <c r="D28" s="110"/>
      <c r="E28" s="41" t="s">
        <v>53</v>
      </c>
      <c r="F28" s="21">
        <f>IF(Chosen_Scenario="Mitigation Impact Only",VLOOKUP($B28,'[1]Coverage Review Updated'!$B$5:$T$78,18,FALSE),VLOOKUP($B28,'[1]Coverage Review Updated'!$B$5:$T$78,19,FALSE))</f>
        <v>0</v>
      </c>
      <c r="G28" s="21">
        <f>VLOOKUP($B28,'[1]7. Number of HW Contacts'!$B$4:$I$84,6,FALSE)</f>
        <v>4</v>
      </c>
      <c r="H28" s="22">
        <f>G28*(1-HLOOKUP($B28,'[1]3. Mitigation Impact on Coverag'!$BY$5:$EQ$7,3,FALSE))</f>
        <v>3.8</v>
      </c>
      <c r="I28" s="58">
        <f>HLOOKUP(B28,'[1]3. Mitigation Impact on Coverag'!ES$5:HK$7,3,FALSE)</f>
        <v>0.87</v>
      </c>
      <c r="J28" s="59">
        <f t="shared" si="16"/>
        <v>6.7383770648796696E-3</v>
      </c>
      <c r="K28" s="59">
        <f t="shared" si="34"/>
        <v>5.1660890830744202E-3</v>
      </c>
      <c r="L28" s="21">
        <f t="shared" si="17"/>
        <v>0</v>
      </c>
      <c r="M28" s="22">
        <f t="shared" si="18"/>
        <v>0</v>
      </c>
      <c r="N28" s="61">
        <f t="shared" si="35"/>
        <v>6.5906853436624698E-3</v>
      </c>
      <c r="O28" s="59">
        <f t="shared" si="19"/>
        <v>5.05285876347456E-3</v>
      </c>
      <c r="P28" s="21">
        <f t="shared" si="20"/>
        <v>0</v>
      </c>
      <c r="Q28" s="22">
        <f t="shared" si="21"/>
        <v>0</v>
      </c>
      <c r="R28" s="61">
        <f t="shared" si="22"/>
        <v>6.4577687215732196E-3</v>
      </c>
      <c r="S28" s="59">
        <f t="shared" si="23"/>
        <v>4.9509560198727999E-3</v>
      </c>
      <c r="T28" s="21">
        <f t="shared" si="24"/>
        <v>0</v>
      </c>
      <c r="U28" s="22">
        <f t="shared" si="25"/>
        <v>0</v>
      </c>
      <c r="V28" s="61">
        <f t="shared" si="26"/>
        <v>5.04640447693094E-3</v>
      </c>
      <c r="W28" s="59">
        <f t="shared" si="27"/>
        <v>3.86891009898039E-3</v>
      </c>
      <c r="X28" s="21">
        <f t="shared" si="28"/>
        <v>0</v>
      </c>
      <c r="Y28" s="22">
        <f t="shared" si="29"/>
        <v>0</v>
      </c>
      <c r="Z28" s="61">
        <f t="shared" si="30"/>
        <v>5.1809695077992303E-3</v>
      </c>
      <c r="AA28" s="59">
        <f t="shared" si="31"/>
        <v>3.9720766226460699E-3</v>
      </c>
      <c r="AB28" s="21">
        <f t="shared" si="32"/>
        <v>0</v>
      </c>
      <c r="AC28" s="22">
        <f t="shared" si="33"/>
        <v>0</v>
      </c>
      <c r="AD28" s="71"/>
    </row>
    <row r="29" spans="1:30" ht="15.75">
      <c r="A29" s="37" t="str">
        <f>IF(VLOOKUP(B29,'[1]1. Select Services'!$A$6:$E$77,5,FALSE)="x","x","")</f>
        <v>x</v>
      </c>
      <c r="B29" s="41">
        <v>15</v>
      </c>
      <c r="C29" s="41">
        <v>20</v>
      </c>
      <c r="D29" s="110"/>
      <c r="E29" s="41" t="s">
        <v>54</v>
      </c>
      <c r="F29" s="21">
        <f>IF(Chosen_Scenario="Mitigation Impact Only",VLOOKUP($B29,'[1]Coverage Review Updated'!$B$5:$T$78,18,FALSE),VLOOKUP($B29,'[1]Coverage Review Updated'!$B$5:$T$78,19,FALSE))</f>
        <v>0</v>
      </c>
      <c r="G29" s="21">
        <f>VLOOKUP($B29,'[1]7. Number of HW Contacts'!$B$4:$I$84,6,FALSE)</f>
        <v>4</v>
      </c>
      <c r="H29" s="22">
        <f>G29*(1-HLOOKUP($B29,'[1]3. Mitigation Impact on Coverag'!$BY$5:$EQ$7,3,FALSE))</f>
        <v>3.8</v>
      </c>
      <c r="I29" s="58">
        <f>HLOOKUP(B29,'[1]3. Mitigation Impact on Coverag'!ES$5:HK$7,3,FALSE)</f>
        <v>0.87</v>
      </c>
      <c r="J29" s="59">
        <f t="shared" si="16"/>
        <v>6.7383770648796696E-3</v>
      </c>
      <c r="K29" s="59">
        <f t="shared" si="34"/>
        <v>5.1660890830744202E-3</v>
      </c>
      <c r="L29" s="21">
        <f t="shared" si="17"/>
        <v>0</v>
      </c>
      <c r="M29" s="22">
        <f t="shared" si="18"/>
        <v>0</v>
      </c>
      <c r="N29" s="61">
        <f t="shared" si="35"/>
        <v>6.5906853436624698E-3</v>
      </c>
      <c r="O29" s="59">
        <f t="shared" si="19"/>
        <v>5.05285876347456E-3</v>
      </c>
      <c r="P29" s="21">
        <f t="shared" si="20"/>
        <v>0</v>
      </c>
      <c r="Q29" s="22">
        <f t="shared" si="21"/>
        <v>0</v>
      </c>
      <c r="R29" s="61">
        <f t="shared" si="22"/>
        <v>6.4577687215732196E-3</v>
      </c>
      <c r="S29" s="59">
        <f t="shared" si="23"/>
        <v>4.9509560198727999E-3</v>
      </c>
      <c r="T29" s="21">
        <f t="shared" si="24"/>
        <v>0</v>
      </c>
      <c r="U29" s="22">
        <f t="shared" si="25"/>
        <v>0</v>
      </c>
      <c r="V29" s="61">
        <f t="shared" si="26"/>
        <v>5.04640447693094E-3</v>
      </c>
      <c r="W29" s="59">
        <f t="shared" si="27"/>
        <v>3.86891009898039E-3</v>
      </c>
      <c r="X29" s="21">
        <f t="shared" si="28"/>
        <v>0</v>
      </c>
      <c r="Y29" s="22">
        <f t="shared" si="29"/>
        <v>0</v>
      </c>
      <c r="Z29" s="61">
        <f t="shared" si="30"/>
        <v>5.1809695077992303E-3</v>
      </c>
      <c r="AA29" s="59">
        <f t="shared" si="31"/>
        <v>3.9720766226460699E-3</v>
      </c>
      <c r="AB29" s="21">
        <f t="shared" si="32"/>
        <v>0</v>
      </c>
      <c r="AC29" s="22">
        <f t="shared" si="33"/>
        <v>0</v>
      </c>
      <c r="AD29" s="71"/>
    </row>
    <row r="30" spans="1:30" ht="15.75">
      <c r="A30" s="37" t="str">
        <f>IF(VLOOKUP(B30,'[1]1. Select Services'!$A$6:$E$77,5,FALSE)="x","x","")</f>
        <v>x</v>
      </c>
      <c r="B30" s="41">
        <v>16</v>
      </c>
      <c r="C30" s="41">
        <v>21</v>
      </c>
      <c r="D30" s="110"/>
      <c r="E30" s="41" t="s">
        <v>55</v>
      </c>
      <c r="F30" s="21">
        <f>IF(Chosen_Scenario="Mitigation Impact Only",VLOOKUP($B30,'[1]Coverage Review Updated'!$B$5:$T$78,18,FALSE),VLOOKUP($B30,'[1]Coverage Review Updated'!$B$5:$T$78,19,FALSE))</f>
        <v>0</v>
      </c>
      <c r="G30" s="21">
        <f>VLOOKUP($B30,'[1]7. Number of HW Contacts'!$B$4:$I$84,6,FALSE)</f>
        <v>4</v>
      </c>
      <c r="H30" s="22">
        <f>G30*(1-HLOOKUP($B30,'[1]3. Mitigation Impact on Coverag'!$BY$5:$EQ$7,3,FALSE))</f>
        <v>4</v>
      </c>
      <c r="I30" s="58">
        <f>HLOOKUP(B30,'[1]3. Mitigation Impact on Coverag'!ES$5:HK$7,3,FALSE)</f>
        <v>0.87</v>
      </c>
      <c r="J30" s="59">
        <f t="shared" si="16"/>
        <v>6.7383770648796696E-3</v>
      </c>
      <c r="K30" s="59">
        <f t="shared" si="34"/>
        <v>5.1660890830744202E-3</v>
      </c>
      <c r="L30" s="21">
        <f t="shared" si="17"/>
        <v>0</v>
      </c>
      <c r="M30" s="22">
        <f t="shared" si="18"/>
        <v>0</v>
      </c>
      <c r="N30" s="61">
        <f t="shared" si="35"/>
        <v>6.5906853436624698E-3</v>
      </c>
      <c r="O30" s="59">
        <f t="shared" si="19"/>
        <v>5.05285876347456E-3</v>
      </c>
      <c r="P30" s="21">
        <f t="shared" si="20"/>
        <v>0</v>
      </c>
      <c r="Q30" s="22">
        <f t="shared" si="21"/>
        <v>0</v>
      </c>
      <c r="R30" s="61">
        <f t="shared" si="22"/>
        <v>6.4577687215732196E-3</v>
      </c>
      <c r="S30" s="59">
        <f t="shared" si="23"/>
        <v>4.9509560198727999E-3</v>
      </c>
      <c r="T30" s="21">
        <f t="shared" si="24"/>
        <v>0</v>
      </c>
      <c r="U30" s="22">
        <f t="shared" si="25"/>
        <v>0</v>
      </c>
      <c r="V30" s="61">
        <f t="shared" si="26"/>
        <v>5.3087692320733498E-3</v>
      </c>
      <c r="W30" s="59">
        <f t="shared" si="27"/>
        <v>4.0700564112562398E-3</v>
      </c>
      <c r="X30" s="21">
        <f t="shared" si="28"/>
        <v>0</v>
      </c>
      <c r="Y30" s="22">
        <f t="shared" si="29"/>
        <v>0</v>
      </c>
      <c r="Z30" s="61">
        <f t="shared" si="30"/>
        <v>5.4529073358285897E-3</v>
      </c>
      <c r="AA30" s="59">
        <f t="shared" si="31"/>
        <v>4.1805622908019204E-3</v>
      </c>
      <c r="AB30" s="21">
        <f t="shared" si="32"/>
        <v>0</v>
      </c>
      <c r="AC30" s="22">
        <f t="shared" si="33"/>
        <v>0</v>
      </c>
      <c r="AD30" s="71"/>
    </row>
    <row r="31" spans="1:30" ht="15.75">
      <c r="A31" s="37" t="str">
        <f>IF(VLOOKUP(B31,'[1]1. Select Services'!$A$6:$E$77,5,FALSE)="x","x","")</f>
        <v>x</v>
      </c>
      <c r="B31" s="41">
        <v>17</v>
      </c>
      <c r="C31" s="41">
        <v>22</v>
      </c>
      <c r="D31" s="110"/>
      <c r="E31" s="41" t="s">
        <v>56</v>
      </c>
      <c r="F31" s="21">
        <f>IF(Chosen_Scenario="Mitigation Impact Only",VLOOKUP($B31,'[1]Coverage Review Updated'!$B$5:$T$78,18,FALSE),VLOOKUP($B31,'[1]Coverage Review Updated'!$B$5:$T$78,19,FALSE))</f>
        <v>0</v>
      </c>
      <c r="G31" s="21">
        <f>VLOOKUP($B31,'[1]7. Number of HW Contacts'!$B$4:$I$84,6,FALSE)</f>
        <v>4</v>
      </c>
      <c r="H31" s="22">
        <f>G31*(1-HLOOKUP($B31,'[1]3. Mitigation Impact on Coverag'!$BY$5:$EQ$7,3,FALSE))</f>
        <v>3.8</v>
      </c>
      <c r="I31" s="58">
        <f>HLOOKUP(B31,'[1]3. Mitigation Impact on Coverag'!ES$5:HK$7,3,FALSE)</f>
        <v>0.87</v>
      </c>
      <c r="J31" s="59">
        <f t="shared" si="16"/>
        <v>6.7383770648796696E-3</v>
      </c>
      <c r="K31" s="59">
        <f t="shared" si="34"/>
        <v>5.1660890830744202E-3</v>
      </c>
      <c r="L31" s="21">
        <f t="shared" si="17"/>
        <v>0</v>
      </c>
      <c r="M31" s="22">
        <f t="shared" si="18"/>
        <v>0</v>
      </c>
      <c r="N31" s="61">
        <f t="shared" si="35"/>
        <v>6.5906853436624698E-3</v>
      </c>
      <c r="O31" s="59">
        <f t="shared" si="19"/>
        <v>5.05285876347456E-3</v>
      </c>
      <c r="P31" s="21">
        <f t="shared" si="20"/>
        <v>0</v>
      </c>
      <c r="Q31" s="22">
        <f t="shared" si="21"/>
        <v>0</v>
      </c>
      <c r="R31" s="61">
        <f t="shared" si="22"/>
        <v>6.4577687215732196E-3</v>
      </c>
      <c r="S31" s="59">
        <f t="shared" si="23"/>
        <v>4.9509560198727999E-3</v>
      </c>
      <c r="T31" s="21">
        <f t="shared" si="24"/>
        <v>0</v>
      </c>
      <c r="U31" s="22">
        <f t="shared" si="25"/>
        <v>0</v>
      </c>
      <c r="V31" s="61">
        <f t="shared" si="26"/>
        <v>5.04640447693094E-3</v>
      </c>
      <c r="W31" s="59">
        <f t="shared" si="27"/>
        <v>3.86891009898039E-3</v>
      </c>
      <c r="X31" s="21">
        <f t="shared" si="28"/>
        <v>0</v>
      </c>
      <c r="Y31" s="22">
        <f t="shared" si="29"/>
        <v>0</v>
      </c>
      <c r="Z31" s="61">
        <f t="shared" si="30"/>
        <v>5.1809695077992303E-3</v>
      </c>
      <c r="AA31" s="59">
        <f t="shared" si="31"/>
        <v>3.9720766226460699E-3</v>
      </c>
      <c r="AB31" s="21">
        <f t="shared" si="32"/>
        <v>0</v>
      </c>
      <c r="AC31" s="22">
        <f t="shared" si="33"/>
        <v>0</v>
      </c>
      <c r="AD31" s="71"/>
    </row>
    <row r="32" spans="1:30" ht="15.75">
      <c r="A32" s="37" t="str">
        <f>IF(VLOOKUP(B32,'[1]1. Select Services'!$A$6:$E$77,5,FALSE)="x","x","")</f>
        <v>x</v>
      </c>
      <c r="B32" s="41">
        <v>18</v>
      </c>
      <c r="C32" s="41">
        <v>23</v>
      </c>
      <c r="D32" s="110"/>
      <c r="E32" s="41" t="s">
        <v>57</v>
      </c>
      <c r="F32" s="21">
        <f>IF(Chosen_Scenario="Mitigation Impact Only",VLOOKUP($B32,'[1]Coverage Review Updated'!$B$5:$T$78,18,FALSE),VLOOKUP($B32,'[1]Coverage Review Updated'!$B$5:$T$78,19,FALSE))</f>
        <v>1800</v>
      </c>
      <c r="G32" s="21">
        <f>VLOOKUP($B32,'[1]7. Number of HW Contacts'!$B$4:$I$84,6,FALSE)</f>
        <v>4</v>
      </c>
      <c r="H32" s="22">
        <f>G32*(1-HLOOKUP($B32,'[1]3. Mitigation Impact on Coverag'!$BY$5:$EQ$7,3,FALSE))</f>
        <v>3.8</v>
      </c>
      <c r="I32" s="58">
        <f>HLOOKUP(B32,'[1]3. Mitigation Impact on Coverag'!ES$5:HK$7,3,FALSE)</f>
        <v>0.87</v>
      </c>
      <c r="J32" s="59">
        <f t="shared" si="16"/>
        <v>6.7383770648796696E-3</v>
      </c>
      <c r="K32" s="59">
        <f t="shared" si="34"/>
        <v>5.1660890830744202E-3</v>
      </c>
      <c r="L32" s="21">
        <f t="shared" si="17"/>
        <v>58.583450202063901</v>
      </c>
      <c r="M32" s="22">
        <f t="shared" si="18"/>
        <v>0.14885787856612701</v>
      </c>
      <c r="N32" s="61">
        <f t="shared" si="35"/>
        <v>6.5906853436624698E-3</v>
      </c>
      <c r="O32" s="59">
        <f t="shared" si="19"/>
        <v>5.05285876347456E-3</v>
      </c>
      <c r="P32" s="21">
        <f t="shared" si="20"/>
        <v>57.299418377801501</v>
      </c>
      <c r="Q32" s="22">
        <f t="shared" si="21"/>
        <v>0.111622996009725</v>
      </c>
      <c r="R32" s="61">
        <f t="shared" si="22"/>
        <v>6.4577687215732196E-3</v>
      </c>
      <c r="S32" s="59">
        <f t="shared" si="23"/>
        <v>4.9509560198727999E-3</v>
      </c>
      <c r="T32" s="21">
        <f t="shared" si="24"/>
        <v>56.143841265357601</v>
      </c>
      <c r="U32" s="22">
        <f t="shared" si="25"/>
        <v>0.109371856590459</v>
      </c>
      <c r="V32" s="61">
        <f t="shared" si="26"/>
        <v>5.04640447693094E-3</v>
      </c>
      <c r="W32" s="59">
        <f t="shared" si="27"/>
        <v>3.86891009898039E-3</v>
      </c>
      <c r="X32" s="21">
        <f t="shared" si="28"/>
        <v>43.873440522437598</v>
      </c>
      <c r="Y32" s="22">
        <f t="shared" si="29"/>
        <v>8.5468317393361498E-2</v>
      </c>
      <c r="Z32" s="61">
        <f t="shared" si="30"/>
        <v>5.1809695077992303E-3</v>
      </c>
      <c r="AA32" s="59">
        <f t="shared" si="31"/>
        <v>3.9720766226460699E-3</v>
      </c>
      <c r="AB32" s="21">
        <f t="shared" si="32"/>
        <v>40.539014010725801</v>
      </c>
      <c r="AC32" s="22">
        <f t="shared" si="33"/>
        <v>7.8972637546186594E-2</v>
      </c>
      <c r="AD32" s="71"/>
    </row>
    <row r="33" spans="1:30" ht="15.75">
      <c r="A33" s="37" t="str">
        <f>IF(VLOOKUP(B33,'[1]1. Select Services'!$A$6:$E$77,5,FALSE)="x","x","")</f>
        <v>x</v>
      </c>
      <c r="B33" s="41">
        <v>19</v>
      </c>
      <c r="C33" s="41">
        <v>24</v>
      </c>
      <c r="D33" s="110"/>
      <c r="E33" s="41" t="s">
        <v>58</v>
      </c>
      <c r="F33" s="21">
        <f>IF(Chosen_Scenario="Mitigation Impact Only",VLOOKUP($B33,'[1]Coverage Review Updated'!$B$5:$T$78,18,FALSE),VLOOKUP($B33,'[1]Coverage Review Updated'!$B$5:$T$78,19,FALSE))</f>
        <v>2000</v>
      </c>
      <c r="G33" s="21">
        <f>VLOOKUP($B33,'[1]7. Number of HW Contacts'!$B$4:$I$84,6,FALSE)</f>
        <v>4</v>
      </c>
      <c r="H33" s="22">
        <f>G33*(1-HLOOKUP($B33,'[1]3. Mitigation Impact on Coverag'!$BY$5:$EQ$7,3,FALSE))</f>
        <v>4</v>
      </c>
      <c r="I33" s="58">
        <f>HLOOKUP(B33,'[1]3. Mitigation Impact on Coverag'!ES$5:HK$7,3,FALSE)</f>
        <v>0.87</v>
      </c>
      <c r="J33" s="59">
        <f t="shared" si="16"/>
        <v>6.7383770648796696E-3</v>
      </c>
      <c r="K33" s="59">
        <f t="shared" si="34"/>
        <v>5.1660890830744202E-3</v>
      </c>
      <c r="L33" s="21">
        <f t="shared" si="17"/>
        <v>65.092722446737696</v>
      </c>
      <c r="M33" s="22">
        <f t="shared" si="18"/>
        <v>0.165397642851252</v>
      </c>
      <c r="N33" s="61">
        <f t="shared" si="35"/>
        <v>6.5906853436624698E-3</v>
      </c>
      <c r="O33" s="59">
        <f t="shared" si="19"/>
        <v>5.05285876347456E-3</v>
      </c>
      <c r="P33" s="21">
        <f t="shared" si="20"/>
        <v>63.6660204197795</v>
      </c>
      <c r="Q33" s="22">
        <f t="shared" si="21"/>
        <v>0.124025551121916</v>
      </c>
      <c r="R33" s="61">
        <f t="shared" si="22"/>
        <v>6.4577687215732196E-3</v>
      </c>
      <c r="S33" s="59">
        <f t="shared" si="23"/>
        <v>4.9509560198727999E-3</v>
      </c>
      <c r="T33" s="21">
        <f t="shared" si="24"/>
        <v>62.382045850397297</v>
      </c>
      <c r="U33" s="22">
        <f t="shared" si="25"/>
        <v>0.12152428510051</v>
      </c>
      <c r="V33" s="61">
        <f t="shared" si="26"/>
        <v>5.3087692320733498E-3</v>
      </c>
      <c r="W33" s="59">
        <f t="shared" si="27"/>
        <v>4.0700564112562398E-3</v>
      </c>
      <c r="X33" s="21">
        <f t="shared" si="28"/>
        <v>51.282710781828598</v>
      </c>
      <c r="Y33" s="22">
        <f t="shared" si="29"/>
        <v>9.9902058049259307E-2</v>
      </c>
      <c r="Z33" s="61">
        <f t="shared" si="30"/>
        <v>5.4529073358285897E-3</v>
      </c>
      <c r="AA33" s="59">
        <f t="shared" si="31"/>
        <v>4.1805622908019204E-3</v>
      </c>
      <c r="AB33" s="21">
        <f t="shared" si="32"/>
        <v>47.4075763776938</v>
      </c>
      <c r="AC33" s="22">
        <f t="shared" si="33"/>
        <v>9.2353044038718093E-2</v>
      </c>
      <c r="AD33" s="71"/>
    </row>
    <row r="34" spans="1:30" ht="15.75">
      <c r="A34" s="37" t="str">
        <f>IF(VLOOKUP(B34,'[1]1. Select Services'!$A$6:$E$77,5,FALSE)="x","x","")</f>
        <v>x</v>
      </c>
      <c r="B34" s="41">
        <v>20</v>
      </c>
      <c r="C34" s="41">
        <v>25</v>
      </c>
      <c r="D34" s="110"/>
      <c r="E34" s="41" t="s">
        <v>59</v>
      </c>
      <c r="F34" s="21">
        <f>IF(Chosen_Scenario="Mitigation Impact Only",VLOOKUP($B34,'[1]Coverage Review Updated'!$B$5:$T$78,18,FALSE),VLOOKUP($B34,'[1]Coverage Review Updated'!$B$5:$T$78,19,FALSE))</f>
        <v>4200</v>
      </c>
      <c r="G34" s="21">
        <f>VLOOKUP($B34,'[1]7. Number of HW Contacts'!$B$4:$I$84,6,FALSE)</f>
        <v>2</v>
      </c>
      <c r="H34" s="22">
        <f>G34*(1-HLOOKUP($B34,'[1]3. Mitigation Impact on Coverag'!$BY$5:$EQ$7,3,FALSE))</f>
        <v>2</v>
      </c>
      <c r="I34" s="58">
        <f>HLOOKUP(B34,'[1]3. Mitigation Impact on Coverag'!ES$5:HK$7,3,FALSE)</f>
        <v>0.87</v>
      </c>
      <c r="J34" s="59">
        <f t="shared" si="16"/>
        <v>3.3748834515957599E-3</v>
      </c>
      <c r="K34" s="59">
        <f t="shared" si="34"/>
        <v>2.5874106462234099E-3</v>
      </c>
      <c r="L34" s="21">
        <f t="shared" si="17"/>
        <v>68.462885699071506</v>
      </c>
      <c r="M34" s="22">
        <f t="shared" si="18"/>
        <v>0.173961074169031</v>
      </c>
      <c r="N34" s="61">
        <f t="shared" si="35"/>
        <v>3.30079028006769E-3</v>
      </c>
      <c r="O34" s="59">
        <f t="shared" si="19"/>
        <v>2.53060588138523E-3</v>
      </c>
      <c r="P34" s="21">
        <f t="shared" si="20"/>
        <v>66.959831621453105</v>
      </c>
      <c r="Q34" s="22">
        <f t="shared" si="21"/>
        <v>0.130442109701918</v>
      </c>
      <c r="R34" s="61">
        <f t="shared" si="22"/>
        <v>3.2341141078177098E-3</v>
      </c>
      <c r="S34" s="59">
        <f t="shared" si="23"/>
        <v>2.4794874826602402E-3</v>
      </c>
      <c r="T34" s="21">
        <f t="shared" si="24"/>
        <v>65.607238791189999</v>
      </c>
      <c r="U34" s="22">
        <f t="shared" si="25"/>
        <v>0.127807170842683</v>
      </c>
      <c r="V34" s="61">
        <f t="shared" si="26"/>
        <v>2.68200537019636E-3</v>
      </c>
      <c r="W34" s="59">
        <f t="shared" si="27"/>
        <v>2.05620411715054E-3</v>
      </c>
      <c r="X34" s="21">
        <f t="shared" si="28"/>
        <v>54.407160939803397</v>
      </c>
      <c r="Y34" s="22">
        <f t="shared" si="29"/>
        <v>0.105988690294227</v>
      </c>
      <c r="Z34" s="61">
        <f t="shared" si="30"/>
        <v>2.7301806109986098E-3</v>
      </c>
      <c r="AA34" s="59">
        <f t="shared" si="31"/>
        <v>2.09313846843227E-3</v>
      </c>
      <c r="AB34" s="21">
        <f t="shared" si="32"/>
        <v>49.845999487245997</v>
      </c>
      <c r="AC34" s="22">
        <f t="shared" si="33"/>
        <v>9.7103250947153705E-2</v>
      </c>
      <c r="AD34" s="71"/>
    </row>
    <row r="35" spans="1:30" ht="15.75">
      <c r="A35" s="37" t="str">
        <f>IF(VLOOKUP(B35,'[1]1. Select Services'!$A$6:$E$77,5,FALSE)="x","x","")</f>
        <v>x</v>
      </c>
      <c r="B35" s="41">
        <v>21</v>
      </c>
      <c r="C35" s="41">
        <v>26</v>
      </c>
      <c r="D35" s="111"/>
      <c r="E35" s="41" t="s">
        <v>60</v>
      </c>
      <c r="F35" s="42">
        <f>IF(Chosen_Scenario="Mitigation Impact Only",VLOOKUP($B35,'[1]Coverage Review Updated'!$B$5:$T$78,18,FALSE),VLOOKUP($B35,'[1]Coverage Review Updated'!$B$5:$T$78,19,FALSE))</f>
        <v>300</v>
      </c>
      <c r="G35" s="43">
        <f>VLOOKUP($B35,'[1]7. Number of HW Contacts'!$B$4:$I$84,6,FALSE)</f>
        <v>2</v>
      </c>
      <c r="H35" s="44">
        <f>G35*(1-HLOOKUP($B35,'[1]3. Mitigation Impact on Coverag'!$BY$5:$EQ$7,3,FALSE))</f>
        <v>1.9</v>
      </c>
      <c r="I35" s="70">
        <f>HLOOKUP(B35,'[1]3. Mitigation Impact on Coverag'!ES$5:HK$7,3,FALSE)</f>
        <v>0.87</v>
      </c>
      <c r="J35" s="62">
        <f t="shared" ref="J35:J47" si="36">1-((1-Risk_of_Provider_Being_Infected*_xlfn.SINGLE(Transmission_Risk_Hospital_Stay))^(G35)*(1-Risk_of_Community_Member_being_Infected*Transmission_Risk_in_Community)^(G35*Contacts_During_Travel_to_Facility))</f>
        <v>4.8561685228909503E-3</v>
      </c>
      <c r="K35" s="62">
        <f t="shared" si="34"/>
        <v>3.7230625342163899E-3</v>
      </c>
      <c r="L35" s="42">
        <f t="shared" si="17"/>
        <v>7.0365881896689801</v>
      </c>
      <c r="M35" s="44">
        <f t="shared" si="18"/>
        <v>1.7879650082826399E-2</v>
      </c>
      <c r="N35" s="63">
        <f t="shared" ref="N35:N47" si="37">1-((1-Risk_of_Provider_Being_Infected*_xlfn.SINGLE(Transmission_Risk_Hospital_Stay)*(1-Reduction_in_Risk_PPE))^(G35)*(1-Risk_of_Community_Member_being_Infected*Transmission_Risk_in_Community)^($G35*Contacts_During_Travel_to_Facility))</f>
        <v>4.6340459915362696E-3</v>
      </c>
      <c r="O35" s="62">
        <f t="shared" si="19"/>
        <v>3.55276859351114E-3</v>
      </c>
      <c r="P35" s="42">
        <f t="shared" si="20"/>
        <v>6.7147326417360604</v>
      </c>
      <c r="Q35" s="44">
        <f t="shared" si="21"/>
        <v>1.30807361766388E-2</v>
      </c>
      <c r="R35" s="63">
        <f t="shared" ref="R35:R47" si="38">1-((1-Risk_of_Provider_Being_Infected*_xlfn.SINGLE(Transmission_Risk_Hospital_Stay)*(1-Reduction_in_Risk_PPE))^(G35*(1-Reduction_in_Risk_TS)))*(1-Risk_of_Community_Member_being_Infected*Transmission_Risk_in_Community)^($G35*Contacts_During_Travel_to_Facility)</f>
        <v>4.43420482020362E-3</v>
      </c>
      <c r="S35" s="62">
        <f t="shared" si="23"/>
        <v>3.3995570288227802E-3</v>
      </c>
      <c r="T35" s="42">
        <f t="shared" si="24"/>
        <v>6.4251627844750496</v>
      </c>
      <c r="U35" s="44">
        <f t="shared" si="25"/>
        <v>1.2516635249671899E-2</v>
      </c>
      <c r="V35" s="63">
        <f t="shared" ref="V35:V47" si="39">1-((1-Risk_of_Provider_Being_Infected*_xlfn.SINGLE(Transmission_Risk_Hospital_Stay)*(1-Reduction_in_Risk_PPE))^(H35*(1-Reduction_in_Risk_TS)))*(1-Risk_of_Community_Member_being_Infected*Transmission_Risk_in_Community)^($H35*Contacts_During_Travel_to_Facility)</f>
        <v>4.2129622821734901E-3</v>
      </c>
      <c r="W35" s="62">
        <f t="shared" si="27"/>
        <v>3.2299377496663399E-3</v>
      </c>
      <c r="X35" s="42">
        <f t="shared" si="28"/>
        <v>6.1045823468693898</v>
      </c>
      <c r="Y35" s="44">
        <f t="shared" si="29"/>
        <v>1.18921236940448E-2</v>
      </c>
      <c r="Z35" s="72">
        <f t="shared" ref="Z35:Z47" si="40">1-((1-Risk_of_Provider_Being_Infected*Transmission_Risk_Hospital_Stay*(1-$I35)))*(1-Risk_of_Community_Member_being_Infected*Transmission_Risk_in_Community)^($H35*Contacts_During_Travel_to_Facility)</f>
        <v>2.6468530831799098E-3</v>
      </c>
      <c r="AA35" s="62">
        <f t="shared" si="31"/>
        <v>2.0292540304379298E-3</v>
      </c>
      <c r="AB35" s="42">
        <f t="shared" si="32"/>
        <v>3.4517611057749198</v>
      </c>
      <c r="AC35" s="44">
        <f t="shared" si="33"/>
        <v>6.7242552724707198E-3</v>
      </c>
      <c r="AD35" s="127" t="s">
        <v>61</v>
      </c>
    </row>
    <row r="36" spans="1:30" ht="15.75">
      <c r="A36" s="37" t="str">
        <f>IF(VLOOKUP(B36,'[1]1. Select Services'!$A$6:$E$77,5,FALSE)="x","x","")</f>
        <v>x</v>
      </c>
      <c r="B36" s="45">
        <v>22</v>
      </c>
      <c r="C36" s="45">
        <v>27</v>
      </c>
      <c r="D36" s="112" t="s">
        <v>29</v>
      </c>
      <c r="E36" s="46" t="s">
        <v>62</v>
      </c>
      <c r="F36" s="42">
        <f>IF(Chosen_Scenario="Mitigation Impact Only",VLOOKUP($B36,'[1]Coverage Review Updated'!$B$5:$T$78,18,FALSE),VLOOKUP($B36,'[1]Coverage Review Updated'!$B$5:$T$78,19,FALSE))</f>
        <v>56100</v>
      </c>
      <c r="G36" s="42">
        <f>VLOOKUP(200,'[1]7. Number of HW Contacts'!$B$4:$I$84,6,FALSE)</f>
        <v>4</v>
      </c>
      <c r="H36" s="44">
        <f>G36*(1-HLOOKUP($B36,'[1]3. Mitigation Impact on Coverag'!$BY$5:$EQ$7,3,FALSE))</f>
        <v>4</v>
      </c>
      <c r="I36" s="70">
        <f>HLOOKUP(B36,'[1]3. Mitigation Impact on Coverag'!ES$5:HK$7,3,FALSE)</f>
        <v>0.77</v>
      </c>
      <c r="J36" s="62">
        <f t="shared" si="36"/>
        <v>9.6887546730593001E-3</v>
      </c>
      <c r="K36" s="62">
        <f t="shared" si="34"/>
        <v>7.4280452493454604E-3</v>
      </c>
      <c r="L36" s="42">
        <f t="shared" si="17"/>
        <v>2625.2940324761698</v>
      </c>
      <c r="M36" s="44">
        <f t="shared" si="18"/>
        <v>6.6707525579117597</v>
      </c>
      <c r="N36" s="63">
        <f t="shared" si="37"/>
        <v>9.2466176008207893E-3</v>
      </c>
      <c r="O36" s="62">
        <f t="shared" si="19"/>
        <v>7.08907349396261E-3</v>
      </c>
      <c r="P36" s="42">
        <f t="shared" si="20"/>
        <v>2505.4912449712001</v>
      </c>
      <c r="Q36" s="44">
        <f t="shared" si="21"/>
        <v>4.8808600009833398</v>
      </c>
      <c r="R36" s="63">
        <f t="shared" si="38"/>
        <v>8.8487474680197797E-3</v>
      </c>
      <c r="S36" s="62">
        <f t="shared" si="23"/>
        <v>6.7840397254818304E-3</v>
      </c>
      <c r="T36" s="42">
        <f t="shared" si="24"/>
        <v>2397.68316017704</v>
      </c>
      <c r="U36" s="44">
        <f t="shared" si="25"/>
        <v>4.6708428357226097</v>
      </c>
      <c r="V36" s="63">
        <f t="shared" si="39"/>
        <v>8.8487474680197797E-3</v>
      </c>
      <c r="W36" s="62">
        <f t="shared" si="27"/>
        <v>6.7840397254818304E-3</v>
      </c>
      <c r="X36" s="42">
        <f t="shared" si="28"/>
        <v>2397.68316017704</v>
      </c>
      <c r="Y36" s="44">
        <f t="shared" si="29"/>
        <v>4.6708428357226097</v>
      </c>
      <c r="Z36" s="72">
        <f t="shared" si="40"/>
        <v>5.5157567620067703E-3</v>
      </c>
      <c r="AA36" s="62">
        <f t="shared" si="31"/>
        <v>4.2287468508718602E-3</v>
      </c>
      <c r="AB36" s="42">
        <f t="shared" si="32"/>
        <v>1345.1093995532799</v>
      </c>
      <c r="AC36" s="44">
        <f t="shared" si="33"/>
        <v>2.6203606491954701</v>
      </c>
      <c r="AD36" s="127" t="s">
        <v>61</v>
      </c>
    </row>
    <row r="37" spans="1:30" ht="15.75">
      <c r="A37" s="37" t="str">
        <f>IF(VLOOKUP(B37,'[1]1. Select Services'!$A$6:$E$77,5,FALSE)="x","x","")</f>
        <v>x</v>
      </c>
      <c r="B37" s="45">
        <v>23</v>
      </c>
      <c r="C37" s="45">
        <v>28</v>
      </c>
      <c r="D37" s="113"/>
      <c r="E37" s="46" t="s">
        <v>63</v>
      </c>
      <c r="F37" s="42">
        <f>IF(Chosen_Scenario="Mitigation Impact Only",VLOOKUP($B37,'[1]Coverage Review Updated'!$B$5:$T$78,18,FALSE),VLOOKUP($B37,'[1]Coverage Review Updated'!$B$5:$T$78,19,FALSE))</f>
        <v>46000</v>
      </c>
      <c r="G37" s="42">
        <f>VLOOKUP($B37,'[1]7. Number of HW Contacts'!$B$4:$I$84,6,FALSE)</f>
        <v>0</v>
      </c>
      <c r="H37" s="44">
        <f>G37*(1-HLOOKUP($B37,'[1]3. Mitigation Impact on Coverag'!$BY$5:$EQ$7,3,FALSE))</f>
        <v>0</v>
      </c>
      <c r="I37" s="70">
        <f>HLOOKUP(B37,'[1]3. Mitigation Impact on Coverag'!ES$5:HK$7,3,FALSE)</f>
        <v>0.77</v>
      </c>
      <c r="J37" s="62">
        <f t="shared" si="36"/>
        <v>0</v>
      </c>
      <c r="K37" s="62">
        <f t="shared" si="34"/>
        <v>0</v>
      </c>
      <c r="L37" s="42">
        <f t="shared" si="17"/>
        <v>0</v>
      </c>
      <c r="M37" s="44">
        <f t="shared" si="18"/>
        <v>0</v>
      </c>
      <c r="N37" s="63">
        <f t="shared" si="37"/>
        <v>0</v>
      </c>
      <c r="O37" s="62">
        <f t="shared" si="19"/>
        <v>0</v>
      </c>
      <c r="P37" s="42">
        <f t="shared" si="20"/>
        <v>0</v>
      </c>
      <c r="Q37" s="44">
        <f t="shared" si="21"/>
        <v>0</v>
      </c>
      <c r="R37" s="63">
        <f t="shared" si="38"/>
        <v>0</v>
      </c>
      <c r="S37" s="62">
        <f t="shared" si="23"/>
        <v>0</v>
      </c>
      <c r="T37" s="42">
        <f t="shared" si="24"/>
        <v>0</v>
      </c>
      <c r="U37" s="44">
        <f t="shared" si="25"/>
        <v>0</v>
      </c>
      <c r="V37" s="63">
        <f t="shared" si="39"/>
        <v>0</v>
      </c>
      <c r="W37" s="62">
        <f t="shared" si="27"/>
        <v>0</v>
      </c>
      <c r="X37" s="42">
        <f t="shared" si="28"/>
        <v>0</v>
      </c>
      <c r="Y37" s="44">
        <f t="shared" si="29"/>
        <v>0</v>
      </c>
      <c r="Z37" s="72">
        <f t="shared" si="40"/>
        <v>2.5638698630137097E-4</v>
      </c>
      <c r="AA37" s="62">
        <f t="shared" si="31"/>
        <v>1.9656335616438501E-4</v>
      </c>
      <c r="AB37" s="42">
        <f t="shared" si="32"/>
        <v>51.267654554794802</v>
      </c>
      <c r="AC37" s="44">
        <f t="shared" si="33"/>
        <v>9.9872727539147804E-2</v>
      </c>
      <c r="AD37" s="127" t="s">
        <v>61</v>
      </c>
    </row>
    <row r="38" spans="1:30" ht="15.75">
      <c r="A38" s="37" t="str">
        <f>IF(VLOOKUP(B38,'[1]1. Select Services'!$A$6:$E$77,5,FALSE)="x","x","")</f>
        <v>x</v>
      </c>
      <c r="B38" s="45">
        <v>24</v>
      </c>
      <c r="C38" s="45">
        <v>32</v>
      </c>
      <c r="D38" s="113"/>
      <c r="E38" s="46" t="s">
        <v>64</v>
      </c>
      <c r="F38" s="42">
        <f>IF(Chosen_Scenario="Mitigation Impact Only",VLOOKUP($B38,'[1]Coverage Review Updated'!$B$5:$T$78,18,FALSE),VLOOKUP($B38,'[1]Coverage Review Updated'!$B$5:$T$78,19,FALSE))</f>
        <v>400</v>
      </c>
      <c r="G38" s="42">
        <f>VLOOKUP($B38,'[1]7. Number of HW Contacts'!$B$4:$I$84,6,FALSE)</f>
        <v>4</v>
      </c>
      <c r="H38" s="44">
        <f>G38*(1-HLOOKUP($B38,'[1]3. Mitigation Impact on Coverag'!$BY$5:$EQ$7,3,FALSE))</f>
        <v>4</v>
      </c>
      <c r="I38" s="70">
        <f>HLOOKUP(B38,'[1]3. Mitigation Impact on Coverag'!ES$5:HK$7,3,FALSE)</f>
        <v>0.77</v>
      </c>
      <c r="J38" s="62">
        <f t="shared" si="36"/>
        <v>9.6887546730593001E-3</v>
      </c>
      <c r="K38" s="62">
        <f t="shared" si="34"/>
        <v>7.4280452493454604E-3</v>
      </c>
      <c r="L38" s="42">
        <f t="shared" si="17"/>
        <v>18.718674028350598</v>
      </c>
      <c r="M38" s="44">
        <f t="shared" si="18"/>
        <v>4.7563298095627503E-2</v>
      </c>
      <c r="N38" s="63">
        <f t="shared" si="37"/>
        <v>9.2466176008207893E-3</v>
      </c>
      <c r="O38" s="62">
        <f t="shared" si="19"/>
        <v>7.08907349396261E-3</v>
      </c>
      <c r="P38" s="42">
        <f t="shared" si="20"/>
        <v>17.864465204785802</v>
      </c>
      <c r="Q38" s="44">
        <f t="shared" si="21"/>
        <v>3.4801140826975697E-2</v>
      </c>
      <c r="R38" s="63">
        <f t="shared" si="38"/>
        <v>8.8487474680197797E-3</v>
      </c>
      <c r="S38" s="62">
        <f t="shared" si="23"/>
        <v>6.7840397254818304E-3</v>
      </c>
      <c r="T38" s="42">
        <f t="shared" si="24"/>
        <v>17.0957801082142</v>
      </c>
      <c r="U38" s="44">
        <f t="shared" si="25"/>
        <v>3.33036922333163E-2</v>
      </c>
      <c r="V38" s="63">
        <f t="shared" si="39"/>
        <v>8.8487474680197797E-3</v>
      </c>
      <c r="W38" s="62">
        <f t="shared" si="27"/>
        <v>6.7840397254818304E-3</v>
      </c>
      <c r="X38" s="42">
        <f t="shared" si="28"/>
        <v>17.0957801082142</v>
      </c>
      <c r="Y38" s="44">
        <f t="shared" si="29"/>
        <v>3.33036922333163E-2</v>
      </c>
      <c r="Z38" s="72">
        <f t="shared" si="40"/>
        <v>5.5157567620067703E-3</v>
      </c>
      <c r="AA38" s="62">
        <f t="shared" si="31"/>
        <v>4.2287468508718602E-3</v>
      </c>
      <c r="AB38" s="42">
        <f t="shared" si="32"/>
        <v>9.59079785777738</v>
      </c>
      <c r="AC38" s="44">
        <f t="shared" si="33"/>
        <v>1.8683498389985499E-2</v>
      </c>
      <c r="AD38" s="127" t="s">
        <v>61</v>
      </c>
    </row>
    <row r="39" spans="1:30" ht="15.75">
      <c r="A39" s="37" t="str">
        <f>IF(VLOOKUP(B39,'[1]1. Select Services'!$A$6:$E$77,5,FALSE)="x","x","")</f>
        <v>x</v>
      </c>
      <c r="B39" s="45">
        <v>25</v>
      </c>
      <c r="C39" s="45">
        <v>33</v>
      </c>
      <c r="D39" s="113"/>
      <c r="E39" s="46" t="s">
        <v>65</v>
      </c>
      <c r="F39" s="42">
        <f>IF(Chosen_Scenario="Mitigation Impact Only",VLOOKUP($B39,'[1]Coverage Review Updated'!$B$5:$T$78,18,FALSE),VLOOKUP($B39,'[1]Coverage Review Updated'!$B$5:$T$78,19,FALSE))</f>
        <v>100</v>
      </c>
      <c r="G39" s="42">
        <f>VLOOKUP($B39,'[1]7. Number of HW Contacts'!$B$4:$I$84,6,FALSE)</f>
        <v>10</v>
      </c>
      <c r="H39" s="44">
        <f>G39*(1-HLOOKUP($B39,'[1]3. Mitigation Impact on Coverag'!$BY$5:$EQ$7,3,FALSE))</f>
        <v>10</v>
      </c>
      <c r="I39" s="70">
        <f>HLOOKUP(B39,'[1]3. Mitigation Impact on Coverag'!ES$5:HK$7,3,FALSE)</f>
        <v>0.77</v>
      </c>
      <c r="J39" s="62">
        <f t="shared" si="36"/>
        <v>2.40461613090481E-2</v>
      </c>
      <c r="K39" s="62">
        <f t="shared" si="34"/>
        <v>1.8435390336936901E-2</v>
      </c>
      <c r="L39" s="42">
        <f t="shared" si="17"/>
        <v>11.614295912270199</v>
      </c>
      <c r="M39" s="44">
        <f t="shared" si="18"/>
        <v>2.95113968975299E-2</v>
      </c>
      <c r="N39" s="63">
        <f t="shared" si="37"/>
        <v>2.2956478964305901E-2</v>
      </c>
      <c r="O39" s="62">
        <f t="shared" si="19"/>
        <v>1.7599967205967799E-2</v>
      </c>
      <c r="P39" s="42">
        <f t="shared" si="20"/>
        <v>11.0879793397597</v>
      </c>
      <c r="Q39" s="44">
        <f t="shared" si="21"/>
        <v>2.16001053525074E-2</v>
      </c>
      <c r="R39" s="63">
        <f t="shared" si="38"/>
        <v>2.1975272306847999E-2</v>
      </c>
      <c r="S39" s="62">
        <f t="shared" si="23"/>
        <v>1.6847708768583498E-2</v>
      </c>
      <c r="T39" s="42">
        <f t="shared" si="24"/>
        <v>10.6140565242076</v>
      </c>
      <c r="U39" s="44">
        <f t="shared" si="25"/>
        <v>2.0676872865215901E-2</v>
      </c>
      <c r="V39" s="63">
        <f t="shared" si="39"/>
        <v>2.1975272306847999E-2</v>
      </c>
      <c r="W39" s="62">
        <f t="shared" si="27"/>
        <v>1.6847708768583498E-2</v>
      </c>
      <c r="X39" s="42">
        <f t="shared" si="28"/>
        <v>10.6140565242076</v>
      </c>
      <c r="Y39" s="44">
        <f t="shared" si="29"/>
        <v>2.0676872865215901E-2</v>
      </c>
      <c r="Z39" s="72">
        <f t="shared" si="40"/>
        <v>1.3352979320798999E-2</v>
      </c>
      <c r="AA39" s="62">
        <f t="shared" si="31"/>
        <v>1.02372841459459E-2</v>
      </c>
      <c r="AB39" s="42">
        <f t="shared" si="32"/>
        <v>5.8045401107513399</v>
      </c>
      <c r="AC39" s="44">
        <f t="shared" si="33"/>
        <v>1.13076218915286E-2</v>
      </c>
      <c r="AD39" s="127" t="s">
        <v>61</v>
      </c>
    </row>
    <row r="40" spans="1:30" ht="15.75">
      <c r="A40" s="37" t="str">
        <f>IF(VLOOKUP(B40,'[1]1. Select Services'!$A$6:$E$77,5,FALSE)="x","x","")</f>
        <v>x</v>
      </c>
      <c r="B40" s="45">
        <v>26</v>
      </c>
      <c r="C40" s="45">
        <v>34</v>
      </c>
      <c r="D40" s="113"/>
      <c r="E40" s="46" t="s">
        <v>66</v>
      </c>
      <c r="F40" s="42">
        <f>IF(Chosen_Scenario="Mitigation Impact Only",VLOOKUP($B40,'[1]Coverage Review Updated'!$B$5:$T$78,18,FALSE),VLOOKUP($B40,'[1]Coverage Review Updated'!$B$5:$T$78,19,FALSE))</f>
        <v>2700</v>
      </c>
      <c r="G40" s="42">
        <f>VLOOKUP($B40,'[1]7. Number of HW Contacts'!$B$4:$I$84,6,FALSE)</f>
        <v>6</v>
      </c>
      <c r="H40" s="44">
        <f>G40*(1-HLOOKUP($B40,'[1]3. Mitigation Impact on Coverag'!$BY$5:$EQ$7,3,FALSE))</f>
        <v>6</v>
      </c>
      <c r="I40" s="70">
        <f>HLOOKUP(B40,'[1]3. Mitigation Impact on Coverag'!ES$5:HK$7,3,FALSE)</f>
        <v>0.77</v>
      </c>
      <c r="J40" s="62">
        <f t="shared" si="36"/>
        <v>1.4497872970480901E-2</v>
      </c>
      <c r="K40" s="62">
        <f t="shared" si="34"/>
        <v>1.11150359440353E-2</v>
      </c>
      <c r="L40" s="42">
        <f t="shared" si="17"/>
        <v>189.066761408041</v>
      </c>
      <c r="M40" s="44">
        <f t="shared" si="18"/>
        <v>0.48041002900128799</v>
      </c>
      <c r="N40" s="63">
        <f t="shared" si="37"/>
        <v>1.38378143411286E-2</v>
      </c>
      <c r="O40" s="62">
        <f t="shared" si="19"/>
        <v>1.06089909948653E-2</v>
      </c>
      <c r="P40" s="42">
        <f t="shared" si="20"/>
        <v>180.45893682265799</v>
      </c>
      <c r="Q40" s="44">
        <f t="shared" si="21"/>
        <v>0.35154575308357</v>
      </c>
      <c r="R40" s="63">
        <f t="shared" si="38"/>
        <v>1.32437151295479E-2</v>
      </c>
      <c r="S40" s="62">
        <f t="shared" si="23"/>
        <v>1.01535149326534E-2</v>
      </c>
      <c r="T40" s="42">
        <f t="shared" si="24"/>
        <v>172.71128900443401</v>
      </c>
      <c r="U40" s="44">
        <f t="shared" si="25"/>
        <v>0.336452830921669</v>
      </c>
      <c r="V40" s="63">
        <f t="shared" si="39"/>
        <v>1.32437151295479E-2</v>
      </c>
      <c r="W40" s="62">
        <f t="shared" si="27"/>
        <v>1.01535149326534E-2</v>
      </c>
      <c r="X40" s="42">
        <f t="shared" si="28"/>
        <v>172.71128900443401</v>
      </c>
      <c r="Y40" s="44">
        <f t="shared" si="29"/>
        <v>0.336452830921669</v>
      </c>
      <c r="Z40" s="72">
        <f t="shared" si="40"/>
        <v>8.1350570106833997E-3</v>
      </c>
      <c r="AA40" s="62">
        <f t="shared" si="31"/>
        <v>6.2368770415239397E-3</v>
      </c>
      <c r="AB40" s="42">
        <f t="shared" si="32"/>
        <v>95.480350628690005</v>
      </c>
      <c r="AC40" s="44">
        <f t="shared" si="33"/>
        <v>0.18600193682528501</v>
      </c>
      <c r="AD40" s="127" t="s">
        <v>61</v>
      </c>
    </row>
    <row r="41" spans="1:30" ht="15.75">
      <c r="A41" s="37" t="str">
        <f>IF(VLOOKUP(B41,'[1]1. Select Services'!$A$6:$E$77,5,FALSE)="x","x","")</f>
        <v>x</v>
      </c>
      <c r="B41" s="45">
        <v>27</v>
      </c>
      <c r="C41" s="45">
        <v>35</v>
      </c>
      <c r="D41" s="113"/>
      <c r="E41" s="46" t="s">
        <v>67</v>
      </c>
      <c r="F41" s="42">
        <f>IF(Chosen_Scenario="Mitigation Impact Only",VLOOKUP($B41,'[1]Coverage Review Updated'!$B$5:$T$78,18,FALSE),VLOOKUP($B41,'[1]Coverage Review Updated'!$B$5:$T$78,19,FALSE))</f>
        <v>4200</v>
      </c>
      <c r="G41" s="42">
        <f>VLOOKUP($B41,'[1]7. Number of HW Contacts'!$B$4:$I$84,6,FALSE)</f>
        <v>10</v>
      </c>
      <c r="H41" s="44">
        <f>G41*(1-HLOOKUP($B41,'[1]3. Mitigation Impact on Coverag'!$BY$5:$EQ$7,3,FALSE))</f>
        <v>10</v>
      </c>
      <c r="I41" s="70">
        <f>HLOOKUP(B41,'[1]3. Mitigation Impact on Coverag'!ES$5:HK$7,3,FALSE)</f>
        <v>0.77</v>
      </c>
      <c r="J41" s="62">
        <f t="shared" si="36"/>
        <v>2.40461613090481E-2</v>
      </c>
      <c r="K41" s="62">
        <f t="shared" si="34"/>
        <v>1.8435390336936901E-2</v>
      </c>
      <c r="L41" s="42">
        <f t="shared" si="17"/>
        <v>487.80042831535002</v>
      </c>
      <c r="M41" s="44">
        <f t="shared" si="18"/>
        <v>1.2394786696962601</v>
      </c>
      <c r="N41" s="63">
        <f t="shared" si="37"/>
        <v>2.2956478964305901E-2</v>
      </c>
      <c r="O41" s="62">
        <f t="shared" si="19"/>
        <v>1.7599967205967799E-2</v>
      </c>
      <c r="P41" s="42">
        <f t="shared" si="20"/>
        <v>465.69513226990898</v>
      </c>
      <c r="Q41" s="44">
        <f t="shared" si="21"/>
        <v>0.90720442480531105</v>
      </c>
      <c r="R41" s="63">
        <f t="shared" si="38"/>
        <v>2.1975272306847999E-2</v>
      </c>
      <c r="S41" s="62">
        <f t="shared" si="23"/>
        <v>1.6847708768583498E-2</v>
      </c>
      <c r="T41" s="42">
        <f t="shared" si="24"/>
        <v>445.790374016719</v>
      </c>
      <c r="U41" s="44">
        <f t="shared" si="25"/>
        <v>0.86842866033906896</v>
      </c>
      <c r="V41" s="63">
        <f t="shared" si="39"/>
        <v>2.1975272306847999E-2</v>
      </c>
      <c r="W41" s="62">
        <f t="shared" si="27"/>
        <v>1.6847708768583498E-2</v>
      </c>
      <c r="X41" s="42">
        <f t="shared" si="28"/>
        <v>445.790374016719</v>
      </c>
      <c r="Y41" s="44">
        <f t="shared" si="29"/>
        <v>0.86842866033906896</v>
      </c>
      <c r="Z41" s="72">
        <f t="shared" si="40"/>
        <v>1.3352979320798999E-2</v>
      </c>
      <c r="AA41" s="62">
        <f t="shared" si="31"/>
        <v>1.02372841459459E-2</v>
      </c>
      <c r="AB41" s="42">
        <f t="shared" si="32"/>
        <v>243.79068465155601</v>
      </c>
      <c r="AC41" s="44">
        <f t="shared" si="33"/>
        <v>0.47492011944420098</v>
      </c>
      <c r="AD41" s="127" t="s">
        <v>61</v>
      </c>
    </row>
    <row r="42" spans="1:30" ht="15.75">
      <c r="A42" s="37" t="str">
        <f>IF(VLOOKUP(B42,'[1]1. Select Services'!$A$6:$E$77,5,FALSE)="x","x","")</f>
        <v>x</v>
      </c>
      <c r="B42" s="45">
        <v>28</v>
      </c>
      <c r="C42" s="45">
        <v>36</v>
      </c>
      <c r="D42" s="113"/>
      <c r="E42" s="46" t="s">
        <v>68</v>
      </c>
      <c r="F42" s="42">
        <f>IF(Chosen_Scenario="Mitigation Impact Only",VLOOKUP($B42,'[1]Coverage Review Updated'!$B$5:$T$78,18,FALSE),VLOOKUP($B42,'[1]Coverage Review Updated'!$B$5:$T$78,19,FALSE))</f>
        <v>1500</v>
      </c>
      <c r="G42" s="42">
        <f>VLOOKUP($B42,'[1]7. Number of HW Contacts'!$B$4:$I$84,6,FALSE)</f>
        <v>4</v>
      </c>
      <c r="H42" s="44">
        <f>G42*(1-HLOOKUP($B42,'[1]3. Mitigation Impact on Coverag'!$BY$5:$EQ$7,3,FALSE))</f>
        <v>4</v>
      </c>
      <c r="I42" s="70">
        <f>HLOOKUP(B42,'[1]3. Mitigation Impact on Coverag'!ES$5:HK$7,3,FALSE)</f>
        <v>0.77</v>
      </c>
      <c r="J42" s="62">
        <f t="shared" si="36"/>
        <v>9.6887546730593001E-3</v>
      </c>
      <c r="K42" s="62">
        <f t="shared" si="34"/>
        <v>7.4280452493454604E-3</v>
      </c>
      <c r="L42" s="42">
        <f t="shared" si="17"/>
        <v>70.195027606314596</v>
      </c>
      <c r="M42" s="44">
        <f t="shared" si="18"/>
        <v>0.17836236785860299</v>
      </c>
      <c r="N42" s="63">
        <f t="shared" si="37"/>
        <v>9.2466176008207893E-3</v>
      </c>
      <c r="O42" s="62">
        <f t="shared" si="19"/>
        <v>7.08907349396261E-3</v>
      </c>
      <c r="P42" s="42">
        <f t="shared" si="20"/>
        <v>66.9917445179466</v>
      </c>
      <c r="Q42" s="44">
        <f t="shared" si="21"/>
        <v>0.130504278101159</v>
      </c>
      <c r="R42" s="63">
        <f t="shared" si="38"/>
        <v>8.8487474680197797E-3</v>
      </c>
      <c r="S42" s="62">
        <f t="shared" si="23"/>
        <v>6.7840397254818304E-3</v>
      </c>
      <c r="T42" s="42">
        <f t="shared" si="24"/>
        <v>64.109175405803299</v>
      </c>
      <c r="U42" s="44">
        <f t="shared" si="25"/>
        <v>0.124888845874936</v>
      </c>
      <c r="V42" s="63">
        <f t="shared" si="39"/>
        <v>8.8487474680197797E-3</v>
      </c>
      <c r="W42" s="62">
        <f t="shared" si="27"/>
        <v>6.7840397254818304E-3</v>
      </c>
      <c r="X42" s="42">
        <f t="shared" si="28"/>
        <v>64.109175405803299</v>
      </c>
      <c r="Y42" s="44">
        <f t="shared" si="29"/>
        <v>0.124888845874936</v>
      </c>
      <c r="Z42" s="72">
        <f t="shared" si="40"/>
        <v>5.5157567620067703E-3</v>
      </c>
      <c r="AA42" s="62">
        <f t="shared" si="31"/>
        <v>4.2287468508718602E-3</v>
      </c>
      <c r="AB42" s="42">
        <f t="shared" si="32"/>
        <v>35.965491966665198</v>
      </c>
      <c r="AC42" s="44">
        <f t="shared" si="33"/>
        <v>7.00631189624457E-2</v>
      </c>
      <c r="AD42" s="127" t="s">
        <v>61</v>
      </c>
    </row>
    <row r="43" spans="1:30" ht="15.75">
      <c r="A43" s="37" t="str">
        <f>IF(VLOOKUP(B43,'[1]1. Select Services'!$A$6:$E$77,5,FALSE)="x","x","")</f>
        <v>x</v>
      </c>
      <c r="B43" s="45">
        <v>29</v>
      </c>
      <c r="C43" s="45">
        <v>38</v>
      </c>
      <c r="D43" s="113"/>
      <c r="E43" s="46" t="s">
        <v>69</v>
      </c>
      <c r="F43" s="42">
        <f>IF(Chosen_Scenario="Mitigation Impact Only",VLOOKUP($B43,'[1]Coverage Review Updated'!$B$5:$T$78,18,FALSE),VLOOKUP($B43,'[1]Coverage Review Updated'!$B$5:$T$78,19,FALSE))</f>
        <v>50200</v>
      </c>
      <c r="G43" s="42">
        <f>VLOOKUP($B43,'[1]7. Number of HW Contacts'!$B$4:$I$84,6,FALSE)</f>
        <v>2</v>
      </c>
      <c r="H43" s="44">
        <f>G43*(1-HLOOKUP($B43,'[1]3. Mitigation Impact on Coverag'!$BY$5:$EQ$7,3,FALSE))</f>
        <v>2</v>
      </c>
      <c r="I43" s="70">
        <f>HLOOKUP(B43,'[1]3. Mitigation Impact on Coverag'!ES$5:HK$7,3,FALSE)</f>
        <v>0.77</v>
      </c>
      <c r="J43" s="62">
        <f t="shared" si="36"/>
        <v>4.8561685228909503E-3</v>
      </c>
      <c r="K43" s="62">
        <f t="shared" si="34"/>
        <v>3.7230625342163899E-3</v>
      </c>
      <c r="L43" s="42">
        <f t="shared" si="17"/>
        <v>1177.45575707128</v>
      </c>
      <c r="M43" s="44">
        <f t="shared" si="18"/>
        <v>2.9918614471929499</v>
      </c>
      <c r="N43" s="63">
        <f t="shared" si="37"/>
        <v>4.6340459915362696E-3</v>
      </c>
      <c r="O43" s="62">
        <f t="shared" si="19"/>
        <v>3.55276859351114E-3</v>
      </c>
      <c r="P43" s="42">
        <f t="shared" si="20"/>
        <v>1123.5985953838299</v>
      </c>
      <c r="Q43" s="44">
        <f t="shared" si="21"/>
        <v>2.1888431868909</v>
      </c>
      <c r="R43" s="63">
        <f t="shared" si="38"/>
        <v>4.43420482020362E-3</v>
      </c>
      <c r="S43" s="62">
        <f t="shared" si="23"/>
        <v>3.3995570288227802E-3</v>
      </c>
      <c r="T43" s="42">
        <f t="shared" si="24"/>
        <v>1075.14390593549</v>
      </c>
      <c r="U43" s="44">
        <f t="shared" si="25"/>
        <v>2.0944502984451101</v>
      </c>
      <c r="V43" s="63">
        <f t="shared" si="39"/>
        <v>4.43420482020362E-3</v>
      </c>
      <c r="W43" s="62">
        <f t="shared" si="27"/>
        <v>3.3995570288227802E-3</v>
      </c>
      <c r="X43" s="42">
        <f t="shared" si="28"/>
        <v>1075.14390593549</v>
      </c>
      <c r="Y43" s="44">
        <f t="shared" si="29"/>
        <v>2.0944502984451101</v>
      </c>
      <c r="Z43" s="72">
        <f t="shared" si="40"/>
        <v>2.8895395093152501E-3</v>
      </c>
      <c r="AA43" s="62">
        <f t="shared" si="31"/>
        <v>2.21531362380836E-3</v>
      </c>
      <c r="AB43" s="42">
        <f t="shared" si="32"/>
        <v>630.55357799906903</v>
      </c>
      <c r="AC43" s="44">
        <f t="shared" si="33"/>
        <v>1.22835940596869</v>
      </c>
      <c r="AD43" s="127" t="s">
        <v>61</v>
      </c>
    </row>
    <row r="44" spans="1:30" ht="15.75">
      <c r="A44" s="37" t="str">
        <f>IF(VLOOKUP(B44,'[1]1. Select Services'!$A$6:$E$77,5,FALSE)="x","x","")</f>
        <v>x</v>
      </c>
      <c r="B44" s="45">
        <v>30</v>
      </c>
      <c r="C44" s="45">
        <v>39</v>
      </c>
      <c r="D44" s="113"/>
      <c r="E44" s="46" t="s">
        <v>70</v>
      </c>
      <c r="F44" s="42">
        <f>IF(Chosen_Scenario="Mitigation Impact Only",VLOOKUP($B44,'[1]Coverage Review Updated'!$B$5:$T$78,18,FALSE),VLOOKUP($B44,'[1]Coverage Review Updated'!$B$5:$T$78,19,FALSE))</f>
        <v>200</v>
      </c>
      <c r="G44" s="42">
        <f>VLOOKUP($B44,'[1]7. Number of HW Contacts'!$B$4:$I$84,6,FALSE)</f>
        <v>4</v>
      </c>
      <c r="H44" s="44">
        <f>G44*(1-HLOOKUP($B44,'[1]3. Mitigation Impact on Coverag'!$BY$5:$EQ$7,3,FALSE))</f>
        <v>4</v>
      </c>
      <c r="I44" s="70">
        <f>HLOOKUP(B44,'[1]3. Mitigation Impact on Coverag'!ES$5:HK$7,3,FALSE)</f>
        <v>0.77</v>
      </c>
      <c r="J44" s="62">
        <f t="shared" si="36"/>
        <v>9.6887546730593001E-3</v>
      </c>
      <c r="K44" s="62">
        <f t="shared" si="34"/>
        <v>7.4280452493454604E-3</v>
      </c>
      <c r="L44" s="42">
        <f t="shared" si="17"/>
        <v>9.3593370141752796</v>
      </c>
      <c r="M44" s="44">
        <f t="shared" si="18"/>
        <v>2.37816490478138E-2</v>
      </c>
      <c r="N44" s="63">
        <f t="shared" si="37"/>
        <v>9.2466176008207893E-3</v>
      </c>
      <c r="O44" s="62">
        <f t="shared" si="19"/>
        <v>7.08907349396261E-3</v>
      </c>
      <c r="P44" s="42">
        <f t="shared" si="20"/>
        <v>8.9322326023928795</v>
      </c>
      <c r="Q44" s="44">
        <f t="shared" si="21"/>
        <v>1.74005704134878E-2</v>
      </c>
      <c r="R44" s="63">
        <f t="shared" si="38"/>
        <v>8.8487474680197797E-3</v>
      </c>
      <c r="S44" s="62">
        <f t="shared" si="23"/>
        <v>6.7840397254818304E-3</v>
      </c>
      <c r="T44" s="42">
        <f t="shared" si="24"/>
        <v>8.5478900541071106</v>
      </c>
      <c r="U44" s="44">
        <f t="shared" si="25"/>
        <v>1.6651846116658101E-2</v>
      </c>
      <c r="V44" s="63">
        <f t="shared" si="39"/>
        <v>8.8487474680197797E-3</v>
      </c>
      <c r="W44" s="62">
        <f t="shared" si="27"/>
        <v>6.7840397254818304E-3</v>
      </c>
      <c r="X44" s="42">
        <f t="shared" si="28"/>
        <v>8.5478900541071106</v>
      </c>
      <c r="Y44" s="44">
        <f t="shared" si="29"/>
        <v>1.6651846116658101E-2</v>
      </c>
      <c r="Z44" s="72">
        <f t="shared" si="40"/>
        <v>5.5157567620067703E-3</v>
      </c>
      <c r="AA44" s="62">
        <f t="shared" si="31"/>
        <v>4.2287468508718602E-3</v>
      </c>
      <c r="AB44" s="42">
        <f t="shared" si="32"/>
        <v>4.79539892888869</v>
      </c>
      <c r="AC44" s="44">
        <f t="shared" si="33"/>
        <v>9.3417491949927597E-3</v>
      </c>
      <c r="AD44" s="127" t="s">
        <v>61</v>
      </c>
    </row>
    <row r="45" spans="1:30" ht="15.75">
      <c r="A45" s="37" t="str">
        <f>IF(VLOOKUP(B45,'[1]1. Select Services'!$A$6:$E$77,5,FALSE)="x","x","")</f>
        <v>x</v>
      </c>
      <c r="B45" s="45">
        <v>31</v>
      </c>
      <c r="C45" s="45">
        <v>40</v>
      </c>
      <c r="D45" s="113"/>
      <c r="E45" s="46" t="s">
        <v>71</v>
      </c>
      <c r="F45" s="42">
        <f>IF(Chosen_Scenario="Mitigation Impact Only",VLOOKUP($B45,'[1]Coverage Review Updated'!$B$5:$T$78,18,FALSE),VLOOKUP($B45,'[1]Coverage Review Updated'!$B$5:$T$78,19,FALSE))</f>
        <v>100</v>
      </c>
      <c r="G45" s="42">
        <f>VLOOKUP($B45,'[1]7. Number of HW Contacts'!$B$4:$I$84,6,FALSE)</f>
        <v>1</v>
      </c>
      <c r="H45" s="44">
        <f>G45*(1-HLOOKUP($B45,'[1]3. Mitigation Impact on Coverag'!$BY$5:$EQ$7,3,FALSE))</f>
        <v>1</v>
      </c>
      <c r="I45" s="70">
        <f>HLOOKUP(B45,'[1]3. Mitigation Impact on Coverag'!ES$5:HK$7,3,FALSE)</f>
        <v>0.77</v>
      </c>
      <c r="J45" s="62">
        <f t="shared" si="36"/>
        <v>2.43103923733212E-3</v>
      </c>
      <c r="K45" s="62">
        <f t="shared" si="34"/>
        <v>1.86379674862129E-3</v>
      </c>
      <c r="L45" s="42">
        <f t="shared" si="17"/>
        <v>1.1741919516314101</v>
      </c>
      <c r="M45" s="44">
        <f t="shared" si="18"/>
        <v>2.9835682662322002E-3</v>
      </c>
      <c r="N45" s="63">
        <f t="shared" si="37"/>
        <v>2.31971353120153E-3</v>
      </c>
      <c r="O45" s="62">
        <f t="shared" si="19"/>
        <v>1.77844704058784E-3</v>
      </c>
      <c r="P45" s="42">
        <f t="shared" si="20"/>
        <v>1.12042163557034</v>
      </c>
      <c r="Q45" s="44">
        <f t="shared" si="21"/>
        <v>2.1826542624196802E-3</v>
      </c>
      <c r="R45" s="63">
        <f t="shared" si="38"/>
        <v>2.21956564593007E-3</v>
      </c>
      <c r="S45" s="62">
        <f t="shared" si="23"/>
        <v>1.7016669952130501E-3</v>
      </c>
      <c r="T45" s="42">
        <f t="shared" si="24"/>
        <v>1.0720502069842199</v>
      </c>
      <c r="U45" s="44">
        <f t="shared" si="25"/>
        <v>2.0884235715520698E-3</v>
      </c>
      <c r="V45" s="63">
        <f t="shared" si="39"/>
        <v>2.21956564593007E-3</v>
      </c>
      <c r="W45" s="62">
        <f t="shared" si="27"/>
        <v>1.7016669952130501E-3</v>
      </c>
      <c r="X45" s="42">
        <f t="shared" si="28"/>
        <v>1.0720502069842199</v>
      </c>
      <c r="Y45" s="44">
        <f t="shared" si="29"/>
        <v>2.0884235715520698E-3</v>
      </c>
      <c r="Z45" s="72">
        <f t="shared" si="40"/>
        <v>1.5738313001256699E-3</v>
      </c>
      <c r="AA45" s="62">
        <f t="shared" si="31"/>
        <v>1.2066039967630201E-3</v>
      </c>
      <c r="AB45" s="42">
        <f t="shared" si="32"/>
        <v>0.68414446616462998</v>
      </c>
      <c r="AC45" s="44">
        <f t="shared" si="33"/>
        <v>1.33275794377618E-3</v>
      </c>
      <c r="AD45" s="127" t="s">
        <v>61</v>
      </c>
    </row>
    <row r="46" spans="1:30" ht="15.75">
      <c r="A46" s="37" t="str">
        <f>IF(VLOOKUP(B46,'[1]1. Select Services'!$A$6:$E$77,5,FALSE)="x","x","")</f>
        <v>x</v>
      </c>
      <c r="B46" s="45">
        <v>32</v>
      </c>
      <c r="C46" s="45">
        <v>41</v>
      </c>
      <c r="D46" s="113"/>
      <c r="E46" s="46" t="s">
        <v>72</v>
      </c>
      <c r="F46" s="42">
        <f>IF(Chosen_Scenario="Mitigation Impact Only",VLOOKUP($B46,'[1]Coverage Review Updated'!$B$5:$T$78,18,FALSE),VLOOKUP($B46,'[1]Coverage Review Updated'!$B$5:$T$78,19,FALSE))</f>
        <v>0</v>
      </c>
      <c r="G46" s="42">
        <f>VLOOKUP($B46,'[1]7. Number of HW Contacts'!$B$4:$I$84,6,FALSE)</f>
        <v>4</v>
      </c>
      <c r="H46" s="44">
        <f>G46*(1-HLOOKUP($B46,'[1]3. Mitigation Impact on Coverag'!$BY$5:$EQ$7,3,FALSE))</f>
        <v>4</v>
      </c>
      <c r="I46" s="70">
        <f>HLOOKUP(B46,'[1]3. Mitigation Impact on Coverag'!ES$5:HK$7,3,FALSE)</f>
        <v>0.77</v>
      </c>
      <c r="J46" s="62">
        <f t="shared" si="36"/>
        <v>9.6887546730593001E-3</v>
      </c>
      <c r="K46" s="62">
        <f t="shared" si="34"/>
        <v>7.4280452493454604E-3</v>
      </c>
      <c r="L46" s="42">
        <f t="shared" si="17"/>
        <v>0</v>
      </c>
      <c r="M46" s="44">
        <f t="shared" si="18"/>
        <v>0</v>
      </c>
      <c r="N46" s="63">
        <f t="shared" si="37"/>
        <v>9.2466176008207893E-3</v>
      </c>
      <c r="O46" s="62">
        <f t="shared" si="19"/>
        <v>7.08907349396261E-3</v>
      </c>
      <c r="P46" s="42">
        <f t="shared" si="20"/>
        <v>0</v>
      </c>
      <c r="Q46" s="44">
        <f t="shared" si="21"/>
        <v>0</v>
      </c>
      <c r="R46" s="63">
        <f t="shared" si="38"/>
        <v>8.8487474680197797E-3</v>
      </c>
      <c r="S46" s="62">
        <f t="shared" si="23"/>
        <v>6.7840397254818304E-3</v>
      </c>
      <c r="T46" s="42">
        <f t="shared" si="24"/>
        <v>0</v>
      </c>
      <c r="U46" s="44">
        <f t="shared" si="25"/>
        <v>0</v>
      </c>
      <c r="V46" s="63">
        <f t="shared" si="39"/>
        <v>8.8487474680197797E-3</v>
      </c>
      <c r="W46" s="62">
        <f t="shared" si="27"/>
        <v>6.7840397254818304E-3</v>
      </c>
      <c r="X46" s="42">
        <f t="shared" si="28"/>
        <v>0</v>
      </c>
      <c r="Y46" s="44">
        <f t="shared" si="29"/>
        <v>0</v>
      </c>
      <c r="Z46" s="72">
        <f t="shared" si="40"/>
        <v>5.5157567620067703E-3</v>
      </c>
      <c r="AA46" s="62">
        <f t="shared" si="31"/>
        <v>4.2287468508718602E-3</v>
      </c>
      <c r="AB46" s="42">
        <f t="shared" si="32"/>
        <v>0</v>
      </c>
      <c r="AC46" s="44">
        <f t="shared" si="33"/>
        <v>0</v>
      </c>
      <c r="AD46" s="127" t="s">
        <v>61</v>
      </c>
    </row>
    <row r="47" spans="1:30" ht="15.75">
      <c r="A47" s="37" t="str">
        <f>IF(VLOOKUP(B47,'[1]1. Select Services'!$A$6:$E$77,5,FALSE)="x","x","")</f>
        <v>x</v>
      </c>
      <c r="B47" s="45">
        <v>33</v>
      </c>
      <c r="C47" s="47">
        <v>65</v>
      </c>
      <c r="D47" s="113"/>
      <c r="E47" s="48" t="s">
        <v>73</v>
      </c>
      <c r="F47" s="42">
        <f>IF(Chosen_Scenario="Mitigation Impact Only",VLOOKUP($B47,'[1]Coverage Review Updated'!$B$5:$T$78,18,FALSE),VLOOKUP($B47,'[1]Coverage Review Updated'!$B$5:$T$78,19,FALSE))</f>
        <v>0</v>
      </c>
      <c r="G47" s="42">
        <f>VLOOKUP($B47,'[1]7. Number of HW Contacts'!$B$4:$I$84,6,FALSE)</f>
        <v>10</v>
      </c>
      <c r="H47" s="44">
        <f>G47*(1-HLOOKUP($B47,'[1]3. Mitigation Impact on Coverag'!$BY$5:$EQ$7,3,FALSE))</f>
        <v>10</v>
      </c>
      <c r="I47" s="70">
        <f>HLOOKUP(B47,'[1]3. Mitigation Impact on Coverag'!ES$5:HK$7,3,FALSE)</f>
        <v>0.77</v>
      </c>
      <c r="J47" s="62">
        <f t="shared" si="36"/>
        <v>2.40461613090481E-2</v>
      </c>
      <c r="K47" s="62">
        <f t="shared" si="34"/>
        <v>1.8435390336936901E-2</v>
      </c>
      <c r="L47" s="42">
        <f t="shared" si="17"/>
        <v>0</v>
      </c>
      <c r="M47" s="44">
        <f t="shared" si="18"/>
        <v>0</v>
      </c>
      <c r="N47" s="63">
        <f t="shared" si="37"/>
        <v>2.2956478964305901E-2</v>
      </c>
      <c r="O47" s="62">
        <f t="shared" si="19"/>
        <v>1.7599967205967799E-2</v>
      </c>
      <c r="P47" s="42">
        <f t="shared" si="20"/>
        <v>0</v>
      </c>
      <c r="Q47" s="44">
        <f t="shared" si="21"/>
        <v>0</v>
      </c>
      <c r="R47" s="63">
        <f t="shared" si="38"/>
        <v>2.1975272306847999E-2</v>
      </c>
      <c r="S47" s="62">
        <f t="shared" si="23"/>
        <v>1.6847708768583498E-2</v>
      </c>
      <c r="T47" s="42">
        <f t="shared" si="24"/>
        <v>0</v>
      </c>
      <c r="U47" s="44">
        <f t="shared" si="25"/>
        <v>0</v>
      </c>
      <c r="V47" s="63">
        <f t="shared" si="39"/>
        <v>2.1975272306847999E-2</v>
      </c>
      <c r="W47" s="62">
        <f t="shared" si="27"/>
        <v>1.6847708768583498E-2</v>
      </c>
      <c r="X47" s="42">
        <f t="shared" si="28"/>
        <v>0</v>
      </c>
      <c r="Y47" s="44">
        <f t="shared" si="29"/>
        <v>0</v>
      </c>
      <c r="Z47" s="72">
        <f t="shared" si="40"/>
        <v>1.3352979320798999E-2</v>
      </c>
      <c r="AA47" s="62">
        <f t="shared" si="31"/>
        <v>1.02372841459459E-2</v>
      </c>
      <c r="AB47" s="42">
        <f t="shared" si="32"/>
        <v>0</v>
      </c>
      <c r="AC47" s="44">
        <f t="shared" si="33"/>
        <v>0</v>
      </c>
      <c r="AD47" s="127" t="s">
        <v>61</v>
      </c>
    </row>
    <row r="48" spans="1:30" ht="15.75">
      <c r="A48" s="37" t="str">
        <f>IF(VLOOKUP(B48,'[1]1. Select Services'!$A$6:$E$77,5,FALSE)="x","x","")</f>
        <v>x</v>
      </c>
      <c r="B48" s="47">
        <v>34</v>
      </c>
      <c r="C48" s="47">
        <v>10</v>
      </c>
      <c r="D48" s="113"/>
      <c r="E48" s="46" t="s">
        <v>74</v>
      </c>
      <c r="F48" s="21">
        <f>IF(Chosen_Scenario="Mitigation Impact Only",VLOOKUP($B48,'[1]Coverage Review Updated'!$B$5:$T$78,18,FALSE),VLOOKUP($B48,'[1]Coverage Review Updated'!$B$5:$T$78,19,FALSE))</f>
        <v>0</v>
      </c>
      <c r="G48" s="21">
        <f>VLOOKUP($B48,'[1]7. Number of HW Contacts'!$B$4:$I$84,6,FALSE)</f>
        <v>2</v>
      </c>
      <c r="H48" s="22">
        <f>G48*(1-HLOOKUP($B48,'[1]3. Mitigation Impact on Coverag'!$BY$5:$EQ$7,3,FALSE))</f>
        <v>2</v>
      </c>
      <c r="I48" s="58">
        <f>HLOOKUP(B48,'[1]3. Mitigation Impact on Coverag'!ES$5:HK$7,3,FALSE)</f>
        <v>0.77</v>
      </c>
      <c r="J48" s="59">
        <f>1-((1-Risk_of_Provider_Being_Infected*_xlfn.SINGLE(Transmission_Risk_Contact_Health_Care_Provider))^(G48)*(1-Risk_of_Community_Member_being_Infected*Transmission_Risk_in_Community)^(G48*Contacts_During_Travel_to_Facility))</f>
        <v>3.3748834515957599E-3</v>
      </c>
      <c r="K48" s="59">
        <f t="shared" si="34"/>
        <v>2.5874106462234099E-3</v>
      </c>
      <c r="L48" s="21">
        <f t="shared" si="17"/>
        <v>0</v>
      </c>
      <c r="M48" s="22">
        <f t="shared" si="18"/>
        <v>0</v>
      </c>
      <c r="N48" s="61">
        <f>1-((1-Risk_of_Provider_Being_Infected*_xlfn.SINGLE(Transmission_Risk_Contact_Health_Care_Provider)*(1-Reduction_in_Risk_PPE))^($G48)*(1-Risk_of_Community_Member_being_Infected*Transmission_Risk_in_Community)^($G48*Contacts_During_Travel_to_Facility))</f>
        <v>3.30079028006769E-3</v>
      </c>
      <c r="O48" s="59">
        <f t="shared" si="19"/>
        <v>2.53060588138523E-3</v>
      </c>
      <c r="P48" s="21">
        <f t="shared" si="20"/>
        <v>0</v>
      </c>
      <c r="Q48" s="22">
        <f t="shared" si="21"/>
        <v>0</v>
      </c>
      <c r="R48" s="61">
        <f>1-((1-Risk_of_Provider_Being_Infected*_xlfn.SINGLE(Transmission_Risk_Contact_Health_Care_Provider)*(1-Reduction_in_Risk_PPE))^($G48*(1-Reduction_in_Risk_TS)))*(1-Risk_of_Community_Member_being_Infected*Transmission_Risk_in_Community)^($G48*Contacts_During_Travel_to_Facility)</f>
        <v>3.2341141078177098E-3</v>
      </c>
      <c r="S48" s="59">
        <f t="shared" si="23"/>
        <v>2.4794874826602402E-3</v>
      </c>
      <c r="T48" s="21">
        <f t="shared" si="24"/>
        <v>0</v>
      </c>
      <c r="U48" s="22">
        <f t="shared" si="25"/>
        <v>0</v>
      </c>
      <c r="V48" s="61">
        <f>1-((1-Risk_of_Provider_Being_Infected*_xlfn.SINGLE(Transmission_Risk_Contact_Health_Care_Provider)*(1-$I48)))*(1-Risk_of_Community_Member_being_Infected*Transmission_Risk_in_Community)^($H48*Contacts_During_Travel_to_Facility)</f>
        <v>2.7190650378962102E-3</v>
      </c>
      <c r="W48" s="59">
        <f t="shared" si="27"/>
        <v>2.0846165290537601E-3</v>
      </c>
      <c r="X48" s="21">
        <f t="shared" si="28"/>
        <v>0</v>
      </c>
      <c r="Y48" s="22">
        <f t="shared" si="29"/>
        <v>0</v>
      </c>
      <c r="Z48" s="61">
        <f>1-((1-Risk_of_Provider_Being_Infected*Transmission_Risk_Contact_Health_Care_Provider*(1-$I48))^($H48)*(1-Risk_of_Community_Member_being_Infected*Transmission_Risk_in_Community)^($H48*Contacts_During_Travel_to_Facility))</f>
        <v>2.8042949890331199E-3</v>
      </c>
      <c r="AA48" s="59">
        <f t="shared" si="31"/>
        <v>2.1499594915920599E-3</v>
      </c>
      <c r="AB48" s="21">
        <f t="shared" si="32"/>
        <v>0</v>
      </c>
      <c r="AC48" s="22">
        <f t="shared" si="33"/>
        <v>0</v>
      </c>
      <c r="AD48" s="73"/>
    </row>
    <row r="49" spans="1:30" ht="15.75">
      <c r="A49" s="37" t="str">
        <f>IF(VLOOKUP(B49,'[1]1. Select Services'!$A$6:$E$77,5,FALSE)="x","x","")</f>
        <v>x</v>
      </c>
      <c r="B49" s="47">
        <v>35</v>
      </c>
      <c r="C49" s="47">
        <v>11</v>
      </c>
      <c r="D49" s="113"/>
      <c r="E49" s="46" t="s">
        <v>75</v>
      </c>
      <c r="F49" s="42">
        <f>IF(Chosen_Scenario="Mitigation Impact Only",VLOOKUP($B49,'[1]Coverage Review Updated'!$B$5:$T$78,18,FALSE),VLOOKUP($B49,'[1]Coverage Review Updated'!$B$5:$T$78,19,FALSE))</f>
        <v>0</v>
      </c>
      <c r="G49" s="42">
        <f>VLOOKUP($B49,'[1]7. Number of HW Contacts'!$B$4:$I$84,6,FALSE)</f>
        <v>6</v>
      </c>
      <c r="H49" s="44">
        <f>G49*(1-HLOOKUP($B49,'[1]3. Mitigation Impact on Coverag'!$BY$5:$EQ$7,3,FALSE))</f>
        <v>6</v>
      </c>
      <c r="I49" s="70">
        <f>HLOOKUP(B49,'[1]3. Mitigation Impact on Coverag'!ES$5:HK$7,3,FALSE)</f>
        <v>0.77</v>
      </c>
      <c r="J49" s="62">
        <f>1-((1-Risk_of_Provider_Being_Infected*_xlfn.SINGLE(Transmission_Risk_Hospital_Stay))^(G49)*(1-Risk_of_Community_Member_being_Infected*Transmission_Risk_in_Community)^(G49*Contacts_During_Travel_to_Facility))</f>
        <v>1.4497872970480901E-2</v>
      </c>
      <c r="K49" s="62">
        <f t="shared" si="34"/>
        <v>1.11150359440353E-2</v>
      </c>
      <c r="L49" s="42">
        <f t="shared" si="17"/>
        <v>0</v>
      </c>
      <c r="M49" s="44">
        <f t="shared" si="18"/>
        <v>0</v>
      </c>
      <c r="N49" s="63">
        <f>1-((1-Risk_of_Provider_Being_Infected*_xlfn.SINGLE(Transmission_Risk_Hospital_Stay)*(1-Reduction_in_Risk_PPE))^(G49)*(1-Risk_of_Community_Member_being_Infected*Transmission_Risk_in_Community)^($G49*Contacts_During_Travel_to_Facility))</f>
        <v>1.38378143411286E-2</v>
      </c>
      <c r="O49" s="62">
        <f t="shared" si="19"/>
        <v>1.06089909948653E-2</v>
      </c>
      <c r="P49" s="42">
        <f t="shared" si="20"/>
        <v>0</v>
      </c>
      <c r="Q49" s="44">
        <f t="shared" si="21"/>
        <v>0</v>
      </c>
      <c r="R49" s="63">
        <f>1-((1-Risk_of_Provider_Being_Infected*_xlfn.SINGLE(Transmission_Risk_Hospital_Stay)*(1-Reduction_in_Risk_PPE))^(G49*(1-Reduction_in_Risk_TS)))*(1-Risk_of_Community_Member_being_Infected*Transmission_Risk_in_Community)^($G49*Contacts_During_Travel_to_Facility)</f>
        <v>1.32437151295479E-2</v>
      </c>
      <c r="S49" s="62">
        <f t="shared" si="23"/>
        <v>1.01535149326534E-2</v>
      </c>
      <c r="T49" s="42">
        <f t="shared" si="24"/>
        <v>0</v>
      </c>
      <c r="U49" s="44">
        <f t="shared" si="25"/>
        <v>0</v>
      </c>
      <c r="V49" s="63">
        <f>1-((1-Risk_of_Provider_Being_Infected*_xlfn.SINGLE(Transmission_Risk_Hospital_Stay)*(1-Reduction_in_Risk_PPE))^(H49*(1-Reduction_in_Risk_TS)))*(1-Risk_of_Community_Member_being_Infected*Transmission_Risk_in_Community)^($H49*Contacts_During_Travel_to_Facility)</f>
        <v>1.32437151295479E-2</v>
      </c>
      <c r="W49" s="62">
        <f t="shared" si="27"/>
        <v>1.01535149326534E-2</v>
      </c>
      <c r="X49" s="42">
        <f t="shared" si="28"/>
        <v>0</v>
      </c>
      <c r="Y49" s="44">
        <f t="shared" si="29"/>
        <v>0</v>
      </c>
      <c r="Z49" s="72">
        <f>1-((1-Risk_of_Provider_Being_Infected*Transmission_Risk_Hospital_Stay*(1-$I49)))*(1-Risk_of_Community_Member_being_Infected*Transmission_Risk_in_Community)^($H49*Contacts_During_Travel_to_Facility)</f>
        <v>8.1350570106833997E-3</v>
      </c>
      <c r="AA49" s="62">
        <f t="shared" si="31"/>
        <v>6.2368770415239397E-3</v>
      </c>
      <c r="AB49" s="42">
        <f t="shared" si="32"/>
        <v>0</v>
      </c>
      <c r="AC49" s="44">
        <f t="shared" si="33"/>
        <v>0</v>
      </c>
      <c r="AD49" s="127" t="s">
        <v>61</v>
      </c>
    </row>
    <row r="50" spans="1:30" ht="15.75">
      <c r="A50" s="37" t="str">
        <f>IF(VLOOKUP(B50,'[1]1. Select Services'!$A$6:$E$77,5,FALSE)="x","x","")</f>
        <v>x</v>
      </c>
      <c r="B50" s="47">
        <v>36</v>
      </c>
      <c r="C50" s="47">
        <v>42</v>
      </c>
      <c r="D50" s="113"/>
      <c r="E50" s="46" t="s">
        <v>76</v>
      </c>
      <c r="F50" s="42">
        <f>IF(Chosen_Scenario="Mitigation Impact Only",VLOOKUP($B50,'[1]Coverage Review Updated'!$B$5:$T$78,18,FALSE),VLOOKUP($B50,'[1]Coverage Review Updated'!$B$5:$T$78,19,FALSE))</f>
        <v>2100</v>
      </c>
      <c r="G50" s="42">
        <f>VLOOKUP($B50,'[1]7. Number of HW Contacts'!$B$4:$I$84,6,FALSE)</f>
        <v>21</v>
      </c>
      <c r="H50" s="44">
        <f>G50*(1-HLOOKUP($B50,'[1]3. Mitigation Impact on Coverag'!$BY$5:$EQ$7,3,FALSE))</f>
        <v>21</v>
      </c>
      <c r="I50" s="70">
        <f>HLOOKUP(B50,'[1]3. Mitigation Impact on Coverag'!ES$5:HK$7,3,FALSE)</f>
        <v>0.77</v>
      </c>
      <c r="J50" s="62">
        <f>1-((1-Risk_of_Provider_Being_Infected*_xlfn.SINGLE(Transmission_Risk_Hospital_Stay))^(G50)*(1-Risk_of_Community_Member_being_Infected*Transmission_Risk_in_Community)^(G50*Contacts_During_Travel_to_Facility))</f>
        <v>4.9829635328767198E-2</v>
      </c>
      <c r="K50" s="62">
        <f t="shared" si="34"/>
        <v>3.8202720418721497E-2</v>
      </c>
      <c r="L50" s="42">
        <f t="shared" si="17"/>
        <v>505.42199113968502</v>
      </c>
      <c r="M50" s="44">
        <f t="shared" si="18"/>
        <v>1.2842542581944201</v>
      </c>
      <c r="N50" s="63">
        <f>1-((1-Risk_of_Provider_Being_Infected*_xlfn.SINGLE(Transmission_Risk_Hospital_Stay)*(1-Reduction_in_Risk_PPE))^(G50)*(1-Risk_of_Community_Member_being_Infected*Transmission_Risk_in_Community)^($G50*Contacts_During_Travel_to_Facility))</f>
        <v>4.7600389112470401E-2</v>
      </c>
      <c r="O50" s="62">
        <f t="shared" si="19"/>
        <v>3.6493631652894001E-2</v>
      </c>
      <c r="P50" s="42">
        <f t="shared" si="20"/>
        <v>482.81074676778798</v>
      </c>
      <c r="Q50" s="44">
        <f t="shared" si="21"/>
        <v>0.94054675572050295</v>
      </c>
      <c r="R50" s="63">
        <f>1-((1-Risk_of_Provider_Being_Infected*_xlfn.SINGLE(Transmission_Risk_Hospital_Stay)*(1-Reduction_in_Risk_PPE))^(G50*(1-Reduction_in_Risk_TS)))*(1-Risk_of_Community_Member_being_Infected*Transmission_Risk_in_Community)^($G50*Contacts_During_Travel_to_Facility)</f>
        <v>4.5590718403922703E-2</v>
      </c>
      <c r="S50" s="62">
        <f t="shared" si="23"/>
        <v>3.49528841096741E-2</v>
      </c>
      <c r="T50" s="42">
        <f t="shared" si="24"/>
        <v>462.42665677098802</v>
      </c>
      <c r="U50" s="44">
        <f t="shared" si="25"/>
        <v>0.900837221823103</v>
      </c>
      <c r="V50" s="63">
        <f>1-((1-Risk_of_Provider_Being_Infected*_xlfn.SINGLE(Transmission_Risk_Hospital_Stay)*(1-Reduction_in_Risk_PPE))^(H50*(1-Reduction_in_Risk_TS)))*(1-Risk_of_Community_Member_being_Infected*Transmission_Risk_in_Community)^($H50*Contacts_During_Travel_to_Facility)</f>
        <v>4.5590718403922703E-2</v>
      </c>
      <c r="W50" s="62">
        <f t="shared" si="27"/>
        <v>3.49528841096741E-2</v>
      </c>
      <c r="X50" s="42">
        <f t="shared" si="28"/>
        <v>462.42665677098802</v>
      </c>
      <c r="Y50" s="44">
        <f t="shared" si="29"/>
        <v>0.900837221823103</v>
      </c>
      <c r="Z50" s="72">
        <f>1-((1-Risk_of_Provider_Being_Infected*Transmission_Risk_Hospital_Stay*(1-$I50)))*(1-Risk_of_Community_Member_being_Infected*Transmission_Risk_in_Community)^($H50*Contacts_During_Travel_to_Facility)</f>
        <v>2.7561160424421E-2</v>
      </c>
      <c r="AA50" s="62">
        <f t="shared" si="31"/>
        <v>2.1130222992056101E-2</v>
      </c>
      <c r="AB50" s="42">
        <f t="shared" si="32"/>
        <v>251.59756516641201</v>
      </c>
      <c r="AC50" s="44">
        <f t="shared" si="33"/>
        <v>0.490128430753967</v>
      </c>
      <c r="AD50" s="127" t="s">
        <v>61</v>
      </c>
    </row>
    <row r="51" spans="1:30" ht="15.75">
      <c r="A51" s="37" t="str">
        <f>IF(VLOOKUP(B51,'[1]1. Select Services'!$A$6:$E$77,5,FALSE)="x","x","")</f>
        <v>x</v>
      </c>
      <c r="B51" s="47">
        <v>37</v>
      </c>
      <c r="C51" s="47">
        <v>43</v>
      </c>
      <c r="D51" s="113"/>
      <c r="E51" s="46" t="s">
        <v>77</v>
      </c>
      <c r="F51" s="42">
        <f>IF(Chosen_Scenario="Mitigation Impact Only",VLOOKUP($B51,'[1]Coverage Review Updated'!$B$5:$T$78,18,FALSE),VLOOKUP($B51,'[1]Coverage Review Updated'!$B$5:$T$78,19,FALSE))</f>
        <v>0</v>
      </c>
      <c r="G51" s="42">
        <f>VLOOKUP($B51,'[1]7. Number of HW Contacts'!$B$4:$I$84,6,FALSE)</f>
        <v>10</v>
      </c>
      <c r="H51" s="44">
        <f>G51*(1-HLOOKUP($B51,'[1]3. Mitigation Impact on Coverag'!$BY$5:$EQ$7,3,FALSE))</f>
        <v>10</v>
      </c>
      <c r="I51" s="70">
        <f>HLOOKUP(B51,'[1]3. Mitigation Impact on Coverag'!ES$5:HK$7,3,FALSE)</f>
        <v>0.77</v>
      </c>
      <c r="J51" s="62">
        <f>1-((1-Risk_of_Provider_Being_Infected*_xlfn.SINGLE(Transmission_Risk_Hospital_Stay))^(G51)*(1-Risk_of_Community_Member_being_Infected*Transmission_Risk_in_Community)^(G51*Contacts_During_Travel_to_Facility))</f>
        <v>2.40461613090481E-2</v>
      </c>
      <c r="K51" s="62">
        <f t="shared" si="34"/>
        <v>1.8435390336936901E-2</v>
      </c>
      <c r="L51" s="42">
        <f t="shared" si="17"/>
        <v>0</v>
      </c>
      <c r="M51" s="44">
        <f t="shared" si="18"/>
        <v>0</v>
      </c>
      <c r="N51" s="63">
        <f>1-((1-Risk_of_Provider_Being_Infected*_xlfn.SINGLE(Transmission_Risk_Hospital_Stay)*(1-Reduction_in_Risk_PPE))^(G51)*(1-Risk_of_Community_Member_being_Infected*Transmission_Risk_in_Community)^($G51*Contacts_During_Travel_to_Facility))</f>
        <v>2.2956478964305901E-2</v>
      </c>
      <c r="O51" s="62">
        <f t="shared" si="19"/>
        <v>1.7599967205967799E-2</v>
      </c>
      <c r="P51" s="42">
        <f t="shared" si="20"/>
        <v>0</v>
      </c>
      <c r="Q51" s="44">
        <f t="shared" si="21"/>
        <v>0</v>
      </c>
      <c r="R51" s="63">
        <f>1-((1-Risk_of_Provider_Being_Infected*_xlfn.SINGLE(Transmission_Risk_Hospital_Stay)*(1-Reduction_in_Risk_PPE))^(G51*(1-Reduction_in_Risk_TS)))*(1-Risk_of_Community_Member_being_Infected*Transmission_Risk_in_Community)^($G51*Contacts_During_Travel_to_Facility)</f>
        <v>2.1975272306847999E-2</v>
      </c>
      <c r="S51" s="62">
        <f t="shared" si="23"/>
        <v>1.6847708768583498E-2</v>
      </c>
      <c r="T51" s="42">
        <f t="shared" si="24"/>
        <v>0</v>
      </c>
      <c r="U51" s="44">
        <f t="shared" si="25"/>
        <v>0</v>
      </c>
      <c r="V51" s="63">
        <f>1-((1-Risk_of_Provider_Being_Infected*_xlfn.SINGLE(Transmission_Risk_Hospital_Stay)*(1-Reduction_in_Risk_PPE))^(H51*(1-Reduction_in_Risk_TS)))*(1-Risk_of_Community_Member_being_Infected*Transmission_Risk_in_Community)^($H51*Contacts_During_Travel_to_Facility)</f>
        <v>2.1975272306847999E-2</v>
      </c>
      <c r="W51" s="62">
        <f t="shared" si="27"/>
        <v>1.6847708768583498E-2</v>
      </c>
      <c r="X51" s="42">
        <f t="shared" si="28"/>
        <v>0</v>
      </c>
      <c r="Y51" s="44">
        <f t="shared" si="29"/>
        <v>0</v>
      </c>
      <c r="Z51" s="72">
        <f>1-((1-Risk_of_Provider_Being_Infected*Transmission_Risk_Hospital_Stay*(1-$I51)))*(1-Risk_of_Community_Member_being_Infected*Transmission_Risk_in_Community)^($H51*Contacts_During_Travel_to_Facility)</f>
        <v>1.3352979320798999E-2</v>
      </c>
      <c r="AA51" s="62">
        <f t="shared" si="31"/>
        <v>1.02372841459459E-2</v>
      </c>
      <c r="AB51" s="42">
        <f t="shared" si="32"/>
        <v>0</v>
      </c>
      <c r="AC51" s="44">
        <f t="shared" si="33"/>
        <v>0</v>
      </c>
      <c r="AD51" s="127" t="s">
        <v>61</v>
      </c>
    </row>
    <row r="52" spans="1:30" ht="15.75">
      <c r="A52" s="37" t="str">
        <f>IF(VLOOKUP(B52,'[1]1. Select Services'!$A$6:$E$77,5,FALSE)="x","x","")</f>
        <v/>
      </c>
      <c r="B52" s="47">
        <v>38</v>
      </c>
      <c r="C52" s="47">
        <v>12</v>
      </c>
      <c r="D52" s="114"/>
      <c r="E52" s="46" t="s">
        <v>78</v>
      </c>
      <c r="F52" s="42">
        <f>IF(Chosen_Scenario="Mitigation Impact Only",VLOOKUP($B52,'[1]Coverage Review Updated'!$B$5:$T$78,18,FALSE),VLOOKUP($B52,'[1]Coverage Review Updated'!$B$5:$T$78,19,FALSE))</f>
        <v>0</v>
      </c>
      <c r="G52" s="42">
        <f>VLOOKUP($B52,'[1]7. Number of HW Contacts'!$B$4:$I$84,6,FALSE)</f>
        <v>10</v>
      </c>
      <c r="H52" s="44">
        <f>G52*(1-HLOOKUP($B52,'[1]3. Mitigation Impact on Coverag'!$BY$5:$EQ$7,3,FALSE))</f>
        <v>10</v>
      </c>
      <c r="I52" s="70">
        <f>HLOOKUP(B52,'[1]3. Mitigation Impact on Coverag'!ES$5:HK$7,3,FALSE)</f>
        <v>0.77</v>
      </c>
      <c r="J52" s="62">
        <f>1-((1-Risk_of_Provider_Being_Infected*_xlfn.SINGLE(Transmission_Risk_Hospital_Stay))^(G52)*(1-Risk_of_Community_Member_being_Infected*Transmission_Risk_in_Community)^(G52*Contacts_During_Travel_to_Facility))</f>
        <v>2.40461613090481E-2</v>
      </c>
      <c r="K52" s="62">
        <f t="shared" si="34"/>
        <v>1.8435390336936901E-2</v>
      </c>
      <c r="L52" s="42">
        <f t="shared" si="17"/>
        <v>0</v>
      </c>
      <c r="M52" s="44">
        <f t="shared" si="18"/>
        <v>0</v>
      </c>
      <c r="N52" s="63">
        <f>1-((1-Risk_of_Provider_Being_Infected*_xlfn.SINGLE(Transmission_Risk_Hospital_Stay)*(1-Reduction_in_Risk_PPE))^(G52)*(1-Risk_of_Community_Member_being_Infected*Transmission_Risk_in_Community)^($G52*Contacts_During_Travel_to_Facility))</f>
        <v>2.2956478964305901E-2</v>
      </c>
      <c r="O52" s="62">
        <f t="shared" si="19"/>
        <v>1.7599967205967799E-2</v>
      </c>
      <c r="P52" s="42">
        <f t="shared" si="20"/>
        <v>0</v>
      </c>
      <c r="Q52" s="44">
        <f t="shared" si="21"/>
        <v>0</v>
      </c>
      <c r="R52" s="63">
        <f>1-((1-Risk_of_Provider_Being_Infected*_xlfn.SINGLE(Transmission_Risk_Hospital_Stay)*(1-Reduction_in_Risk_PPE))^(G52*(1-Reduction_in_Risk_TS)))*(1-Risk_of_Community_Member_being_Infected*Transmission_Risk_in_Community)^($G52*Contacts_During_Travel_to_Facility)</f>
        <v>2.1975272306847999E-2</v>
      </c>
      <c r="S52" s="62">
        <f t="shared" si="23"/>
        <v>1.6847708768583498E-2</v>
      </c>
      <c r="T52" s="42">
        <f t="shared" si="24"/>
        <v>0</v>
      </c>
      <c r="U52" s="44">
        <f t="shared" si="25"/>
        <v>0</v>
      </c>
      <c r="V52" s="63">
        <f>1-((1-Risk_of_Provider_Being_Infected*_xlfn.SINGLE(Transmission_Risk_Hospital_Stay)*(1-Reduction_in_Risk_PPE))^(H52*(1-Reduction_in_Risk_TS)))*(1-Risk_of_Community_Member_being_Infected*Transmission_Risk_in_Community)^($H52*Contacts_During_Travel_to_Facility)</f>
        <v>2.1975272306847999E-2</v>
      </c>
      <c r="W52" s="62">
        <f t="shared" si="27"/>
        <v>1.6847708768583498E-2</v>
      </c>
      <c r="X52" s="42">
        <f t="shared" si="28"/>
        <v>0</v>
      </c>
      <c r="Y52" s="44">
        <f t="shared" si="29"/>
        <v>0</v>
      </c>
      <c r="Z52" s="72">
        <f>1-((1-Risk_of_Provider_Being_Infected*Transmission_Risk_Hospital_Stay*(1-$I52)))*(1-Risk_of_Community_Member_being_Infected*Transmission_Risk_in_Community)^($H52*Contacts_During_Travel_to_Facility)</f>
        <v>1.3352979320798999E-2</v>
      </c>
      <c r="AA52" s="62">
        <f t="shared" si="31"/>
        <v>1.02372841459459E-2</v>
      </c>
      <c r="AB52" s="42">
        <f t="shared" si="32"/>
        <v>0</v>
      </c>
      <c r="AC52" s="44">
        <f t="shared" si="33"/>
        <v>0</v>
      </c>
      <c r="AD52" s="127" t="s">
        <v>61</v>
      </c>
    </row>
    <row r="53" spans="1:30" ht="15.75">
      <c r="A53" s="37" t="str">
        <f>IF(VLOOKUP(B53,'[1]1. Select Services'!$A$6:$E$77,5,FALSE)="x","x","")</f>
        <v>x</v>
      </c>
      <c r="B53" s="49">
        <v>39</v>
      </c>
      <c r="C53" s="50">
        <v>29</v>
      </c>
      <c r="D53" s="115" t="s">
        <v>31</v>
      </c>
      <c r="E53" s="51" t="s">
        <v>79</v>
      </c>
      <c r="F53" s="21">
        <f>IF(Chosen_Scenario="Mitigation Impact Only",VLOOKUP($B53,'[1]Coverage Review Updated'!$B$5:$T$78,18,FALSE),VLOOKUP($B53,'[1]Coverage Review Updated'!$B$5:$T$78,19,FALSE))</f>
        <v>186800</v>
      </c>
      <c r="G53" s="21">
        <f>VLOOKUP($B53,'[1]7. Number of HW Contacts'!$B$4:$I$84,6,FALSE)</f>
        <v>2</v>
      </c>
      <c r="H53" s="22">
        <f>G53*(1-HLOOKUP($B53,'[1]3. Mitigation Impact on Coverag'!$BY$5:$EQ$7,3,FALSE))</f>
        <v>2</v>
      </c>
      <c r="I53" s="58">
        <f>HLOOKUP(B53,'[1]3. Mitigation Impact on Coverag'!ES$5:HK$7,3,FALSE)</f>
        <v>0.79</v>
      </c>
      <c r="J53" s="59">
        <f>1-((1-Risk_of_Provider_Being_Infected*_xlfn.SINGLE(Transmission_Risk_Contact_Health_Care_Provider))^(G53)*(1-Risk_of_Community_Member_being_Infected*Transmission_Risk_in_Community)^(G53*Contacts_During_Travel_to_Facility))</f>
        <v>3.3748834515957599E-3</v>
      </c>
      <c r="K53" s="59">
        <f t="shared" si="34"/>
        <v>2.5874106462234099E-3</v>
      </c>
      <c r="L53" s="21">
        <f t="shared" si="17"/>
        <v>3044.9683449015602</v>
      </c>
      <c r="M53" s="22">
        <f t="shared" si="18"/>
        <v>7.7371258701845402</v>
      </c>
      <c r="N53" s="61">
        <f>1-((1-Risk_of_Provider_Being_Infected*_xlfn.SINGLE(Transmission_Risk_Contact_Health_Care_Provider)*(1-Reduction_in_Risk_PPE))^($G53)*(1-Risk_of_Community_Member_being_Infected*Transmission_Risk_in_Community)^($G53*Contacts_During_Travel_to_Facility))</f>
        <v>3.30079028006769E-3</v>
      </c>
      <c r="O53" s="59">
        <f t="shared" si="19"/>
        <v>2.53060588138523E-3</v>
      </c>
      <c r="P53" s="21">
        <f t="shared" si="20"/>
        <v>2978.1182254493901</v>
      </c>
      <c r="Q53" s="22">
        <f t="shared" si="21"/>
        <v>5.8015681172186602</v>
      </c>
      <c r="R53" s="61">
        <f>1-((1-Risk_of_Provider_Being_Infected*_xlfn.SINGLE(Transmission_Risk_Contact_Health_Care_Provider)*(1-Reduction_in_Risk_PPE))^($G53*(1-Reduction_in_Risk_TS)))*(1-Risk_of_Community_Member_being_Infected*Transmission_Risk_in_Community)^($G53*Contacts_During_Travel_to_Facility)</f>
        <v>3.2341141078177098E-3</v>
      </c>
      <c r="S53" s="59">
        <f t="shared" si="23"/>
        <v>2.4794874826602402E-3</v>
      </c>
      <c r="T53" s="21">
        <f t="shared" si="24"/>
        <v>2917.9600490938801</v>
      </c>
      <c r="U53" s="22">
        <f t="shared" si="25"/>
        <v>5.6843760746222003</v>
      </c>
      <c r="V53" s="61">
        <f t="shared" ref="V53:V66" si="41">1-((1-Risk_of_Provider_Being_Infected*_xlfn.SINGLE(Transmission_Risk_Contact_Health_Care_Provider)*(1-$I53)))*(1-Risk_of_Community_Member_being_Infected*Transmission_Risk_in_Community)^($H53*Contacts_During_Travel_to_Facility)</f>
        <v>2.71165310435617E-3</v>
      </c>
      <c r="W53" s="59">
        <f t="shared" si="27"/>
        <v>2.0789340466730601E-3</v>
      </c>
      <c r="X53" s="21">
        <f t="shared" si="28"/>
        <v>2446.5727434867299</v>
      </c>
      <c r="Y53" s="22">
        <f t="shared" si="29"/>
        <v>4.7660829257129098</v>
      </c>
      <c r="Z53" s="61">
        <f>1-((1-Risk_of_Provider_Being_Infected*Transmission_Risk_Contact_Health_Care_Provider*(1-$I53))^($H53)*(1-Risk_of_Community_Member_being_Infected*Transmission_Risk_in_Community)^($H53*Contacts_During_Travel_to_Facility))</f>
        <v>2.7894723337536001E-3</v>
      </c>
      <c r="AA53" s="59">
        <f t="shared" si="31"/>
        <v>2.1385954558777601E-3</v>
      </c>
      <c r="AB53" s="21">
        <f t="shared" si="32"/>
        <v>2265.1062086656598</v>
      </c>
      <c r="AC53" s="22">
        <f t="shared" si="33"/>
        <v>4.4125743061545997</v>
      </c>
      <c r="AD53" s="71"/>
    </row>
    <row r="54" spans="1:30" ht="15.75">
      <c r="A54" s="37" t="str">
        <f>IF(VLOOKUP(B54,'[1]1. Select Services'!$A$6:$E$77,5,FALSE)="x","x","")</f>
        <v>x</v>
      </c>
      <c r="B54" s="49">
        <v>40</v>
      </c>
      <c r="C54" s="50">
        <v>30</v>
      </c>
      <c r="D54" s="116"/>
      <c r="E54" s="51" t="s">
        <v>80</v>
      </c>
      <c r="F54" s="21">
        <f>IF(Chosen_Scenario="Mitigation Impact Only",VLOOKUP($B54,'[1]Coverage Review Updated'!$B$5:$T$78,18,FALSE),VLOOKUP($B54,'[1]Coverage Review Updated'!$B$5:$T$78,19,FALSE))</f>
        <v>13200</v>
      </c>
      <c r="G54" s="21">
        <f>VLOOKUP($B54,'[1]7. Number of HW Contacts'!$B$4:$I$84,6,FALSE)</f>
        <v>2</v>
      </c>
      <c r="H54" s="22">
        <f>G54*(1-HLOOKUP($B54,'[1]3. Mitigation Impact on Coverag'!$BY$5:$EQ$7,3,FALSE))</f>
        <v>2</v>
      </c>
      <c r="I54" s="58">
        <f>HLOOKUP(B54,'[1]3. Mitigation Impact on Coverag'!ES$5:HK$7,3,FALSE)</f>
        <v>0.79</v>
      </c>
      <c r="J54" s="59">
        <f>1-((1-Risk_of_Provider_Being_Infected*_xlfn.SINGLE(Transmission_Risk_Contact_Health_Care_Provider))^(G54)*(1-Risk_of_Community_Member_being_Infected*Transmission_Risk_in_Community)^(G54*Contacts_During_Travel_to_Facility))</f>
        <v>3.3748834515957599E-3</v>
      </c>
      <c r="K54" s="59">
        <f t="shared" si="34"/>
        <v>2.5874106462234099E-3</v>
      </c>
      <c r="L54" s="21">
        <f t="shared" si="17"/>
        <v>215.169069339939</v>
      </c>
      <c r="M54" s="22">
        <f t="shared" si="18"/>
        <v>0.54673480453124201</v>
      </c>
      <c r="N54" s="61">
        <f>1-((1-Risk_of_Provider_Being_Infected*_xlfn.SINGLE(Transmission_Risk_Contact_Health_Care_Provider)*(1-Reduction_in_Risk_PPE))^($G54)*(1-Risk_of_Community_Member_being_Infected*Transmission_Risk_in_Community)^($G54*Contacts_During_Travel_to_Facility))</f>
        <v>3.30079028006769E-3</v>
      </c>
      <c r="O54" s="59">
        <f t="shared" si="19"/>
        <v>2.53060588138523E-3</v>
      </c>
      <c r="P54" s="21">
        <f t="shared" si="20"/>
        <v>210.44518509599601</v>
      </c>
      <c r="Q54" s="22">
        <f t="shared" si="21"/>
        <v>0.40996091620602898</v>
      </c>
      <c r="R54" s="61">
        <f>1-((1-Risk_of_Provider_Being_Infected*_xlfn.SINGLE(Transmission_Risk_Contact_Health_Care_Provider)*(1-Reduction_in_Risk_PPE))^($G54*(1-Reduction_in_Risk_TS)))*(1-Risk_of_Community_Member_being_Infected*Transmission_Risk_in_Community)^($G54*Contacts_During_Travel_to_Facility)</f>
        <v>3.2341141078177098E-3</v>
      </c>
      <c r="S54" s="59">
        <f t="shared" si="23"/>
        <v>2.4794874826602402E-3</v>
      </c>
      <c r="T54" s="21">
        <f t="shared" si="24"/>
        <v>206.19417905802601</v>
      </c>
      <c r="U54" s="22">
        <f t="shared" si="25"/>
        <v>0.40167967979128999</v>
      </c>
      <c r="V54" s="61">
        <f t="shared" si="41"/>
        <v>2.71165310435617E-3</v>
      </c>
      <c r="W54" s="59">
        <f t="shared" si="27"/>
        <v>2.0789340466730601E-3</v>
      </c>
      <c r="X54" s="21">
        <f t="shared" si="28"/>
        <v>172.884155321332</v>
      </c>
      <c r="Y54" s="22">
        <f t="shared" si="29"/>
        <v>0.33678958575701501</v>
      </c>
      <c r="Z54" s="61">
        <f>1-((1-Risk_of_Provider_Being_Infected*Transmission_Risk_Contact_Health_Care_Provider*(1-$I54))^($H54)*(1-Risk_of_Community_Member_being_Infected*Transmission_Risk_in_Community)^($H54*Contacts_During_Travel_to_Facility))</f>
        <v>2.7894723337536001E-3</v>
      </c>
      <c r="AA54" s="59">
        <f t="shared" si="31"/>
        <v>2.1385954558777601E-3</v>
      </c>
      <c r="AB54" s="21">
        <f t="shared" si="32"/>
        <v>160.06103829971499</v>
      </c>
      <c r="AC54" s="22">
        <f t="shared" si="33"/>
        <v>0.31180931927859101</v>
      </c>
      <c r="AD54" s="71"/>
    </row>
    <row r="55" spans="1:30" ht="15.75">
      <c r="A55" s="37" t="str">
        <f>IF(VLOOKUP(B55,'[1]1. Select Services'!$A$6:$E$77,5,FALSE)="x","x","")</f>
        <v>x</v>
      </c>
      <c r="B55" s="49">
        <v>41</v>
      </c>
      <c r="C55" s="50">
        <v>31</v>
      </c>
      <c r="D55" s="116"/>
      <c r="E55" s="51" t="s">
        <v>81</v>
      </c>
      <c r="F55" s="21">
        <f>IF(Chosen_Scenario="Mitigation Impact Only",VLOOKUP($B55,'[1]Coverage Review Updated'!$B$5:$T$78,18,FALSE),VLOOKUP($B55,'[1]Coverage Review Updated'!$B$5:$T$78,19,FALSE))</f>
        <v>194600</v>
      </c>
      <c r="G55" s="21">
        <f>VLOOKUP($B55,'[1]7. Number of HW Contacts'!$B$4:$I$84,6,FALSE)</f>
        <v>1</v>
      </c>
      <c r="H55" s="22">
        <f>G55*(1-HLOOKUP($B55,'[1]3. Mitigation Impact on Coverag'!$BY$5:$EQ$7,3,FALSE))</f>
        <v>1</v>
      </c>
      <c r="I55" s="58">
        <f>HLOOKUP(B55,'[1]3. Mitigation Impact on Coverag'!ES$5:HK$7,3,FALSE)</f>
        <v>0.79</v>
      </c>
      <c r="J55" s="59">
        <f>1-((1-Risk_of_Provider_Being_Infected*_xlfn.SINGLE(Transmission_Risk_Contact_Health_Care_Provider))^(G55)*(1-Risk_of_Community_Member_being_Infected*Transmission_Risk_in_Community)^(G55*Contacts_During_Travel_to_Facility))</f>
        <v>1.68886786312739E-3</v>
      </c>
      <c r="K55" s="59">
        <f t="shared" si="34"/>
        <v>1.2947986950643301E-3</v>
      </c>
      <c r="L55" s="21">
        <f t="shared" si="17"/>
        <v>1587.39730417497</v>
      </c>
      <c r="M55" s="22">
        <f t="shared" si="18"/>
        <v>4.03350424609763</v>
      </c>
      <c r="N55" s="61">
        <f>1-((1-Risk_of_Provider_Being_Infected*_xlfn.SINGLE(Transmission_Risk_Contact_Health_Care_Provider)*(1-Reduction_in_Risk_PPE))^($G55)*(1-Risk_of_Community_Member_being_Infected*Transmission_Risk_in_Community)^($G55*Contacts_During_Travel_to_Facility))</f>
        <v>1.6517592944171901E-3</v>
      </c>
      <c r="O55" s="59">
        <f t="shared" si="19"/>
        <v>1.26634879238651E-3</v>
      </c>
      <c r="P55" s="21">
        <f t="shared" si="20"/>
        <v>1552.51829249001</v>
      </c>
      <c r="Q55" s="22">
        <f t="shared" si="21"/>
        <v>3.0244066706753001</v>
      </c>
      <c r="R55" s="61">
        <f>1-((1-Risk_of_Provider_Being_Infected*_xlfn.SINGLE(Transmission_Risk_Contact_Health_Care_Provider)*(1-Reduction_in_Risk_PPE))^($G55*(1-Reduction_in_Risk_TS)))*(1-Risk_of_Community_Member_being_Infected*Transmission_Risk_in_Community)^($G55*Contacts_During_Travel_to_Facility)</f>
        <v>1.6183666091496001E-3</v>
      </c>
      <c r="S55" s="59">
        <f t="shared" si="23"/>
        <v>1.24074773368136E-3</v>
      </c>
      <c r="T55" s="21">
        <f t="shared" si="24"/>
        <v>1521.1319065386799</v>
      </c>
      <c r="U55" s="22">
        <f t="shared" si="25"/>
        <v>2.9632639482360199</v>
      </c>
      <c r="V55" s="61">
        <f t="shared" si="41"/>
        <v>1.39571017031648E-3</v>
      </c>
      <c r="W55" s="59">
        <f t="shared" si="27"/>
        <v>1.0700444639092999E-3</v>
      </c>
      <c r="X55" s="21">
        <f t="shared" si="28"/>
        <v>1311.8531118635201</v>
      </c>
      <c r="Y55" s="22">
        <f t="shared" si="29"/>
        <v>2.5555752364777402</v>
      </c>
      <c r="Z55" s="61">
        <f>1-((1-Risk_of_Provider_Being_Infected*Transmission_Risk_Contact_Health_Care_Provider*(1-$I55))^($H55)*(1-Risk_of_Community_Member_being_Infected*Transmission_Risk_in_Community)^($H55*Contacts_During_Travel_to_Facility))</f>
        <v>1.39571017031648E-3</v>
      </c>
      <c r="AA55" s="59">
        <f t="shared" si="31"/>
        <v>1.0700444639092999E-3</v>
      </c>
      <c r="AB55" s="21">
        <f t="shared" si="32"/>
        <v>1180.6678006771699</v>
      </c>
      <c r="AC55" s="22">
        <f t="shared" si="33"/>
        <v>2.3000177128299701</v>
      </c>
      <c r="AD55" s="71"/>
    </row>
    <row r="56" spans="1:30" ht="15.75">
      <c r="A56" s="37" t="str">
        <f>IF(VLOOKUP(B56,'[1]1. Select Services'!$A$6:$E$77,5,FALSE)="x","x","")</f>
        <v>x</v>
      </c>
      <c r="B56" s="49">
        <v>42</v>
      </c>
      <c r="C56" s="50">
        <v>37</v>
      </c>
      <c r="D56" s="116"/>
      <c r="E56" s="51" t="s">
        <v>82</v>
      </c>
      <c r="F56" s="21">
        <f>IF(Chosen_Scenario="Mitigation Impact Only",VLOOKUP($B56,'[1]Coverage Review Updated'!$B$5:$T$78,18,FALSE),VLOOKUP($B56,'[1]Coverage Review Updated'!$B$5:$T$78,19,FALSE))</f>
        <v>5700</v>
      </c>
      <c r="G56" s="21">
        <f>VLOOKUP($B56,'[1]7. Number of HW Contacts'!$B$4:$I$84,6,FALSE)</f>
        <v>0</v>
      </c>
      <c r="H56" s="22">
        <f>G56*(1-HLOOKUP($B56,'[1]3. Mitigation Impact on Coverag'!$BY$5:$EQ$7,3,FALSE))</f>
        <v>0</v>
      </c>
      <c r="I56" s="58">
        <f>HLOOKUP(B56,'[1]3. Mitigation Impact on Coverag'!ES$5:HK$7,3,FALSE)</f>
        <v>0.79</v>
      </c>
      <c r="J56" s="59">
        <f>1-((1-Risk_of_Provider_Being_Infected*_xlfn.SINGLE(Transmission_Risk_Contact_Health_Care_Provider))^(G56)*(1-Risk_of_Community_Member_being_Infected*Transmission_Risk_in_Community)^(G56*Contacts_During_Travel_to_Facility))</f>
        <v>0</v>
      </c>
      <c r="K56" s="59">
        <f t="shared" si="34"/>
        <v>0</v>
      </c>
      <c r="L56" s="21">
        <f t="shared" si="17"/>
        <v>0</v>
      </c>
      <c r="M56" s="22">
        <f t="shared" si="18"/>
        <v>0</v>
      </c>
      <c r="N56" s="61">
        <f>1-((1-Risk_of_Provider_Being_Infected*_xlfn.SINGLE(Transmission_Risk_Contact_Health_Care_Provider)*(1-Reduction_in_Risk_PPE))^($G56)*(1-Risk_of_Community_Member_being_Infected*Transmission_Risk_in_Community)^($G56*Contacts_During_Travel_to_Facility))</f>
        <v>0</v>
      </c>
      <c r="O56" s="59">
        <f t="shared" si="19"/>
        <v>0</v>
      </c>
      <c r="P56" s="21">
        <f t="shared" si="20"/>
        <v>0</v>
      </c>
      <c r="Q56" s="22">
        <f t="shared" si="21"/>
        <v>0</v>
      </c>
      <c r="R56" s="61">
        <f>1-((1-Risk_of_Provider_Being_Infected*_xlfn.SINGLE(Transmission_Risk_Contact_Health_Care_Provider)*(1-Reduction_in_Risk_PPE))^($G56*(1-Reduction_in_Risk_TS)))*(1-Risk_of_Community_Member_being_Infected*Transmission_Risk_in_Community)^($G56*Contacts_During_Travel_to_Facility)</f>
        <v>0</v>
      </c>
      <c r="S56" s="59">
        <f t="shared" si="23"/>
        <v>0</v>
      </c>
      <c r="T56" s="21">
        <f t="shared" si="24"/>
        <v>0</v>
      </c>
      <c r="U56" s="22">
        <f t="shared" si="25"/>
        <v>0</v>
      </c>
      <c r="V56" s="61">
        <f t="shared" si="41"/>
        <v>7.8030821917818294E-5</v>
      </c>
      <c r="W56" s="59">
        <f t="shared" si="27"/>
        <v>5.9823630136994003E-5</v>
      </c>
      <c r="X56" s="21">
        <f t="shared" si="28"/>
        <v>2.14826655821946</v>
      </c>
      <c r="Y56" s="22">
        <f t="shared" si="29"/>
        <v>4.1849630632351297E-3</v>
      </c>
      <c r="Z56" s="61">
        <f>1-((1-Risk_of_Provider_Being_Infected*Transmission_Risk_Contact_Health_Care_Provider*(1-$I56))^($H56)*(1-Risk_of_Community_Member_being_Infected*Transmission_Risk_in_Community)^($H56*Contacts_During_Travel_to_Facility))</f>
        <v>0</v>
      </c>
      <c r="AA56" s="59">
        <f t="shared" si="31"/>
        <v>0</v>
      </c>
      <c r="AB56" s="21">
        <f t="shared" si="32"/>
        <v>0</v>
      </c>
      <c r="AC56" s="22">
        <f t="shared" si="33"/>
        <v>0</v>
      </c>
      <c r="AD56" s="71"/>
    </row>
    <row r="57" spans="1:30" ht="15.75">
      <c r="A57" s="37"/>
      <c r="B57" s="49" t="s">
        <v>83</v>
      </c>
      <c r="C57" s="52" t="s">
        <v>84</v>
      </c>
      <c r="D57" s="116"/>
      <c r="E57" s="53" t="s">
        <v>85</v>
      </c>
      <c r="F57" s="21"/>
      <c r="G57" s="21"/>
      <c r="H57" s="22"/>
      <c r="I57" s="58"/>
      <c r="J57" s="59"/>
      <c r="K57" s="59"/>
      <c r="L57" s="21"/>
      <c r="M57" s="22"/>
      <c r="N57" s="61"/>
      <c r="O57" s="59"/>
      <c r="P57" s="21"/>
      <c r="Q57" s="22"/>
      <c r="R57" s="61"/>
      <c r="S57" s="59"/>
      <c r="T57" s="21"/>
      <c r="U57" s="22"/>
      <c r="V57" s="61">
        <f t="shared" si="41"/>
        <v>3.7157534246579099E-4</v>
      </c>
      <c r="W57" s="59"/>
      <c r="X57" s="21"/>
      <c r="Y57" s="22"/>
      <c r="Z57" s="61"/>
      <c r="AA57" s="59"/>
      <c r="AB57" s="21"/>
      <c r="AC57" s="22"/>
      <c r="AD57" s="71"/>
    </row>
    <row r="58" spans="1:30" ht="15.75">
      <c r="A58" s="37" t="str">
        <f>IF(VLOOKUP(B58,'[1]1. Select Services'!$A$6:$E$77,5,FALSE)="x","x","")</f>
        <v>x</v>
      </c>
      <c r="B58" s="49">
        <v>43</v>
      </c>
      <c r="C58" s="49">
        <v>66</v>
      </c>
      <c r="D58" s="116"/>
      <c r="E58" s="54" t="s">
        <v>86</v>
      </c>
      <c r="F58" s="21">
        <f>IF(Chosen_Scenario="Mitigation Impact Only",VLOOKUP($B58,'[1]Coverage Review Updated'!$B$5:$T$78,18,FALSE),VLOOKUP($B58,'[1]Coverage Review Updated'!$B$5:$T$78,19,FALSE))</f>
        <v>0</v>
      </c>
      <c r="G58" s="21">
        <f>VLOOKUP($B58,'[1]7. Number of HW Contacts'!$B$4:$I$84,6,FALSE)</f>
        <v>1</v>
      </c>
      <c r="H58" s="22">
        <f>G58*(1-HLOOKUP($B58,'[1]3. Mitigation Impact on Coverag'!$BY$5:$EQ$7,3,FALSE))</f>
        <v>1</v>
      </c>
      <c r="I58" s="58">
        <f>HLOOKUP(B58,'[1]3. Mitigation Impact on Coverag'!ES$5:HK$7,3,FALSE)</f>
        <v>0.79</v>
      </c>
      <c r="J58" s="59">
        <f>1-((1-Risk_of_Provider_Being_Infected*_xlfn.SINGLE(Transmission_Risk_Contact_Health_Care_Provider))^(G58)*(1-Risk_of_Community_Member_being_Infected*Transmission_Risk_in_Community)^(G58*Contacts_During_Travel_to_Facility))</f>
        <v>1.68886786312739E-3</v>
      </c>
      <c r="K58" s="59">
        <f>J58*(1-(Percent_Prevalence_at_End_of_Projection_Period-Percent_Prevalence_at_Beginning_of_Projection_Period))</f>
        <v>1.2947986950643301E-3</v>
      </c>
      <c r="L58" s="21">
        <f>$F58*$K58*HH_Size</f>
        <v>0</v>
      </c>
      <c r="M58" s="22">
        <f>$F58*$J58*(HH_Children*Fatality_Rate_Child+HH_Adults*Fatality_Rate_Adult+HH_Over_60*Fatality_Rate_Over_60)</f>
        <v>0</v>
      </c>
      <c r="N58" s="61">
        <f>1-((1-Risk_of_Provider_Being_Infected*_xlfn.SINGLE(Transmission_Risk_Contact_Health_Care_Provider)*(1-Reduction_in_Risk_PPE))^($G58)*(1-Risk_of_Community_Member_being_Infected*Transmission_Risk_in_Community)^($G58*Contacts_During_Travel_to_Facility))</f>
        <v>1.6517592944171901E-3</v>
      </c>
      <c r="O58" s="59">
        <f>N58*(1-(Percent_Prevalence_at_End_of_Projection_Period-Percent_Prevalence_at_Beginning_of_Projection_Period))</f>
        <v>1.26634879238651E-3</v>
      </c>
      <c r="P58" s="21">
        <f>$F58*$O58*HH_Size</f>
        <v>0</v>
      </c>
      <c r="Q58" s="22">
        <f>$F58*$O58*(HH_Children*Fatality_Rate_Child+HH_Adults*Fatality_Rate_Adult+HH_Over_60*Fatality_Rate_Over_60)</f>
        <v>0</v>
      </c>
      <c r="R58" s="61">
        <f>1-((1-Risk_of_Provider_Being_Infected*_xlfn.SINGLE(Transmission_Risk_Contact_Health_Care_Provider)*(1-Reduction_in_Risk_PPE))^($G58*(1-Reduction_in_Risk_TS)))*(1-Risk_of_Community_Member_being_Infected*Transmission_Risk_in_Community)^($G58*Contacts_During_Travel_to_Facility)</f>
        <v>1.6183666091496001E-3</v>
      </c>
      <c r="S58" s="59">
        <f>R58*(1-(Percent_Prevalence_at_End_of_Projection_Period-Percent_Prevalence_at_Beginning_of_Projection_Period))</f>
        <v>1.24074773368136E-3</v>
      </c>
      <c r="T58" s="21">
        <f>$F58*$S58*HH_Size</f>
        <v>0</v>
      </c>
      <c r="U58" s="22">
        <f>$F58*$S58*(HH_Children*Fatality_Rate_Child+HH_Adults*Fatality_Rate_Adult+HH_Over_60*Fatality_Rate_Over_60)</f>
        <v>0</v>
      </c>
      <c r="V58" s="61">
        <f t="shared" si="41"/>
        <v>1.39571017031648E-3</v>
      </c>
      <c r="W58" s="59">
        <f>V58*(1-(Percent_Prevalence_at_End_of_Projection_Period-Percent_Prevalence_at_Beginning_of_Projection_Period))</f>
        <v>1.0700444639092999E-3</v>
      </c>
      <c r="X58" s="21">
        <f>$F58*$W58*HH_Size</f>
        <v>0</v>
      </c>
      <c r="Y58" s="22">
        <f>$F58*$W58*(HH_Children*Fatality_Rate_Child+HH_Adults*Fatality_Rate_Adult+HH_Over_60*Fatality_Rate_Over_60)</f>
        <v>0</v>
      </c>
      <c r="Z58" s="61">
        <f>1-((1-Risk_of_Provider_Being_Infected*Transmission_Risk_Contact_Health_Care_Provider*(1-$I58))^($H58)*(1-Risk_of_Community_Member_being_Infected*Transmission_Risk_in_Community)^($H58*Contacts_During_Travel_to_Facility))</f>
        <v>1.39571017031648E-3</v>
      </c>
      <c r="AA58" s="59">
        <f>Z58*(1-(Percent_Prevalence_at_End_of_Projection_Period-Percent_Prevalence_at_Beginning_of_Projection_Period))</f>
        <v>1.0700444639092999E-3</v>
      </c>
      <c r="AB58" s="21">
        <f>$F58*$AA58*HH_Size*Infection_Rate_within_HH</f>
        <v>0</v>
      </c>
      <c r="AC58" s="22">
        <f>$F58*$AA58*Infection_Rate_within_HH*(HH_Children*Fatality_Rate_Child+HH_Adults*Fatality_Rate_Adult+HH_Over_60*Fatality_Rate_Over_60)</f>
        <v>0</v>
      </c>
      <c r="AD58" s="71"/>
    </row>
    <row r="59" spans="1:30" ht="15.75">
      <c r="A59" s="37" t="str">
        <f>IF(VLOOKUP(B59,'[1]1. Select Services'!$A$6:$E$77,5,FALSE)="x","x","")</f>
        <v/>
      </c>
      <c r="B59" s="49">
        <v>44</v>
      </c>
      <c r="C59" s="49">
        <v>67</v>
      </c>
      <c r="D59" s="116"/>
      <c r="E59" s="54" t="s">
        <v>87</v>
      </c>
      <c r="F59" s="21">
        <f>IF(Chosen_Scenario="Mitigation Impact Only",VLOOKUP($B59,'[1]Coverage Review Updated'!$B$5:$T$78,18,FALSE),VLOOKUP($B59,'[1]Coverage Review Updated'!$B$5:$T$78,19,FALSE))</f>
        <v>0</v>
      </c>
      <c r="G59" s="21">
        <f>VLOOKUP($B59,'[1]7. Number of HW Contacts'!$B$4:$I$84,6,FALSE)</f>
        <v>28</v>
      </c>
      <c r="H59" s="22">
        <f>G59*(1-HLOOKUP($B59,'[1]3. Mitigation Impact on Coverag'!$BY$5:$EQ$7,3,FALSE))</f>
        <v>28</v>
      </c>
      <c r="I59" s="58">
        <f>HLOOKUP(B59,'[1]3. Mitigation Impact on Coverag'!ES$5:HK$7,3,FALSE)</f>
        <v>0.79</v>
      </c>
      <c r="J59" s="59">
        <f>1-((1-Risk_of_Provider_Being_Infected*_xlfn.SINGLE(Transmission_Risk_Contact_Health_Care_Provider))^(G59)*(1-Risk_of_Community_Member_being_Infected*Transmission_Risk_in_Community)^(G59*Contacts_During_Travel_to_Facility))</f>
        <v>4.62257559830773E-2</v>
      </c>
      <c r="K59" s="59">
        <f>J59*(1-(Percent_Prevalence_at_End_of_Projection_Period-Percent_Prevalence_at_Beginning_of_Projection_Period))</f>
        <v>3.5439746253692603E-2</v>
      </c>
      <c r="L59" s="21">
        <f>$F59*$K59*HH_Size</f>
        <v>0</v>
      </c>
      <c r="M59" s="22">
        <f>$F59*$J59*(HH_Children*Fatality_Rate_Child+HH_Adults*Fatality_Rate_Adult+HH_Over_60*Fatality_Rate_Over_60)</f>
        <v>0</v>
      </c>
      <c r="N59" s="61">
        <f>1-((1-Risk_of_Provider_Being_Infected*_xlfn.SINGLE(Transmission_Risk_Contact_Health_Care_Provider)*(1-Reduction_in_Risk_PPE))^($G59)*(1-Risk_of_Community_Member_being_Infected*Transmission_Risk_in_Community)^($G59*Contacts_During_Travel_to_Facility))</f>
        <v>4.52325716461843E-2</v>
      </c>
      <c r="O59" s="59">
        <f>N59*(1-(Percent_Prevalence_at_End_of_Projection_Period-Percent_Prevalence_at_Beginning_of_Projection_Period))</f>
        <v>3.4678304928741299E-2</v>
      </c>
      <c r="P59" s="21">
        <f>$F59*$O59*HH_Size</f>
        <v>0</v>
      </c>
      <c r="Q59" s="22">
        <f>$F59*$O59*(HH_Children*Fatality_Rate_Child+HH_Adults*Fatality_Rate_Adult+HH_Over_60*Fatality_Rate_Over_60)</f>
        <v>0</v>
      </c>
      <c r="R59" s="61">
        <f>1-((1-Risk_of_Provider_Being_Infected*_xlfn.SINGLE(Transmission_Risk_Contact_Health_Care_Provider)*(1-Reduction_in_Risk_PPE))^($G59*(1-Reduction_in_Risk_TS)))*(1-Risk_of_Community_Member_being_Infected*Transmission_Risk_in_Community)^($G59*Contacts_During_Travel_to_Facility)</f>
        <v>4.4337987844089002E-2</v>
      </c>
      <c r="S59" s="59">
        <f>R59*(1-(Percent_Prevalence_at_End_of_Projection_Period-Percent_Prevalence_at_Beginning_of_Projection_Period))</f>
        <v>3.3992457347134901E-2</v>
      </c>
      <c r="T59" s="21">
        <f>$F59*$S59*HH_Size</f>
        <v>0</v>
      </c>
      <c r="U59" s="22">
        <f>$F59*$S59*(HH_Children*Fatality_Rate_Child+HH_Adults*Fatality_Rate_Adult+HH_Over_60*Fatality_Rate_Over_60)</f>
        <v>0</v>
      </c>
      <c r="V59" s="61">
        <f t="shared" si="41"/>
        <v>3.63241227934877E-2</v>
      </c>
      <c r="W59" s="59">
        <f>V59*(1-(Percent_Prevalence_at_End_of_Projection_Period-Percent_Prevalence_at_Beginning_of_Projection_Period))</f>
        <v>2.78484941416739E-2</v>
      </c>
      <c r="X59" s="21">
        <f>$F59*$W59*HH_Size</f>
        <v>0</v>
      </c>
      <c r="Y59" s="22">
        <f>$F59*$W59*(HH_Children*Fatality_Rate_Child+HH_Adults*Fatality_Rate_Adult+HH_Over_60*Fatality_Rate_Over_60)</f>
        <v>0</v>
      </c>
      <c r="Z59" s="61">
        <f>1-((1-Risk_of_Provider_Being_Infected*Transmission_Risk_Contact_Health_Care_Provider*(1-$I59))^($H59)*(1-Risk_of_Community_Member_being_Infected*Transmission_Risk_in_Community)^($H59*Contacts_During_Travel_to_Facility))</f>
        <v>3.8352367951513797E-2</v>
      </c>
      <c r="AA59" s="59">
        <f>Z59*(1-(Percent_Prevalence_at_End_of_Projection_Period-Percent_Prevalence_at_Beginning_of_Projection_Period))</f>
        <v>2.9403482096160501E-2</v>
      </c>
      <c r="AB59" s="21">
        <f>$F59*$AA59*HH_Size*Infection_Rate_within_HH</f>
        <v>0</v>
      </c>
      <c r="AC59" s="22">
        <f>$F59*$AA59*Infection_Rate_within_HH*(HH_Children*Fatality_Rate_Child+HH_Adults*Fatality_Rate_Adult+HH_Over_60*Fatality_Rate_Over_60)</f>
        <v>0</v>
      </c>
      <c r="AD59" s="71"/>
    </row>
    <row r="60" spans="1:30" ht="15.75">
      <c r="A60" s="37"/>
      <c r="B60" s="49" t="s">
        <v>88</v>
      </c>
      <c r="C60" s="52" t="s">
        <v>89</v>
      </c>
      <c r="D60" s="116"/>
      <c r="E60" s="53" t="s">
        <v>90</v>
      </c>
      <c r="F60" s="21"/>
      <c r="G60" s="21"/>
      <c r="H60" s="22"/>
      <c r="I60" s="58"/>
      <c r="J60" s="59"/>
      <c r="K60" s="59"/>
      <c r="L60" s="21"/>
      <c r="M60" s="22"/>
      <c r="N60" s="61"/>
      <c r="O60" s="59"/>
      <c r="P60" s="21"/>
      <c r="Q60" s="22"/>
      <c r="R60" s="61"/>
      <c r="S60" s="59"/>
      <c r="T60" s="21"/>
      <c r="U60" s="22"/>
      <c r="V60" s="61">
        <f t="shared" si="41"/>
        <v>3.7157534246579099E-4</v>
      </c>
      <c r="W60" s="59"/>
      <c r="X60" s="21"/>
      <c r="Y60" s="22"/>
      <c r="Z60" s="61"/>
      <c r="AA60" s="59"/>
      <c r="AB60" s="21"/>
      <c r="AC60" s="22"/>
      <c r="AD60" s="71"/>
    </row>
    <row r="61" spans="1:30" ht="15.75">
      <c r="A61" s="37" t="str">
        <f>IF(VLOOKUP(B61,'[1]1. Select Services'!$A$6:$E$77,5,FALSE)="x","x","")</f>
        <v>x</v>
      </c>
      <c r="B61" s="49">
        <v>45</v>
      </c>
      <c r="C61" s="49">
        <v>68</v>
      </c>
      <c r="D61" s="116"/>
      <c r="E61" s="54" t="s">
        <v>91</v>
      </c>
      <c r="F61" s="21">
        <f>IF(Chosen_Scenario="Mitigation Impact Only",VLOOKUP($B61,'[1]Coverage Review Updated'!$B$5:$T$78,18,FALSE),VLOOKUP($B61,'[1]Coverage Review Updated'!$B$5:$T$78,19,FALSE))</f>
        <v>0</v>
      </c>
      <c r="G61" s="21">
        <f>VLOOKUP($B61,'[1]7. Number of HW Contacts'!$B$4:$I$84,6,FALSE)</f>
        <v>1</v>
      </c>
      <c r="H61" s="22">
        <f>G61*(1-HLOOKUP($B61,'[1]3. Mitigation Impact on Coverag'!$BY$5:$EQ$7,3,FALSE))</f>
        <v>1</v>
      </c>
      <c r="I61" s="58">
        <f>HLOOKUP(B61,'[1]3. Mitigation Impact on Coverag'!ES$5:HK$7,3,FALSE)</f>
        <v>0.79</v>
      </c>
      <c r="J61" s="59">
        <f t="shared" ref="J61:J66" si="42">1-((1-Risk_of_Provider_Being_Infected*_xlfn.SINGLE(Transmission_Risk_Contact_Health_Care_Provider))^(G61)*(1-Risk_of_Community_Member_being_Infected*Transmission_Risk_in_Community)^(G61*Contacts_During_Travel_to_Facility))</f>
        <v>1.68886786312739E-3</v>
      </c>
      <c r="K61" s="59">
        <f t="shared" ref="K61:K68" si="43">J61*(1-(Percent_Prevalence_at_End_of_Projection_Period-Percent_Prevalence_at_Beginning_of_Projection_Period))</f>
        <v>1.2947986950643301E-3</v>
      </c>
      <c r="L61" s="21">
        <f t="shared" ref="L61:L68" si="44">$F61*$K61*HH_Size</f>
        <v>0</v>
      </c>
      <c r="M61" s="22">
        <f t="shared" ref="M61:M68" si="45">$F61*$J61*(HH_Children*Fatality_Rate_Child+HH_Adults*Fatality_Rate_Adult+HH_Over_60*Fatality_Rate_Over_60)</f>
        <v>0</v>
      </c>
      <c r="N61" s="61">
        <f t="shared" ref="N61:N66" si="46">1-((1-Risk_of_Provider_Being_Infected*_xlfn.SINGLE(Transmission_Risk_Contact_Health_Care_Provider)*(1-Reduction_in_Risk_PPE))^($G61)*(1-Risk_of_Community_Member_being_Infected*Transmission_Risk_in_Community)^($G61*Contacts_During_Travel_to_Facility))</f>
        <v>1.6517592944171901E-3</v>
      </c>
      <c r="O61" s="59">
        <f t="shared" ref="O61:O68" si="47">N61*(1-(Percent_Prevalence_at_End_of_Projection_Period-Percent_Prevalence_at_Beginning_of_Projection_Period))</f>
        <v>1.26634879238651E-3</v>
      </c>
      <c r="P61" s="21">
        <f t="shared" ref="P61:P68" si="48">$F61*$O61*HH_Size</f>
        <v>0</v>
      </c>
      <c r="Q61" s="22">
        <f t="shared" ref="Q61:Q68" si="49">$F61*$O61*(HH_Children*Fatality_Rate_Child+HH_Adults*Fatality_Rate_Adult+HH_Over_60*Fatality_Rate_Over_60)</f>
        <v>0</v>
      </c>
      <c r="R61" s="61">
        <f t="shared" ref="R61:R66" si="50">1-((1-Risk_of_Provider_Being_Infected*_xlfn.SINGLE(Transmission_Risk_Contact_Health_Care_Provider)*(1-Reduction_in_Risk_PPE))^($G61*(1-Reduction_in_Risk_TS)))*(1-Risk_of_Community_Member_being_Infected*Transmission_Risk_in_Community)^($G61*Contacts_During_Travel_to_Facility)</f>
        <v>1.6183666091496001E-3</v>
      </c>
      <c r="S61" s="59">
        <f t="shared" ref="S61:S68" si="51">R61*(1-(Percent_Prevalence_at_End_of_Projection_Period-Percent_Prevalence_at_Beginning_of_Projection_Period))</f>
        <v>1.24074773368136E-3</v>
      </c>
      <c r="T61" s="21">
        <f t="shared" ref="T61:T68" si="52">$F61*$S61*HH_Size</f>
        <v>0</v>
      </c>
      <c r="U61" s="22">
        <f t="shared" ref="U61:U68" si="53">$F61*$S61*(HH_Children*Fatality_Rate_Child+HH_Adults*Fatality_Rate_Adult+HH_Over_60*Fatality_Rate_Over_60)</f>
        <v>0</v>
      </c>
      <c r="V61" s="61">
        <f t="shared" si="41"/>
        <v>1.39571017031648E-3</v>
      </c>
      <c r="W61" s="59">
        <f t="shared" ref="W61:W68" si="54">V61*(1-(Percent_Prevalence_at_End_of_Projection_Period-Percent_Prevalence_at_Beginning_of_Projection_Period))</f>
        <v>1.0700444639092999E-3</v>
      </c>
      <c r="X61" s="21">
        <f t="shared" ref="X61:X68" si="55">$F61*$W61*HH_Size</f>
        <v>0</v>
      </c>
      <c r="Y61" s="22">
        <f t="shared" ref="Y61:Y68" si="56">$F61*$W61*(HH_Children*Fatality_Rate_Child+HH_Adults*Fatality_Rate_Adult+HH_Over_60*Fatality_Rate_Over_60)</f>
        <v>0</v>
      </c>
      <c r="Z61" s="61">
        <f t="shared" ref="Z61:Z66" si="57">1-((1-Risk_of_Provider_Being_Infected*Transmission_Risk_Contact_Health_Care_Provider*(1-$I61))^($H61)*(1-Risk_of_Community_Member_being_Infected*Transmission_Risk_in_Community)^($H61*Contacts_During_Travel_to_Facility))</f>
        <v>1.39571017031648E-3</v>
      </c>
      <c r="AA61" s="59">
        <f t="shared" ref="AA61:AA68" si="58">Z61*(1-(Percent_Prevalence_at_End_of_Projection_Period-Percent_Prevalence_at_Beginning_of_Projection_Period))</f>
        <v>1.0700444639092999E-3</v>
      </c>
      <c r="AB61" s="21">
        <f t="shared" ref="AB61:AB68" si="59">$F61*$AA61*HH_Size*Infection_Rate_within_HH</f>
        <v>0</v>
      </c>
      <c r="AC61" s="22">
        <f t="shared" ref="AC61:AC68" si="60">$F61*$AA61*Infection_Rate_within_HH*(HH_Children*Fatality_Rate_Child+HH_Adults*Fatality_Rate_Adult+HH_Over_60*Fatality_Rate_Over_60)</f>
        <v>0</v>
      </c>
      <c r="AD61" s="71"/>
    </row>
    <row r="62" spans="1:30" ht="15.75">
      <c r="A62" s="37" t="str">
        <f>IF(VLOOKUP(B62,'[1]1. Select Services'!$A$6:$E$77,5,FALSE)="x","x","")</f>
        <v>x</v>
      </c>
      <c r="B62" s="49">
        <v>46</v>
      </c>
      <c r="C62" s="49">
        <v>69</v>
      </c>
      <c r="D62" s="116"/>
      <c r="E62" s="54" t="s">
        <v>92</v>
      </c>
      <c r="F62" s="21">
        <f>IF(Chosen_Scenario="Mitigation Impact Only",VLOOKUP($B62,'[1]Coverage Review Updated'!$B$5:$T$78,18,FALSE),VLOOKUP($B62,'[1]Coverage Review Updated'!$B$5:$T$78,19,FALSE))</f>
        <v>32200</v>
      </c>
      <c r="G62" s="21">
        <f>VLOOKUP($B62,'[1]7. Number of HW Contacts'!$B$4:$I$84,6,FALSE)</f>
        <v>1</v>
      </c>
      <c r="H62" s="22">
        <f>G62*(1-HLOOKUP($B62,'[1]3. Mitigation Impact on Coverag'!$BY$5:$EQ$7,3,FALSE))</f>
        <v>1</v>
      </c>
      <c r="I62" s="58">
        <f>HLOOKUP(B62,'[1]3. Mitigation Impact on Coverag'!ES$5:HK$7,3,FALSE)</f>
        <v>0.79</v>
      </c>
      <c r="J62" s="59">
        <f t="shared" si="42"/>
        <v>1.68886786312739E-3</v>
      </c>
      <c r="K62" s="59">
        <f t="shared" si="43"/>
        <v>1.2947986950643301E-3</v>
      </c>
      <c r="L62" s="21">
        <f t="shared" si="44"/>
        <v>262.66286328075</v>
      </c>
      <c r="M62" s="22">
        <f t="shared" si="45"/>
        <v>0.66741437165644302</v>
      </c>
      <c r="N62" s="61">
        <f t="shared" si="46"/>
        <v>1.6517592944171901E-3</v>
      </c>
      <c r="O62" s="59">
        <f t="shared" si="47"/>
        <v>1.26634879238651E-3</v>
      </c>
      <c r="P62" s="21">
        <f t="shared" si="48"/>
        <v>256.89151602352803</v>
      </c>
      <c r="Q62" s="22">
        <f t="shared" si="49"/>
        <v>0.50044139155058898</v>
      </c>
      <c r="R62" s="61">
        <f t="shared" si="50"/>
        <v>1.6183666091496001E-3</v>
      </c>
      <c r="S62" s="59">
        <f t="shared" si="51"/>
        <v>1.24074773368136E-3</v>
      </c>
      <c r="T62" s="21">
        <f t="shared" si="52"/>
        <v>251.69808525460101</v>
      </c>
      <c r="U62" s="22">
        <f t="shared" si="53"/>
        <v>0.49032425042754302</v>
      </c>
      <c r="V62" s="61">
        <f t="shared" si="41"/>
        <v>1.39571017031648E-3</v>
      </c>
      <c r="W62" s="59">
        <f t="shared" si="54"/>
        <v>1.0700444639092999E-3</v>
      </c>
      <c r="X62" s="21">
        <f t="shared" si="55"/>
        <v>217.06921994864001</v>
      </c>
      <c r="Y62" s="22">
        <f t="shared" si="56"/>
        <v>0.42286496718696398</v>
      </c>
      <c r="Z62" s="61">
        <f t="shared" si="57"/>
        <v>1.39571017031648E-3</v>
      </c>
      <c r="AA62" s="59">
        <f t="shared" si="58"/>
        <v>1.0700444639092999E-3</v>
      </c>
      <c r="AB62" s="21">
        <f t="shared" si="59"/>
        <v>195.36229795377599</v>
      </c>
      <c r="AC62" s="22">
        <f t="shared" si="60"/>
        <v>0.38057847046826798</v>
      </c>
      <c r="AD62" s="71"/>
    </row>
    <row r="63" spans="1:30" ht="15.75">
      <c r="A63" s="37" t="str">
        <f>IF(VLOOKUP(B63,'[1]1. Select Services'!$A$6:$E$77,5,FALSE)="x","x","")</f>
        <v/>
      </c>
      <c r="B63" s="49">
        <v>47</v>
      </c>
      <c r="C63" s="49">
        <v>70</v>
      </c>
      <c r="D63" s="116"/>
      <c r="E63" s="54" t="s">
        <v>93</v>
      </c>
      <c r="F63" s="21">
        <f>IF(Chosen_Scenario="Mitigation Impact Only",VLOOKUP($B63,'[1]Coverage Review Updated'!$B$5:$T$78,18,FALSE),VLOOKUP($B63,'[1]Coverage Review Updated'!$B$5:$T$78,19,FALSE))</f>
        <v>0</v>
      </c>
      <c r="G63" s="21">
        <f>VLOOKUP($B63,'[1]7. Number of HW Contacts'!$B$4:$I$84,6,FALSE)</f>
        <v>56</v>
      </c>
      <c r="H63" s="22">
        <f>G63*(1-HLOOKUP($B63,'[1]3. Mitigation Impact on Coverag'!$BY$5:$EQ$7,3,FALSE))</f>
        <v>56</v>
      </c>
      <c r="I63" s="58">
        <f>HLOOKUP(B63,'[1]3. Mitigation Impact on Coverag'!ES$5:HK$7,3,FALSE)</f>
        <v>0.79</v>
      </c>
      <c r="J63" s="59">
        <f t="shared" si="42"/>
        <v>9.0314691449947596E-2</v>
      </c>
      <c r="K63" s="59">
        <f t="shared" si="43"/>
        <v>6.9241263444959802E-2</v>
      </c>
      <c r="L63" s="21">
        <f t="shared" si="44"/>
        <v>0</v>
      </c>
      <c r="M63" s="22">
        <f t="shared" si="45"/>
        <v>0</v>
      </c>
      <c r="N63" s="61">
        <f t="shared" si="46"/>
        <v>8.8419157754641403E-2</v>
      </c>
      <c r="O63" s="59">
        <f t="shared" si="47"/>
        <v>6.7788020945225097E-2</v>
      </c>
      <c r="P63" s="21">
        <f t="shared" si="48"/>
        <v>0</v>
      </c>
      <c r="Q63" s="22">
        <f t="shared" si="49"/>
        <v>0</v>
      </c>
      <c r="R63" s="61">
        <f t="shared" si="50"/>
        <v>8.6710118522115603E-2</v>
      </c>
      <c r="S63" s="59">
        <f t="shared" si="51"/>
        <v>6.6477757533622006E-2</v>
      </c>
      <c r="T63" s="21">
        <f t="shared" si="52"/>
        <v>0</v>
      </c>
      <c r="U63" s="22">
        <f t="shared" si="53"/>
        <v>0</v>
      </c>
      <c r="V63" s="61">
        <f t="shared" si="41"/>
        <v>7.1256333058576801E-2</v>
      </c>
      <c r="W63" s="59">
        <f t="shared" si="54"/>
        <v>5.4629855344908898E-2</v>
      </c>
      <c r="X63" s="21">
        <f t="shared" si="55"/>
        <v>0</v>
      </c>
      <c r="Y63" s="22">
        <f t="shared" si="56"/>
        <v>0</v>
      </c>
      <c r="Z63" s="61">
        <f t="shared" si="57"/>
        <v>7.5233831775539203E-2</v>
      </c>
      <c r="AA63" s="59">
        <f t="shared" si="58"/>
        <v>5.7679271027913398E-2</v>
      </c>
      <c r="AB63" s="21">
        <f t="shared" si="59"/>
        <v>0</v>
      </c>
      <c r="AC63" s="22">
        <f t="shared" si="60"/>
        <v>0</v>
      </c>
      <c r="AD63" s="71"/>
    </row>
    <row r="64" spans="1:30" ht="15.75">
      <c r="A64" s="37" t="str">
        <f>IF(VLOOKUP(B64,'[1]1. Select Services'!$A$6:$E$77,5,FALSE)="x","x","")</f>
        <v>x</v>
      </c>
      <c r="B64" s="55">
        <v>48</v>
      </c>
      <c r="C64" s="55">
        <v>44</v>
      </c>
      <c r="D64" s="117" t="s">
        <v>32</v>
      </c>
      <c r="E64" s="56" t="s">
        <v>94</v>
      </c>
      <c r="F64" s="21">
        <f>IF(Chosen_Scenario="Mitigation Impact Only",VLOOKUP($B64,'[1]Coverage Review Updated'!$B$5:$T$78,18,FALSE),VLOOKUP($B64,'[1]Coverage Review Updated'!$B$5:$T$78,19,FALSE))</f>
        <v>17300</v>
      </c>
      <c r="G64" s="21">
        <f>VLOOKUP($B64,'[1]7. Number of HW Contacts'!$B$4:$I$84,6,FALSE)</f>
        <v>2</v>
      </c>
      <c r="H64" s="22">
        <f>G64*(1-HLOOKUP($B64,'[1]3. Mitigation Impact on Coverag'!$BY$5:$EQ$7,3,FALSE))</f>
        <v>2</v>
      </c>
      <c r="I64" s="58">
        <f>HLOOKUP(B64,'[1]3. Mitigation Impact on Coverag'!ES$5:HK$7,3,FALSE)</f>
        <v>0.87</v>
      </c>
      <c r="J64" s="59">
        <f t="shared" si="42"/>
        <v>3.3748834515957599E-3</v>
      </c>
      <c r="K64" s="59">
        <f t="shared" si="43"/>
        <v>2.5874106462234099E-3</v>
      </c>
      <c r="L64" s="21">
        <f t="shared" si="44"/>
        <v>282.00188633188998</v>
      </c>
      <c r="M64" s="22">
        <f t="shared" si="45"/>
        <v>0.71655394836291497</v>
      </c>
      <c r="N64" s="61">
        <f t="shared" si="46"/>
        <v>3.30079028006769E-3</v>
      </c>
      <c r="O64" s="59">
        <f t="shared" si="47"/>
        <v>2.53060588138523E-3</v>
      </c>
      <c r="P64" s="21">
        <f t="shared" si="48"/>
        <v>275.810735012176</v>
      </c>
      <c r="Q64" s="22">
        <f t="shared" si="49"/>
        <v>0.53729726139123501</v>
      </c>
      <c r="R64" s="61">
        <f t="shared" si="50"/>
        <v>3.2341141078177098E-3</v>
      </c>
      <c r="S64" s="59">
        <f t="shared" si="51"/>
        <v>2.4794874826602402E-3</v>
      </c>
      <c r="T64" s="21">
        <f t="shared" si="52"/>
        <v>270.23934073513999</v>
      </c>
      <c r="U64" s="22">
        <f t="shared" si="53"/>
        <v>0.52644382275676704</v>
      </c>
      <c r="V64" s="61">
        <f t="shared" si="41"/>
        <v>2.68200537019636E-3</v>
      </c>
      <c r="W64" s="59">
        <f t="shared" si="54"/>
        <v>2.05620411715054E-3</v>
      </c>
      <c r="X64" s="21">
        <f t="shared" si="55"/>
        <v>224.105686728238</v>
      </c>
      <c r="Y64" s="22">
        <f t="shared" si="56"/>
        <v>0.43657246240240999</v>
      </c>
      <c r="Z64" s="61">
        <f t="shared" si="57"/>
        <v>2.7301806109986098E-3</v>
      </c>
      <c r="AA64" s="59">
        <f t="shared" si="58"/>
        <v>2.09313846843227E-3</v>
      </c>
      <c r="AB64" s="21">
        <f t="shared" si="59"/>
        <v>205.31804550698999</v>
      </c>
      <c r="AC64" s="22">
        <f t="shared" si="60"/>
        <v>0.39997291461565698</v>
      </c>
      <c r="AD64" s="74"/>
    </row>
    <row r="65" spans="1:30" ht="15.75">
      <c r="A65" s="37" t="str">
        <f>IF(VLOOKUP(B65,'[1]1. Select Services'!$A$6:$E$77,5,FALSE)="x","x","")</f>
        <v>x</v>
      </c>
      <c r="B65" s="75">
        <v>49</v>
      </c>
      <c r="C65" s="75">
        <v>45</v>
      </c>
      <c r="D65" s="117"/>
      <c r="E65" s="76" t="s">
        <v>95</v>
      </c>
      <c r="F65" s="21">
        <f>IF(Chosen_Scenario="Mitigation Impact Only",VLOOKUP($B65,'[1]Coverage Review Updated'!$B$5:$T$78,18,FALSE),VLOOKUP($B65,'[1]Coverage Review Updated'!$B$5:$T$78,19,FALSE))</f>
        <v>32100</v>
      </c>
      <c r="G65" s="21">
        <f>VLOOKUP($B65,'[1]7. Number of HW Contacts'!$B$4:$I$84,6,FALSE)</f>
        <v>4</v>
      </c>
      <c r="H65" s="22">
        <f>G65*(1-HLOOKUP($B65,'[1]3. Mitigation Impact on Coverag'!$BY$5:$EQ$7,3,FALSE))</f>
        <v>4</v>
      </c>
      <c r="I65" s="58">
        <f>HLOOKUP(B65,'[1]3. Mitigation Impact on Coverag'!ES$5:HK$7,3,FALSE)</f>
        <v>0.87</v>
      </c>
      <c r="J65" s="59">
        <f t="shared" si="42"/>
        <v>6.7383770648796696E-3</v>
      </c>
      <c r="K65" s="59">
        <f t="shared" si="43"/>
        <v>5.1660890830744202E-3</v>
      </c>
      <c r="L65" s="21">
        <f t="shared" si="44"/>
        <v>1044.7381952701401</v>
      </c>
      <c r="M65" s="22">
        <f t="shared" si="45"/>
        <v>2.6546321677625899</v>
      </c>
      <c r="N65" s="61">
        <f t="shared" si="46"/>
        <v>6.5906853436624698E-3</v>
      </c>
      <c r="O65" s="59">
        <f t="shared" si="47"/>
        <v>5.05285876347456E-3</v>
      </c>
      <c r="P65" s="21">
        <f t="shared" si="48"/>
        <v>1021.83962773746</v>
      </c>
      <c r="Q65" s="22">
        <f t="shared" si="49"/>
        <v>1.99061009550676</v>
      </c>
      <c r="R65" s="61">
        <f t="shared" si="50"/>
        <v>6.4577687215732196E-3</v>
      </c>
      <c r="S65" s="59">
        <f t="shared" si="51"/>
        <v>4.9509560198727999E-3</v>
      </c>
      <c r="T65" s="21">
        <f t="shared" si="52"/>
        <v>1001.23183589888</v>
      </c>
      <c r="U65" s="22">
        <f t="shared" si="53"/>
        <v>1.9504647758631899</v>
      </c>
      <c r="V65" s="61">
        <f t="shared" si="41"/>
        <v>5.3087692320733498E-3</v>
      </c>
      <c r="W65" s="59">
        <f t="shared" si="54"/>
        <v>4.0700564112562398E-3</v>
      </c>
      <c r="X65" s="21">
        <f t="shared" si="55"/>
        <v>823.08750804834904</v>
      </c>
      <c r="Y65" s="22">
        <f t="shared" si="56"/>
        <v>1.60342803169061</v>
      </c>
      <c r="Z65" s="61">
        <f t="shared" si="57"/>
        <v>5.4529073358285897E-3</v>
      </c>
      <c r="AA65" s="59">
        <f t="shared" si="58"/>
        <v>4.1805622908019204E-3</v>
      </c>
      <c r="AB65" s="21">
        <f t="shared" si="59"/>
        <v>760.89160086198501</v>
      </c>
      <c r="AC65" s="22">
        <f t="shared" si="60"/>
        <v>1.48226635682143</v>
      </c>
      <c r="AD65" s="71"/>
    </row>
    <row r="66" spans="1:30" ht="15.75">
      <c r="A66" s="37" t="str">
        <f>IF(VLOOKUP(B66,'[1]1. Select Services'!$A$6:$E$77,5,FALSE)="x","x","")</f>
        <v>x</v>
      </c>
      <c r="B66" s="75">
        <v>50</v>
      </c>
      <c r="C66" s="75">
        <v>46</v>
      </c>
      <c r="D66" s="117"/>
      <c r="E66" s="76" t="s">
        <v>96</v>
      </c>
      <c r="F66" s="21">
        <f>IF(Chosen_Scenario="Mitigation Impact Only",VLOOKUP($B66,'[1]Coverage Review Updated'!$B$5:$T$78,18,FALSE),VLOOKUP($B66,'[1]Coverage Review Updated'!$B$5:$T$78,19,FALSE))</f>
        <v>70800</v>
      </c>
      <c r="G66" s="21">
        <f>VLOOKUP($B66,'[1]7. Number of HW Contacts'!$B$4:$I$84,6,FALSE)</f>
        <v>4</v>
      </c>
      <c r="H66" s="22">
        <f>G66*(1-HLOOKUP($B66,'[1]3. Mitigation Impact on Coverag'!$BY$5:$EQ$7,3,FALSE))</f>
        <v>4</v>
      </c>
      <c r="I66" s="58">
        <f>HLOOKUP(B66,'[1]3. Mitigation Impact on Coverag'!ES$5:HK$7,3,FALSE)</f>
        <v>0.87</v>
      </c>
      <c r="J66" s="59">
        <f t="shared" si="42"/>
        <v>6.7383770648796696E-3</v>
      </c>
      <c r="K66" s="59">
        <f t="shared" si="43"/>
        <v>5.1660890830744202E-3</v>
      </c>
      <c r="L66" s="21">
        <f t="shared" si="44"/>
        <v>2304.28237461451</v>
      </c>
      <c r="M66" s="22">
        <f t="shared" si="45"/>
        <v>5.8550765569343204</v>
      </c>
      <c r="N66" s="61">
        <f t="shared" si="46"/>
        <v>6.5906853436624698E-3</v>
      </c>
      <c r="O66" s="59">
        <f t="shared" si="47"/>
        <v>5.05285876347456E-3</v>
      </c>
      <c r="P66" s="21">
        <f t="shared" si="48"/>
        <v>2253.77712286019</v>
      </c>
      <c r="Q66" s="22">
        <f t="shared" si="49"/>
        <v>4.3905045097158402</v>
      </c>
      <c r="R66" s="61">
        <f t="shared" si="50"/>
        <v>6.4577687215732196E-3</v>
      </c>
      <c r="S66" s="59">
        <f t="shared" si="51"/>
        <v>4.9509560198727999E-3</v>
      </c>
      <c r="T66" s="21">
        <f t="shared" si="52"/>
        <v>2208.3244231040599</v>
      </c>
      <c r="U66" s="22">
        <f t="shared" si="53"/>
        <v>4.3019596925580599</v>
      </c>
      <c r="V66" s="61">
        <f t="shared" si="41"/>
        <v>5.3087692320733498E-3</v>
      </c>
      <c r="W66" s="59">
        <f t="shared" si="54"/>
        <v>4.0700564112562398E-3</v>
      </c>
      <c r="X66" s="21">
        <f t="shared" si="55"/>
        <v>1815.4079616767301</v>
      </c>
      <c r="Y66" s="22">
        <f t="shared" si="56"/>
        <v>3.53653285494378</v>
      </c>
      <c r="Z66" s="61">
        <f t="shared" si="57"/>
        <v>5.4529073358285897E-3</v>
      </c>
      <c r="AA66" s="59">
        <f t="shared" si="58"/>
        <v>4.1805622908019204E-3</v>
      </c>
      <c r="AB66" s="21">
        <f t="shared" si="59"/>
        <v>1678.2282037703601</v>
      </c>
      <c r="AC66" s="22">
        <f t="shared" si="60"/>
        <v>3.26929775897062</v>
      </c>
      <c r="AD66" s="71"/>
    </row>
    <row r="67" spans="1:30" ht="15.75">
      <c r="A67" s="37" t="str">
        <f>IF(VLOOKUP(B67,'[1]1. Select Services'!$A$6:$E$77,5,FALSE)="x","x","")</f>
        <v>x</v>
      </c>
      <c r="B67" s="77">
        <v>51</v>
      </c>
      <c r="C67" s="77">
        <v>55</v>
      </c>
      <c r="D67" s="118" t="s">
        <v>33</v>
      </c>
      <c r="E67" s="78" t="s">
        <v>97</v>
      </c>
      <c r="F67" s="65">
        <f>IF(Chosen_Scenario="Mitigation Impact Only",VLOOKUP($B67,'[1]Coverage Review Updated'!$B$5:$T$78,18,FALSE),VLOOKUP($B67,'[1]Coverage Review Updated'!$B$5:$T$78,19,FALSE))</f>
        <v>275500</v>
      </c>
      <c r="G67" s="65">
        <f>VLOOKUP($B67,'[1]7. Number of HW Contacts'!$B$4:$I$84,6,FALSE)</f>
        <v>1</v>
      </c>
      <c r="H67" s="66">
        <f>G67*(1-HLOOKUP($B67,'[1]3. Mitigation Impact on Coverag'!$BY$5:$EQ$7,3,FALSE))</f>
        <v>0.9</v>
      </c>
      <c r="I67" s="95">
        <f>HLOOKUP(B67,'[1]3. Mitigation Impact on Coverag'!ES$5:HK$7,3,FALSE)</f>
        <v>0.87</v>
      </c>
      <c r="J67" s="64">
        <f>1-((1-Risk_of_Provider_Being_Infected*_xlfn.SINGLE(Transmission_Risk_Contact_Health_Care_Provider))^(2*$G67)*(1-Risk_of_Community_Member_being_Infected*Transmission_Risk_in_Community)^(2*$G67*Contacts_During_Travel_to_Facility))</f>
        <v>3.3748834515957599E-3</v>
      </c>
      <c r="K67" s="64">
        <f t="shared" si="43"/>
        <v>2.5874106462234099E-3</v>
      </c>
      <c r="L67" s="65">
        <f t="shared" si="44"/>
        <v>4490.8392881176696</v>
      </c>
      <c r="M67" s="66">
        <f t="shared" si="45"/>
        <v>11.411018079421</v>
      </c>
      <c r="N67" s="67">
        <f>1-((1-Risk_of_Provider_Being_Infected*_xlfn.SINGLE(Transmission_Risk_Contact_Health_Care_Provider)*(1-Reduction_in_Risk_PPE))^(2*$G67)*(1-Risk_of_Community_Member_being_Infected*Transmission_Risk_in_Community)^(2*$G67*Contacts_During_Travel_to_Facility))</f>
        <v>3.30079028006769E-3</v>
      </c>
      <c r="O67" s="64">
        <f t="shared" si="47"/>
        <v>2.53060588138523E-3</v>
      </c>
      <c r="P67" s="65">
        <f t="shared" si="48"/>
        <v>4392.2460980262704</v>
      </c>
      <c r="Q67" s="66">
        <f t="shared" si="49"/>
        <v>8.5563812435425106</v>
      </c>
      <c r="R67" s="67">
        <f>1-((1-Risk_of_Provider_Being_Infected*_xlfn.SINGLE(Transmission_Risk_Contact_Health_Care_Provider)*(1-Reduction_in_Risk_PPE))^(2*$G67*(1-Reduction_in_Risk_TS)))*(1-Risk_of_Community_Member_being_Infected*Transmission_Risk_in_Community)^(2*$G67*Contacts_During_Travel_to_Facility)</f>
        <v>3.2341141078177098E-3</v>
      </c>
      <c r="S67" s="64">
        <f t="shared" si="51"/>
        <v>2.4794874826602402E-3</v>
      </c>
      <c r="T67" s="65">
        <f t="shared" si="52"/>
        <v>4303.5224492792504</v>
      </c>
      <c r="U67" s="66">
        <f t="shared" si="53"/>
        <v>8.3835418017045793</v>
      </c>
      <c r="V67" s="67">
        <f>1-((1-Risk_of_Provider_Being_Infected*_xlfn.SINGLE(Transmission_Risk_Contact_Health_Care_Provider)*(1-Reduction_in_Risk_PPE))^(2*$H67*(1-Reduction_in_Risk_TS)))*(1-Risk_of_Community_Member_being_Infected*Transmission_Risk_in_Community)^(2*$H67*Contacts_During_Travel_to_Facility)</f>
        <v>2.9111739333670399E-3</v>
      </c>
      <c r="W67" s="64">
        <f t="shared" si="54"/>
        <v>2.2319000155814001E-3</v>
      </c>
      <c r="X67" s="65">
        <f t="shared" si="55"/>
        <v>3873.79726204385</v>
      </c>
      <c r="Y67" s="66">
        <f t="shared" si="56"/>
        <v>7.5464091707276797</v>
      </c>
      <c r="Z67" s="67">
        <f>1-((1-Risk_of_Provider_Being_Infected*Transmission_Risk_Contact_Health_Care_Provider*(1-$I67))^(2*$G67)*(1-Risk_of_Community_Member_being_Infected*Transmission_Risk_in_Community)^(2*$G67*Contacts_During_Travel_to_Facility))</f>
        <v>2.7301806109986098E-3</v>
      </c>
      <c r="AA67" s="64">
        <f t="shared" si="58"/>
        <v>2.09313846843227E-3</v>
      </c>
      <c r="AB67" s="65">
        <f t="shared" si="59"/>
        <v>3269.6602044610199</v>
      </c>
      <c r="AC67" s="66">
        <f t="shared" si="60"/>
        <v>6.3695108657002004</v>
      </c>
      <c r="AD67" s="127" t="s">
        <v>98</v>
      </c>
    </row>
    <row r="68" spans="1:30" ht="15.75">
      <c r="A68" s="37" t="str">
        <f>IF(VLOOKUP(B68,'[1]1. Select Services'!$A$6:$E$77,5,FALSE)="x","x","")</f>
        <v>x</v>
      </c>
      <c r="B68" s="77">
        <v>52</v>
      </c>
      <c r="C68" s="77">
        <v>56</v>
      </c>
      <c r="D68" s="118"/>
      <c r="E68" s="78" t="s">
        <v>99</v>
      </c>
      <c r="F68" s="65">
        <f>IF(Chosen_Scenario="Mitigation Impact Only",VLOOKUP($B68,'[1]Coverage Review Updated'!$B$5:$T$78,18,FALSE),VLOOKUP($B68,'[1]Coverage Review Updated'!$B$5:$T$78,19,FALSE))</f>
        <v>239000</v>
      </c>
      <c r="G68" s="65">
        <f>VLOOKUP($B68,'[1]7. Number of HW Contacts'!$B$4:$I$84,6,FALSE)</f>
        <v>3</v>
      </c>
      <c r="H68" s="66">
        <f>G68*(1-HLOOKUP($B68,'[1]3. Mitigation Impact on Coverag'!$BY$5:$EQ$7,3,FALSE))</f>
        <v>2.7</v>
      </c>
      <c r="I68" s="95">
        <f>HLOOKUP(B68,'[1]3. Mitigation Impact on Coverag'!ES$5:HK$7,3,FALSE)</f>
        <v>0.87</v>
      </c>
      <c r="J68" s="64">
        <f>1-((1-Risk_of_Provider_Being_Infected*_xlfn.SINGLE(Transmission_Risk_Contact_Health_Care_Provider))^(2*$G68)*(1-Risk_of_Community_Member_being_Infected*Transmission_Risk_in_Community)^(2*$G68*Contacts_During_Travel_to_Facility))</f>
        <v>1.00905192792287E-2</v>
      </c>
      <c r="K68" s="64">
        <f t="shared" si="43"/>
        <v>7.7360647807419702E-3</v>
      </c>
      <c r="L68" s="65">
        <f t="shared" si="44"/>
        <v>11648.1927403632</v>
      </c>
      <c r="M68" s="66">
        <f t="shared" si="45"/>
        <v>29.597527193759198</v>
      </c>
      <c r="N68" s="67">
        <f>1-((1-Risk_of_Provider_Being_Infected*_xlfn.SINGLE(Transmission_Risk_Contact_Health_Care_Provider)*(1-Reduction_in_Risk_PPE))^(2*$G68)*(1-Risk_of_Community_Member_being_Infected*Transmission_Risk_in_Community)^(2*$G68*Contacts_During_Travel_to_Facility))</f>
        <v>9.8697211536087296E-3</v>
      </c>
      <c r="O68" s="64">
        <f t="shared" si="47"/>
        <v>7.5667862177667003E-3</v>
      </c>
      <c r="P68" s="65">
        <f t="shared" si="48"/>
        <v>11393.310008091299</v>
      </c>
      <c r="Q68" s="66">
        <f t="shared" si="49"/>
        <v>22.194909365143399</v>
      </c>
      <c r="R68" s="67">
        <f>1-((1-Risk_of_Provider_Being_Infected*_xlfn.SINGLE(Transmission_Risk_Contact_Health_Care_Provider)*(1-Reduction_in_Risk_PPE))^(2*$G68*(1-Reduction_in_Risk_TS)))*(1-Risk_of_Community_Member_being_Infected*Transmission_Risk_in_Community)^(2*$G68*Contacts_During_Travel_to_Facility)</f>
        <v>9.6709976684633495E-3</v>
      </c>
      <c r="S68" s="64">
        <f t="shared" si="51"/>
        <v>7.4144315458219102E-3</v>
      </c>
      <c r="T68" s="65">
        <f t="shared" si="52"/>
        <v>11163.909578544</v>
      </c>
      <c r="U68" s="66">
        <f t="shared" si="53"/>
        <v>21.748022399151001</v>
      </c>
      <c r="V68" s="67">
        <f>1-((1-Risk_of_Provider_Being_Infected*_xlfn.SINGLE(Transmission_Risk_Contact_Health_Care_Provider)*(1-Reduction_in_Risk_PPE))^(2*$H68*(1-Reduction_in_Risk_TS)))*(1-Risk_of_Community_Member_being_Infected*Transmission_Risk_in_Community)^(2*$H68*Contacts_During_Travel_to_Facility)</f>
        <v>8.70812167109636E-3</v>
      </c>
      <c r="W68" s="64">
        <f t="shared" si="54"/>
        <v>6.6762266145072103E-3</v>
      </c>
      <c r="X68" s="65">
        <f t="shared" si="55"/>
        <v>10052.3944134635</v>
      </c>
      <c r="Y68" s="66">
        <f t="shared" si="56"/>
        <v>19.582718520872898</v>
      </c>
      <c r="Z68" s="67">
        <f>1-((1-Risk_of_Provider_Being_Infected*Transmission_Risk_Contact_Health_Care_Provider*(1-$I68))^(2*$G68)*(1-Risk_of_Community_Member_being_Infected*Transmission_Risk_in_Community)^(2*$G68*Contacts_During_Travel_to_Facility))</f>
        <v>8.16820052494527E-3</v>
      </c>
      <c r="AA68" s="64">
        <f t="shared" si="58"/>
        <v>6.2622870691247104E-3</v>
      </c>
      <c r="AB68" s="65">
        <f t="shared" si="59"/>
        <v>8486.2130759829597</v>
      </c>
      <c r="AC68" s="66">
        <f t="shared" si="60"/>
        <v>16.531695349373699</v>
      </c>
      <c r="AD68" s="127" t="s">
        <v>98</v>
      </c>
    </row>
    <row r="69" spans="1:30" ht="15.75">
      <c r="A69" s="37"/>
      <c r="B69" s="77"/>
      <c r="C69" s="77"/>
      <c r="D69" s="118"/>
      <c r="E69" s="79" t="s">
        <v>100</v>
      </c>
      <c r="F69" s="65"/>
      <c r="G69" s="65"/>
      <c r="H69" s="66"/>
      <c r="I69" s="95"/>
      <c r="J69" s="64"/>
      <c r="K69" s="64"/>
      <c r="L69" s="65"/>
      <c r="M69" s="66"/>
      <c r="N69" s="67"/>
      <c r="O69" s="64"/>
      <c r="P69" s="65"/>
      <c r="Q69" s="66"/>
      <c r="R69" s="67"/>
      <c r="S69" s="64"/>
      <c r="T69" s="65"/>
      <c r="U69" s="66"/>
      <c r="V69" s="67"/>
      <c r="W69" s="64"/>
      <c r="X69" s="65"/>
      <c r="Y69" s="66"/>
      <c r="Z69" s="67"/>
      <c r="AA69" s="64"/>
      <c r="AB69" s="65"/>
      <c r="AC69" s="66"/>
      <c r="AD69" s="71"/>
    </row>
    <row r="70" spans="1:30" ht="15.75">
      <c r="A70" s="37" t="str">
        <f>IF(VLOOKUP(B70,'[1]1. Select Services'!$A$6:$E$77,5,FALSE)="x","x","")</f>
        <v>x</v>
      </c>
      <c r="B70" s="77">
        <v>53</v>
      </c>
      <c r="C70" s="77">
        <v>57</v>
      </c>
      <c r="D70" s="118"/>
      <c r="E70" s="78" t="s">
        <v>101</v>
      </c>
      <c r="F70" s="65">
        <f>IF(Chosen_Scenario="Mitigation Impact Only",VLOOKUP($B70,'[1]Coverage Review Updated'!$B$5:$T$78,18,FALSE),VLOOKUP($B70,'[1]Coverage Review Updated'!$B$5:$T$78,19,FALSE))</f>
        <v>236200</v>
      </c>
      <c r="G70" s="65">
        <f>VLOOKUP($B70,'[1]7. Number of HW Contacts'!$B$4:$I$84,6,FALSE)</f>
        <v>3</v>
      </c>
      <c r="H70" s="66">
        <f>G70*(1-HLOOKUP($B70,'[1]3. Mitigation Impact on Coverag'!$BY$5:$EQ$7,3,FALSE))</f>
        <v>2.7</v>
      </c>
      <c r="I70" s="95">
        <f>HLOOKUP(B70,'[1]3. Mitigation Impact on Coverag'!ES$5:HK$7,3,FALSE)</f>
        <v>0.87</v>
      </c>
      <c r="J70" s="64">
        <f t="shared" ref="J70:J87" si="61">1-((1-Risk_of_Provider_Being_Infected*_xlfn.SINGLE(Transmission_Risk_Contact_Health_Care_Provider))^(2*$G70)*(1-Risk_of_Community_Member_being_Infected*Transmission_Risk_in_Community)^(2*$G70*Contacts_During_Travel_to_Facility))</f>
        <v>1.00905192792287E-2</v>
      </c>
      <c r="K70" s="64">
        <f t="shared" ref="K70:K88" si="62">J70*(1-(Percent_Prevalence_at_End_of_Projection_Period-Percent_Prevalence_at_Beginning_of_Projection_Period))</f>
        <v>7.7360647807419702E-3</v>
      </c>
      <c r="L70" s="65">
        <f t="shared" ref="L70:L88" si="63">$F70*$K70*HH_Size</f>
        <v>11511.7285576309</v>
      </c>
      <c r="M70" s="66">
        <f t="shared" ref="M70:M88" si="64">$F70*$J70*(HH_Children*Fatality_Rate_Child+HH_Adults*Fatality_Rate_Adult+HH_Over_60*Fatality_Rate_Over_60)</f>
        <v>29.250777921196299</v>
      </c>
      <c r="N70" s="67">
        <f t="shared" ref="N70:N87" si="65">1-((1-Risk_of_Provider_Being_Infected*_xlfn.SINGLE(Transmission_Risk_Contact_Health_Care_Provider)*(1-Reduction_in_Risk_PPE))^(2*$G70)*(1-Risk_of_Community_Member_being_Infected*Transmission_Risk_in_Community)^(2*$G70*Contacts_During_Travel_to_Facility))</f>
        <v>9.8697211536087296E-3</v>
      </c>
      <c r="O70" s="64">
        <f t="shared" ref="O70:O88" si="66">N70*(1-(Percent_Prevalence_at_End_of_Projection_Period-Percent_Prevalence_at_Beginning_of_Projection_Period))</f>
        <v>7.5667862177667003E-3</v>
      </c>
      <c r="P70" s="65">
        <f t="shared" ref="P70:P88" si="67">$F70*$O70*HH_Size</f>
        <v>11259.831899209899</v>
      </c>
      <c r="Q70" s="66">
        <f t="shared" ref="Q70:Q88" si="68">$F70*$O70*(HH_Children*Fatality_Rate_Child+HH_Adults*Fatality_Rate_Adult+HH_Over_60*Fatality_Rate_Over_60)</f>
        <v>21.934885322371802</v>
      </c>
      <c r="R70" s="67">
        <f t="shared" ref="R70:R87" si="69">1-((1-Risk_of_Provider_Being_Infected*_xlfn.SINGLE(Transmission_Risk_Contact_Health_Care_Provider)*(1-Reduction_in_Risk_PPE))^(2*$G70*(1-Reduction_in_Risk_TS)))*(1-Risk_of_Community_Member_being_Infected*Transmission_Risk_in_Community)^(2*$G70*Contacts_During_Travel_to_Facility)</f>
        <v>9.6709976684633495E-3</v>
      </c>
      <c r="S70" s="64">
        <f t="shared" ref="S70:S88" si="70">R70*(1-(Percent_Prevalence_at_End_of_Projection_Period-Percent_Prevalence_at_Beginning_of_Projection_Period))</f>
        <v>7.4144315458219102E-3</v>
      </c>
      <c r="T70" s="65">
        <f t="shared" ref="T70:T88" si="71">$F70*$S70*HH_Size</f>
        <v>11033.1190060757</v>
      </c>
      <c r="U70" s="66">
        <f t="shared" ref="U70:U88" si="72">$F70*$S70*(HH_Children*Fatality_Rate_Child+HH_Adults*Fatality_Rate_Adult+HH_Over_60*Fatality_Rate_Over_60)</f>
        <v>21.493233852215301</v>
      </c>
      <c r="V70" s="67">
        <f t="shared" ref="V70:V87" si="73">1-((1-Risk_of_Provider_Being_Infected*_xlfn.SINGLE(Transmission_Risk_Contact_Health_Care_Provider)*(1-Reduction_in_Risk_PPE))^(2*$H70*(1-Reduction_in_Risk_TS)))*(1-Risk_of_Community_Member_being_Infected*Transmission_Risk_in_Community)^(2*$H70*Contacts_During_Travel_to_Facility)</f>
        <v>8.70812167109636E-3</v>
      </c>
      <c r="W70" s="64">
        <f t="shared" ref="W70:W88" si="74">V70*(1-(Percent_Prevalence_at_End_of_Projection_Period-Percent_Prevalence_at_Beginning_of_Projection_Period))</f>
        <v>6.6762266145072103E-3</v>
      </c>
      <c r="X70" s="65">
        <f t="shared" ref="X70:X88" si="75">$F70*$W70*HH_Size</f>
        <v>9934.6257759836008</v>
      </c>
      <c r="Y70" s="66">
        <f t="shared" ref="Y70:Y88" si="76">$F70*$W70*(HH_Children*Fatality_Rate_Child+HH_Adults*Fatality_Rate_Adult+HH_Over_60*Fatality_Rate_Over_60)</f>
        <v>19.353297550753801</v>
      </c>
      <c r="Z70" s="67">
        <f t="shared" ref="Z70:Z87" si="77">1-((1-Risk_of_Provider_Being_Infected*Transmission_Risk_Contact_Health_Care_Provider*(1-$I70))^(2*$G70)*(1-Risk_of_Community_Member_being_Infected*Transmission_Risk_in_Community)^(2*$G70*Contacts_During_Travel_to_Facility))</f>
        <v>8.16820052494527E-3</v>
      </c>
      <c r="AA70" s="64">
        <f t="shared" ref="AA70:AA88" si="78">Z70*(1-(Percent_Prevalence_at_End_of_Projection_Period-Percent_Prevalence_at_Beginning_of_Projection_Period))</f>
        <v>6.2622870691247104E-3</v>
      </c>
      <c r="AB70" s="65">
        <f t="shared" ref="AB70:AB88" si="79">$F70*$AA70*HH_Size*Infection_Rate_within_HH</f>
        <v>8386.7930064735392</v>
      </c>
      <c r="AC70" s="66">
        <f t="shared" ref="AC70:AC88" si="80">$F70*$AA70*Infection_Rate_within_HH*(HH_Children*Fatality_Rate_Child+HH_Adults*Fatality_Rate_Adult+HH_Over_60*Fatality_Rate_Over_60)</f>
        <v>16.338018583774399</v>
      </c>
      <c r="AD70" s="127" t="s">
        <v>98</v>
      </c>
    </row>
    <row r="71" spans="1:30" ht="15.75">
      <c r="A71" s="37" t="str">
        <f>IF(VLOOKUP(B71,'[1]1. Select Services'!$A$6:$E$77,5,FALSE)="x","x","")</f>
        <v>x</v>
      </c>
      <c r="B71" s="77">
        <v>54</v>
      </c>
      <c r="C71" s="77">
        <v>58</v>
      </c>
      <c r="D71" s="118"/>
      <c r="E71" s="78" t="s">
        <v>102</v>
      </c>
      <c r="F71" s="65">
        <f>IF(Chosen_Scenario="Mitigation Impact Only",VLOOKUP($B71,'[1]Coverage Review Updated'!$B$5:$T$78,18,FALSE),VLOOKUP($B71,'[1]Coverage Review Updated'!$B$5:$T$78,19,FALSE))</f>
        <v>236200</v>
      </c>
      <c r="G71" s="65">
        <f>VLOOKUP($B71,'[1]7. Number of HW Contacts'!$B$4:$I$84,6,FALSE)</f>
        <v>3</v>
      </c>
      <c r="H71" s="66">
        <f>G71*(1-HLOOKUP($B71,'[1]3. Mitigation Impact on Coverag'!$BY$5:$EQ$7,3,FALSE))</f>
        <v>2.7</v>
      </c>
      <c r="I71" s="95">
        <f>HLOOKUP(B71,'[1]3. Mitigation Impact on Coverag'!ES$5:HK$7,3,FALSE)</f>
        <v>0.87</v>
      </c>
      <c r="J71" s="64">
        <f t="shared" si="61"/>
        <v>1.00905192792287E-2</v>
      </c>
      <c r="K71" s="64">
        <f t="shared" si="62"/>
        <v>7.7360647807419702E-3</v>
      </c>
      <c r="L71" s="65">
        <f t="shared" si="63"/>
        <v>11511.7285576309</v>
      </c>
      <c r="M71" s="66">
        <f t="shared" si="64"/>
        <v>29.250777921196299</v>
      </c>
      <c r="N71" s="67">
        <f t="shared" si="65"/>
        <v>9.8697211536087296E-3</v>
      </c>
      <c r="O71" s="64">
        <f t="shared" si="66"/>
        <v>7.5667862177667003E-3</v>
      </c>
      <c r="P71" s="65">
        <f t="shared" si="67"/>
        <v>11259.831899209899</v>
      </c>
      <c r="Q71" s="66">
        <f t="shared" si="68"/>
        <v>21.934885322371802</v>
      </c>
      <c r="R71" s="67">
        <f t="shared" si="69"/>
        <v>9.6709976684633495E-3</v>
      </c>
      <c r="S71" s="64">
        <f t="shared" si="70"/>
        <v>7.4144315458219102E-3</v>
      </c>
      <c r="T71" s="65">
        <f t="shared" si="71"/>
        <v>11033.1190060757</v>
      </c>
      <c r="U71" s="66">
        <f t="shared" si="72"/>
        <v>21.493233852215301</v>
      </c>
      <c r="V71" s="67">
        <f t="shared" si="73"/>
        <v>8.70812167109636E-3</v>
      </c>
      <c r="W71" s="64">
        <f t="shared" si="74"/>
        <v>6.6762266145072103E-3</v>
      </c>
      <c r="X71" s="65">
        <f t="shared" si="75"/>
        <v>9934.6257759836008</v>
      </c>
      <c r="Y71" s="66">
        <f t="shared" si="76"/>
        <v>19.353297550753801</v>
      </c>
      <c r="Z71" s="67">
        <f t="shared" si="77"/>
        <v>8.16820052494527E-3</v>
      </c>
      <c r="AA71" s="64">
        <f t="shared" si="78"/>
        <v>6.2622870691247104E-3</v>
      </c>
      <c r="AB71" s="65">
        <f t="shared" si="79"/>
        <v>8386.7930064735392</v>
      </c>
      <c r="AC71" s="66">
        <f t="shared" si="80"/>
        <v>16.338018583774399</v>
      </c>
      <c r="AD71" s="127" t="s">
        <v>98</v>
      </c>
    </row>
    <row r="72" spans="1:30" ht="15.75">
      <c r="A72" s="37" t="str">
        <f>IF(VLOOKUP(B72,'[1]1. Select Services'!$A$6:$E$77,5,FALSE)="x","x","")</f>
        <v>x</v>
      </c>
      <c r="B72" s="77">
        <v>55</v>
      </c>
      <c r="C72" s="77">
        <v>59</v>
      </c>
      <c r="D72" s="118"/>
      <c r="E72" s="78" t="s">
        <v>103</v>
      </c>
      <c r="F72" s="65">
        <f>IF(Chosen_Scenario="Mitigation Impact Only",VLOOKUP($B72,'[1]Coverage Review Updated'!$B$5:$T$78,18,FALSE),VLOOKUP($B72,'[1]Coverage Review Updated'!$B$5:$T$78,19,FALSE))</f>
        <v>236200</v>
      </c>
      <c r="G72" s="65">
        <f>VLOOKUP($B72,'[1]7. Number of HW Contacts'!$B$4:$I$84,6,FALSE)</f>
        <v>3</v>
      </c>
      <c r="H72" s="66">
        <f>G72*(1-HLOOKUP($B72,'[1]3. Mitigation Impact on Coverag'!$BY$5:$EQ$7,3,FALSE))</f>
        <v>2.7</v>
      </c>
      <c r="I72" s="95">
        <f>HLOOKUP(B72,'[1]3. Mitigation Impact on Coverag'!ES$5:HK$7,3,FALSE)</f>
        <v>0.87</v>
      </c>
      <c r="J72" s="64">
        <f t="shared" si="61"/>
        <v>1.00905192792287E-2</v>
      </c>
      <c r="K72" s="64">
        <f t="shared" si="62"/>
        <v>7.7360647807419702E-3</v>
      </c>
      <c r="L72" s="65">
        <f t="shared" si="63"/>
        <v>11511.7285576309</v>
      </c>
      <c r="M72" s="66">
        <f t="shared" si="64"/>
        <v>29.250777921196299</v>
      </c>
      <c r="N72" s="67">
        <f t="shared" si="65"/>
        <v>9.8697211536087296E-3</v>
      </c>
      <c r="O72" s="64">
        <f t="shared" si="66"/>
        <v>7.5667862177667003E-3</v>
      </c>
      <c r="P72" s="65">
        <f t="shared" si="67"/>
        <v>11259.831899209899</v>
      </c>
      <c r="Q72" s="66">
        <f t="shared" si="68"/>
        <v>21.934885322371802</v>
      </c>
      <c r="R72" s="67">
        <f t="shared" si="69"/>
        <v>9.6709976684633495E-3</v>
      </c>
      <c r="S72" s="64">
        <f t="shared" si="70"/>
        <v>7.4144315458219102E-3</v>
      </c>
      <c r="T72" s="65">
        <f t="shared" si="71"/>
        <v>11033.1190060757</v>
      </c>
      <c r="U72" s="66">
        <f t="shared" si="72"/>
        <v>21.493233852215301</v>
      </c>
      <c r="V72" s="67">
        <f t="shared" si="73"/>
        <v>8.70812167109636E-3</v>
      </c>
      <c r="W72" s="64">
        <f t="shared" si="74"/>
        <v>6.6762266145072103E-3</v>
      </c>
      <c r="X72" s="65">
        <f t="shared" si="75"/>
        <v>9934.6257759836008</v>
      </c>
      <c r="Y72" s="66">
        <f t="shared" si="76"/>
        <v>19.353297550753801</v>
      </c>
      <c r="Z72" s="67">
        <f t="shared" si="77"/>
        <v>8.16820052494527E-3</v>
      </c>
      <c r="AA72" s="64">
        <f t="shared" si="78"/>
        <v>6.2622870691247104E-3</v>
      </c>
      <c r="AB72" s="65">
        <f t="shared" si="79"/>
        <v>8386.7930064735392</v>
      </c>
      <c r="AC72" s="66">
        <f t="shared" si="80"/>
        <v>16.338018583774399</v>
      </c>
      <c r="AD72" s="127" t="s">
        <v>98</v>
      </c>
    </row>
    <row r="73" spans="1:30" ht="15.75">
      <c r="A73" s="37" t="str">
        <f>IF(VLOOKUP(B73,'[1]1. Select Services'!$A$6:$E$77,5,FALSE)="x","x","")</f>
        <v>x</v>
      </c>
      <c r="B73" s="77">
        <v>56</v>
      </c>
      <c r="C73" s="77">
        <v>60</v>
      </c>
      <c r="D73" s="118"/>
      <c r="E73" s="78" t="s">
        <v>104</v>
      </c>
      <c r="F73" s="65">
        <f>IF(Chosen_Scenario="Mitigation Impact Only",VLOOKUP($B73,'[1]Coverage Review Updated'!$B$5:$T$78,18,FALSE),VLOOKUP($B73,'[1]Coverage Review Updated'!$B$5:$T$78,19,FALSE))</f>
        <v>104100</v>
      </c>
      <c r="G73" s="65">
        <f>VLOOKUP($B73,'[1]7. Number of HW Contacts'!$B$4:$I$84,6,FALSE)</f>
        <v>3</v>
      </c>
      <c r="H73" s="66">
        <f>G73*(1-HLOOKUP($B73,'[1]3. Mitigation Impact on Coverag'!$BY$5:$EQ$7,3,FALSE))</f>
        <v>2.7</v>
      </c>
      <c r="I73" s="95">
        <f>HLOOKUP(B73,'[1]3. Mitigation Impact on Coverag'!ES$5:HK$7,3,FALSE)</f>
        <v>0.87</v>
      </c>
      <c r="J73" s="64">
        <f t="shared" si="61"/>
        <v>1.00905192792287E-2</v>
      </c>
      <c r="K73" s="64">
        <f t="shared" si="62"/>
        <v>7.7360647807419702E-3</v>
      </c>
      <c r="L73" s="65">
        <f t="shared" si="63"/>
        <v>5073.5433651540097</v>
      </c>
      <c r="M73" s="66">
        <f t="shared" si="64"/>
        <v>12.8916425977838</v>
      </c>
      <c r="N73" s="67">
        <f t="shared" si="65"/>
        <v>9.8697211536087296E-3</v>
      </c>
      <c r="O73" s="64">
        <f t="shared" si="66"/>
        <v>7.5667862177667003E-3</v>
      </c>
      <c r="P73" s="65">
        <f t="shared" si="67"/>
        <v>4962.52540519793</v>
      </c>
      <c r="Q73" s="66">
        <f t="shared" si="68"/>
        <v>9.6673224473281305</v>
      </c>
      <c r="R73" s="67">
        <f t="shared" si="69"/>
        <v>9.6709976684633495E-3</v>
      </c>
      <c r="S73" s="64">
        <f t="shared" si="70"/>
        <v>7.4144315458219102E-3</v>
      </c>
      <c r="T73" s="65">
        <f t="shared" si="71"/>
        <v>4862.6066406963801</v>
      </c>
      <c r="U73" s="66">
        <f t="shared" si="72"/>
        <v>9.4726741914293502</v>
      </c>
      <c r="V73" s="67">
        <f t="shared" si="73"/>
        <v>8.70812167109636E-3</v>
      </c>
      <c r="W73" s="64">
        <f t="shared" si="74"/>
        <v>6.6762266145072103E-3</v>
      </c>
      <c r="X73" s="65">
        <f t="shared" si="75"/>
        <v>4378.4697005922599</v>
      </c>
      <c r="Y73" s="66">
        <f t="shared" si="76"/>
        <v>8.5295439247818603</v>
      </c>
      <c r="Z73" s="67">
        <f t="shared" si="77"/>
        <v>8.16820052494527E-3</v>
      </c>
      <c r="AA73" s="64">
        <f t="shared" si="78"/>
        <v>6.2622870691247104E-3</v>
      </c>
      <c r="AB73" s="65">
        <f t="shared" si="79"/>
        <v>3696.2961556896498</v>
      </c>
      <c r="AC73" s="66">
        <f t="shared" si="80"/>
        <v>7.2006254638904004</v>
      </c>
      <c r="AD73" s="127" t="s">
        <v>98</v>
      </c>
    </row>
    <row r="74" spans="1:30" ht="15.75">
      <c r="A74" s="37" t="str">
        <f>IF(VLOOKUP(B74,'[1]1. Select Services'!$A$6:$E$77,5,FALSE)="x","x","")</f>
        <v>x</v>
      </c>
      <c r="B74" s="77">
        <v>57</v>
      </c>
      <c r="C74" s="77">
        <v>61</v>
      </c>
      <c r="D74" s="118"/>
      <c r="E74" s="78" t="s">
        <v>105</v>
      </c>
      <c r="F74" s="65">
        <f>IF(Chosen_Scenario="Mitigation Impact Only",VLOOKUP($B74,'[1]Coverage Review Updated'!$B$5:$T$78,18,FALSE),VLOOKUP($B74,'[1]Coverage Review Updated'!$B$5:$T$78,19,FALSE))</f>
        <v>14100</v>
      </c>
      <c r="G74" s="65">
        <f>VLOOKUP($B74,'[1]7. Number of HW Contacts'!$B$4:$I$84,6,FALSE)</f>
        <v>2</v>
      </c>
      <c r="H74" s="66">
        <f>G74*(1-HLOOKUP($B74,'[1]3. Mitigation Impact on Coverag'!$BY$5:$EQ$7,3,FALSE))</f>
        <v>1.8</v>
      </c>
      <c r="I74" s="95">
        <f>HLOOKUP(B74,'[1]3. Mitigation Impact on Coverag'!ES$5:HK$7,3,FALSE)</f>
        <v>0.87</v>
      </c>
      <c r="J74" s="64">
        <f t="shared" si="61"/>
        <v>6.7383770648796696E-3</v>
      </c>
      <c r="K74" s="64">
        <f t="shared" si="62"/>
        <v>5.1660890830744202E-3</v>
      </c>
      <c r="L74" s="65">
        <f t="shared" si="63"/>
        <v>458.90369324950001</v>
      </c>
      <c r="M74" s="66">
        <f t="shared" si="64"/>
        <v>1.1660533821013299</v>
      </c>
      <c r="N74" s="67">
        <f t="shared" si="65"/>
        <v>6.5906853436624698E-3</v>
      </c>
      <c r="O74" s="64">
        <f t="shared" si="66"/>
        <v>5.05285876347456E-3</v>
      </c>
      <c r="P74" s="65">
        <f t="shared" si="67"/>
        <v>448.84544395944499</v>
      </c>
      <c r="Q74" s="66">
        <f t="shared" si="68"/>
        <v>0.87438013540951098</v>
      </c>
      <c r="R74" s="67">
        <f t="shared" si="69"/>
        <v>6.4577687215732196E-3</v>
      </c>
      <c r="S74" s="64">
        <f t="shared" si="70"/>
        <v>4.9509560198727999E-3</v>
      </c>
      <c r="T74" s="65">
        <f t="shared" si="71"/>
        <v>439.79342324530103</v>
      </c>
      <c r="U74" s="66">
        <f t="shared" si="72"/>
        <v>0.85674620995859696</v>
      </c>
      <c r="V74" s="67">
        <f t="shared" si="73"/>
        <v>5.8138729330638999E-3</v>
      </c>
      <c r="W74" s="64">
        <f t="shared" si="74"/>
        <v>4.4573025820156603E-3</v>
      </c>
      <c r="X74" s="65">
        <f t="shared" si="75"/>
        <v>395.94218836045098</v>
      </c>
      <c r="Y74" s="66">
        <f t="shared" si="76"/>
        <v>0.77132115059238504</v>
      </c>
      <c r="Z74" s="67">
        <f t="shared" si="77"/>
        <v>5.4529073358285897E-3</v>
      </c>
      <c r="AA74" s="64">
        <f t="shared" si="78"/>
        <v>4.1805622908019204E-3</v>
      </c>
      <c r="AB74" s="65">
        <f t="shared" si="79"/>
        <v>334.22341346274101</v>
      </c>
      <c r="AC74" s="66">
        <f t="shared" si="80"/>
        <v>0.65108896047296305</v>
      </c>
      <c r="AD74" s="127" t="s">
        <v>98</v>
      </c>
    </row>
    <row r="75" spans="1:30" ht="15.75">
      <c r="A75" s="37" t="str">
        <f>IF(VLOOKUP(B75,'[1]1. Select Services'!$A$6:$E$77,5,FALSE)="x","x","")</f>
        <v>x</v>
      </c>
      <c r="B75" s="77">
        <v>58</v>
      </c>
      <c r="C75" s="77">
        <v>62</v>
      </c>
      <c r="D75" s="118"/>
      <c r="E75" s="78" t="s">
        <v>106</v>
      </c>
      <c r="F75" s="65">
        <f>IF(Chosen_Scenario="Mitigation Impact Only",VLOOKUP($B75,'[1]Coverage Review Updated'!$B$5:$T$78,18,FALSE),VLOOKUP($B75,'[1]Coverage Review Updated'!$B$5:$T$78,19,FALSE))</f>
        <v>0</v>
      </c>
      <c r="G75" s="65">
        <f>VLOOKUP($B75,'[1]7. Number of HW Contacts'!$B$4:$I$84,6,FALSE)</f>
        <v>1</v>
      </c>
      <c r="H75" s="66">
        <f>G75*(1-HLOOKUP($B75,'[1]3. Mitigation Impact on Coverag'!$BY$5:$EQ$7,3,FALSE))</f>
        <v>0.9</v>
      </c>
      <c r="I75" s="95">
        <f>HLOOKUP(B75,'[1]3. Mitigation Impact on Coverag'!ES$5:HK$7,3,FALSE)</f>
        <v>0.87</v>
      </c>
      <c r="J75" s="64">
        <f t="shared" si="61"/>
        <v>3.3748834515957599E-3</v>
      </c>
      <c r="K75" s="64">
        <f t="shared" si="62"/>
        <v>2.5874106462234099E-3</v>
      </c>
      <c r="L75" s="65">
        <f t="shared" si="63"/>
        <v>0</v>
      </c>
      <c r="M75" s="66">
        <f t="shared" si="64"/>
        <v>0</v>
      </c>
      <c r="N75" s="67">
        <f t="shared" si="65"/>
        <v>3.30079028006769E-3</v>
      </c>
      <c r="O75" s="64">
        <f t="shared" si="66"/>
        <v>2.53060588138523E-3</v>
      </c>
      <c r="P75" s="65">
        <f t="shared" si="67"/>
        <v>0</v>
      </c>
      <c r="Q75" s="66">
        <f t="shared" si="68"/>
        <v>0</v>
      </c>
      <c r="R75" s="67">
        <f t="shared" si="69"/>
        <v>3.2341141078177098E-3</v>
      </c>
      <c r="S75" s="64">
        <f t="shared" si="70"/>
        <v>2.4794874826602402E-3</v>
      </c>
      <c r="T75" s="65">
        <f t="shared" si="71"/>
        <v>0</v>
      </c>
      <c r="U75" s="66">
        <f t="shared" si="72"/>
        <v>0</v>
      </c>
      <c r="V75" s="67">
        <f t="shared" si="73"/>
        <v>2.9111739333670399E-3</v>
      </c>
      <c r="W75" s="64">
        <f t="shared" si="74"/>
        <v>2.2319000155814001E-3</v>
      </c>
      <c r="X75" s="65">
        <f t="shared" si="75"/>
        <v>0</v>
      </c>
      <c r="Y75" s="66">
        <f t="shared" si="76"/>
        <v>0</v>
      </c>
      <c r="Z75" s="67">
        <f t="shared" si="77"/>
        <v>2.7301806109986098E-3</v>
      </c>
      <c r="AA75" s="64">
        <f t="shared" si="78"/>
        <v>2.09313846843227E-3</v>
      </c>
      <c r="AB75" s="65">
        <f t="shared" si="79"/>
        <v>0</v>
      </c>
      <c r="AC75" s="66">
        <f t="shared" si="80"/>
        <v>0</v>
      </c>
      <c r="AD75" s="127" t="s">
        <v>98</v>
      </c>
    </row>
    <row r="76" spans="1:30" ht="15.75">
      <c r="A76" s="37" t="str">
        <f>IF(VLOOKUP(B76,'[1]1. Select Services'!$A$6:$E$77,5,FALSE)="x","x","")</f>
        <v>x</v>
      </c>
      <c r="B76" s="77">
        <v>59</v>
      </c>
      <c r="C76" s="77">
        <v>63</v>
      </c>
      <c r="D76" s="118"/>
      <c r="E76" s="78" t="s">
        <v>107</v>
      </c>
      <c r="F76" s="65">
        <f>IF(Chosen_Scenario="Mitigation Impact Only",VLOOKUP($B76,'[1]Coverage Review Updated'!$B$5:$T$78,18,FALSE),VLOOKUP($B76,'[1]Coverage Review Updated'!$B$5:$T$78,19,FALSE))</f>
        <v>0</v>
      </c>
      <c r="G76" s="65">
        <f>VLOOKUP($B76,'[1]7. Number of HW Contacts'!$B$4:$I$84,6,FALSE)</f>
        <v>3</v>
      </c>
      <c r="H76" s="66">
        <f>G76*(1-HLOOKUP($B76,'[1]3. Mitigation Impact on Coverag'!$BY$5:$EQ$7,3,FALSE))</f>
        <v>2.7</v>
      </c>
      <c r="I76" s="95">
        <f>HLOOKUP(B76,'[1]3. Mitigation Impact on Coverag'!ES$5:HK$7,3,FALSE)</f>
        <v>0.87</v>
      </c>
      <c r="J76" s="64">
        <f t="shared" si="61"/>
        <v>1.00905192792287E-2</v>
      </c>
      <c r="K76" s="64">
        <f t="shared" si="62"/>
        <v>7.7360647807419702E-3</v>
      </c>
      <c r="L76" s="65">
        <f t="shared" si="63"/>
        <v>0</v>
      </c>
      <c r="M76" s="66">
        <f t="shared" si="64"/>
        <v>0</v>
      </c>
      <c r="N76" s="67">
        <f t="shared" si="65"/>
        <v>9.8697211536087296E-3</v>
      </c>
      <c r="O76" s="64">
        <f t="shared" si="66"/>
        <v>7.5667862177667003E-3</v>
      </c>
      <c r="P76" s="65">
        <f t="shared" si="67"/>
        <v>0</v>
      </c>
      <c r="Q76" s="66">
        <f t="shared" si="68"/>
        <v>0</v>
      </c>
      <c r="R76" s="67">
        <f t="shared" si="69"/>
        <v>9.6709976684633495E-3</v>
      </c>
      <c r="S76" s="64">
        <f t="shared" si="70"/>
        <v>7.4144315458219102E-3</v>
      </c>
      <c r="T76" s="65">
        <f t="shared" si="71"/>
        <v>0</v>
      </c>
      <c r="U76" s="66">
        <f t="shared" si="72"/>
        <v>0</v>
      </c>
      <c r="V76" s="67">
        <f t="shared" si="73"/>
        <v>8.70812167109636E-3</v>
      </c>
      <c r="W76" s="64">
        <f t="shared" si="74"/>
        <v>6.6762266145072103E-3</v>
      </c>
      <c r="X76" s="65">
        <f t="shared" si="75"/>
        <v>0</v>
      </c>
      <c r="Y76" s="66">
        <f t="shared" si="76"/>
        <v>0</v>
      </c>
      <c r="Z76" s="67">
        <f t="shared" si="77"/>
        <v>8.16820052494527E-3</v>
      </c>
      <c r="AA76" s="64">
        <f t="shared" si="78"/>
        <v>6.2622870691247104E-3</v>
      </c>
      <c r="AB76" s="65">
        <f t="shared" si="79"/>
        <v>0</v>
      </c>
      <c r="AC76" s="66">
        <f t="shared" si="80"/>
        <v>0</v>
      </c>
      <c r="AD76" s="127" t="s">
        <v>98</v>
      </c>
    </row>
    <row r="77" spans="1:30" ht="15.75">
      <c r="A77" s="37" t="str">
        <f>IF(VLOOKUP(B77,'[1]1. Select Services'!$A$6:$E$77,5,FALSE)="x","x","")</f>
        <v>x</v>
      </c>
      <c r="B77" s="77">
        <v>60</v>
      </c>
      <c r="C77" s="77">
        <v>64</v>
      </c>
      <c r="D77" s="118"/>
      <c r="E77" s="78" t="s">
        <v>108</v>
      </c>
      <c r="F77" s="65">
        <f>IF(Chosen_Scenario="Mitigation Impact Only",VLOOKUP($B77,'[1]Coverage Review Updated'!$B$5:$T$78,18,FALSE),VLOOKUP($B77,'[1]Coverage Review Updated'!$B$5:$T$78,19,FALSE))</f>
        <v>230500</v>
      </c>
      <c r="G77" s="65">
        <f>VLOOKUP($B77,'[1]7. Number of HW Contacts'!$B$4:$I$84,6,FALSE)</f>
        <v>1</v>
      </c>
      <c r="H77" s="66">
        <f>G77*(1-HLOOKUP($B77,'[1]3. Mitigation Impact on Coverag'!$BY$5:$EQ$7,3,FALSE))</f>
        <v>0.9</v>
      </c>
      <c r="I77" s="95">
        <f>HLOOKUP(B77,'[1]3. Mitigation Impact on Coverag'!ES$5:HK$7,3,FALSE)</f>
        <v>0.87</v>
      </c>
      <c r="J77" s="64">
        <f t="shared" si="61"/>
        <v>3.3748834515957599E-3</v>
      </c>
      <c r="K77" s="64">
        <f t="shared" si="62"/>
        <v>2.5874106462234099E-3</v>
      </c>
      <c r="L77" s="65">
        <f t="shared" si="63"/>
        <v>3757.3083699133299</v>
      </c>
      <c r="M77" s="66">
        <f t="shared" si="64"/>
        <v>9.5471494276099396</v>
      </c>
      <c r="N77" s="67">
        <f t="shared" si="65"/>
        <v>3.30079028006769E-3</v>
      </c>
      <c r="O77" s="64">
        <f t="shared" si="66"/>
        <v>2.53060588138523E-3</v>
      </c>
      <c r="P77" s="65">
        <f t="shared" si="67"/>
        <v>3674.81933065356</v>
      </c>
      <c r="Q77" s="66">
        <f t="shared" si="68"/>
        <v>7.1587872110219504</v>
      </c>
      <c r="R77" s="67">
        <f t="shared" si="69"/>
        <v>3.2341141078177098E-3</v>
      </c>
      <c r="S77" s="64">
        <f t="shared" si="70"/>
        <v>2.4794874826602402E-3</v>
      </c>
      <c r="T77" s="65">
        <f t="shared" si="71"/>
        <v>3600.5877479450701</v>
      </c>
      <c r="U77" s="66">
        <f t="shared" si="72"/>
        <v>7.0141792569615502</v>
      </c>
      <c r="V77" s="67">
        <f t="shared" si="73"/>
        <v>2.9111739333670399E-3</v>
      </c>
      <c r="W77" s="64">
        <f t="shared" si="74"/>
        <v>2.2319000155814001E-3</v>
      </c>
      <c r="X77" s="65">
        <f t="shared" si="75"/>
        <v>3241.0536076265198</v>
      </c>
      <c r="Y77" s="66">
        <f t="shared" si="76"/>
        <v>6.3137833533674401</v>
      </c>
      <c r="Z77" s="67">
        <f t="shared" si="77"/>
        <v>2.7301806109986098E-3</v>
      </c>
      <c r="AA77" s="64">
        <f t="shared" si="78"/>
        <v>2.09313846843227E-3</v>
      </c>
      <c r="AB77" s="65">
        <f t="shared" si="79"/>
        <v>2735.5959242405302</v>
      </c>
      <c r="AC77" s="66">
        <f t="shared" si="80"/>
        <v>5.3291188912664103</v>
      </c>
      <c r="AD77" s="127" t="s">
        <v>98</v>
      </c>
    </row>
    <row r="78" spans="1:30" ht="15.75">
      <c r="A78" s="37" t="str">
        <f>IF(VLOOKUP(B78,'[1]1. Select Services'!$A$6:$E$77,5,FALSE)="x","x","")</f>
        <v>x</v>
      </c>
      <c r="B78" s="80">
        <v>61</v>
      </c>
      <c r="C78" s="80">
        <v>47</v>
      </c>
      <c r="D78" s="119" t="s">
        <v>35</v>
      </c>
      <c r="E78" s="81" t="s">
        <v>109</v>
      </c>
      <c r="F78" s="82">
        <f>IF(Chosen_Scenario="Mitigation Impact Only",VLOOKUP($B78,'[1]Coverage Review Updated'!$B$5:$T$78,18,FALSE),VLOOKUP($B78,'[1]Coverage Review Updated'!$B$5:$T$78,19,FALSE))</f>
        <v>0</v>
      </c>
      <c r="G78" s="82">
        <f>VLOOKUP($B78,'[1]7. Number of HW Contacts'!$B$4:$I$84,6,FALSE)</f>
        <v>2</v>
      </c>
      <c r="H78" s="83">
        <f>G78*(1-HLOOKUP($B78,'[1]3. Mitigation Impact on Coverag'!$BY$5:$EQ$7,3,FALSE))</f>
        <v>1.8</v>
      </c>
      <c r="I78" s="96">
        <f>HLOOKUP(B78,'[1]3. Mitigation Impact on Coverag'!ES$5:HK$7,3,FALSE)</f>
        <v>0.89</v>
      </c>
      <c r="J78" s="97">
        <f t="shared" si="61"/>
        <v>6.7383770648796696E-3</v>
      </c>
      <c r="K78" s="97">
        <f t="shared" si="62"/>
        <v>5.1660890830744202E-3</v>
      </c>
      <c r="L78" s="82">
        <f t="shared" si="63"/>
        <v>0</v>
      </c>
      <c r="M78" s="83">
        <f t="shared" si="64"/>
        <v>0</v>
      </c>
      <c r="N78" s="98">
        <f t="shared" si="65"/>
        <v>6.5906853436624698E-3</v>
      </c>
      <c r="O78" s="97">
        <f t="shared" si="66"/>
        <v>5.05285876347456E-3</v>
      </c>
      <c r="P78" s="82">
        <f t="shared" si="67"/>
        <v>0</v>
      </c>
      <c r="Q78" s="83">
        <f t="shared" si="68"/>
        <v>0</v>
      </c>
      <c r="R78" s="98">
        <f t="shared" si="69"/>
        <v>6.4577687215732196E-3</v>
      </c>
      <c r="S78" s="97">
        <f t="shared" si="70"/>
        <v>4.9509560198727999E-3</v>
      </c>
      <c r="T78" s="82">
        <f t="shared" si="71"/>
        <v>0</v>
      </c>
      <c r="U78" s="83">
        <f t="shared" si="72"/>
        <v>0</v>
      </c>
      <c r="V78" s="98">
        <f t="shared" si="73"/>
        <v>5.8138729330638999E-3</v>
      </c>
      <c r="W78" s="97">
        <f t="shared" si="74"/>
        <v>4.4573025820156603E-3</v>
      </c>
      <c r="X78" s="82">
        <f t="shared" si="75"/>
        <v>0</v>
      </c>
      <c r="Y78" s="83">
        <f t="shared" si="76"/>
        <v>0</v>
      </c>
      <c r="Z78" s="98">
        <f t="shared" si="77"/>
        <v>5.4233416439649603E-3</v>
      </c>
      <c r="AA78" s="97">
        <f t="shared" si="78"/>
        <v>4.1578952603731397E-3</v>
      </c>
      <c r="AB78" s="82">
        <f t="shared" si="79"/>
        <v>0</v>
      </c>
      <c r="AC78" s="83">
        <f t="shared" si="80"/>
        <v>0</v>
      </c>
      <c r="AD78" s="127" t="s">
        <v>98</v>
      </c>
    </row>
    <row r="79" spans="1:30" ht="15.75">
      <c r="A79" s="37" t="str">
        <f>IF(VLOOKUP(B79,'[1]1. Select Services'!$A$6:$E$77,5,FALSE)="x","x","")</f>
        <v>x</v>
      </c>
      <c r="B79" s="80">
        <v>62</v>
      </c>
      <c r="C79" s="80">
        <v>48</v>
      </c>
      <c r="D79" s="119"/>
      <c r="E79" s="81" t="s">
        <v>110</v>
      </c>
      <c r="F79" s="82">
        <f>IF(Chosen_Scenario="Mitigation Impact Only",VLOOKUP($B79,'[1]Coverage Review Updated'!$B$5:$T$78,18,FALSE),VLOOKUP($B79,'[1]Coverage Review Updated'!$B$5:$T$78,19,FALSE))</f>
        <v>0</v>
      </c>
      <c r="G79" s="82">
        <f>VLOOKUP($B79,'[1]7. Number of HW Contacts'!$B$4:$I$84,6,FALSE)</f>
        <v>2</v>
      </c>
      <c r="H79" s="83">
        <f>G79*(1-HLOOKUP($B79,'[1]3. Mitigation Impact on Coverag'!$BY$5:$EQ$7,3,FALSE))</f>
        <v>1.8</v>
      </c>
      <c r="I79" s="96">
        <f>HLOOKUP(B79,'[1]3. Mitigation Impact on Coverag'!ES$5:HK$7,3,FALSE)</f>
        <v>0.89</v>
      </c>
      <c r="J79" s="97">
        <f t="shared" si="61"/>
        <v>6.7383770648796696E-3</v>
      </c>
      <c r="K79" s="97">
        <f t="shared" si="62"/>
        <v>5.1660890830744202E-3</v>
      </c>
      <c r="L79" s="82">
        <f t="shared" si="63"/>
        <v>0</v>
      </c>
      <c r="M79" s="83">
        <f t="shared" si="64"/>
        <v>0</v>
      </c>
      <c r="N79" s="98">
        <f t="shared" si="65"/>
        <v>6.5906853436624698E-3</v>
      </c>
      <c r="O79" s="97">
        <f t="shared" si="66"/>
        <v>5.05285876347456E-3</v>
      </c>
      <c r="P79" s="82">
        <f t="shared" si="67"/>
        <v>0</v>
      </c>
      <c r="Q79" s="83">
        <f t="shared" si="68"/>
        <v>0</v>
      </c>
      <c r="R79" s="98">
        <f t="shared" si="69"/>
        <v>6.4577687215732196E-3</v>
      </c>
      <c r="S79" s="97">
        <f t="shared" si="70"/>
        <v>4.9509560198727999E-3</v>
      </c>
      <c r="T79" s="82">
        <f t="shared" si="71"/>
        <v>0</v>
      </c>
      <c r="U79" s="83">
        <f t="shared" si="72"/>
        <v>0</v>
      </c>
      <c r="V79" s="98">
        <f t="shared" si="73"/>
        <v>5.8138729330638999E-3</v>
      </c>
      <c r="W79" s="97">
        <f t="shared" si="74"/>
        <v>4.4573025820156603E-3</v>
      </c>
      <c r="X79" s="82">
        <f t="shared" si="75"/>
        <v>0</v>
      </c>
      <c r="Y79" s="83">
        <f t="shared" si="76"/>
        <v>0</v>
      </c>
      <c r="Z79" s="98">
        <f t="shared" si="77"/>
        <v>5.4233416439649603E-3</v>
      </c>
      <c r="AA79" s="97">
        <f t="shared" si="78"/>
        <v>4.1578952603731397E-3</v>
      </c>
      <c r="AB79" s="82">
        <f t="shared" si="79"/>
        <v>0</v>
      </c>
      <c r="AC79" s="83">
        <f t="shared" si="80"/>
        <v>0</v>
      </c>
      <c r="AD79" s="127" t="s">
        <v>98</v>
      </c>
    </row>
    <row r="80" spans="1:30" ht="15.75">
      <c r="A80" s="37" t="str">
        <f>IF(VLOOKUP(B80,'[1]1. Select Services'!$A$6:$E$77,5,FALSE)="x","x","")</f>
        <v>x</v>
      </c>
      <c r="B80" s="80">
        <v>63</v>
      </c>
      <c r="C80" s="80">
        <v>71</v>
      </c>
      <c r="D80" s="119"/>
      <c r="E80" s="84" t="s">
        <v>111</v>
      </c>
      <c r="F80" s="82">
        <f>IF(Chosen_Scenario="Mitigation Impact Only",VLOOKUP($B80,'[1]Coverage Review Updated'!$B$5:$T$78,18,FALSE),VLOOKUP($B80,'[1]Coverage Review Updated'!$B$5:$T$78,19,FALSE))</f>
        <v>2876500</v>
      </c>
      <c r="G80" s="82">
        <f>VLOOKUP($B80,'[1]7. Number of HW Contacts'!$B$4:$I$84,6,FALSE)</f>
        <v>1</v>
      </c>
      <c r="H80" s="83">
        <f>G80*(1-HLOOKUP($B80,'[1]3. Mitigation Impact on Coverag'!$BY$5:$EQ$7,3,FALSE))</f>
        <v>0.9</v>
      </c>
      <c r="I80" s="96">
        <f>HLOOKUP(B80,'[1]3. Mitigation Impact on Coverag'!ES$5:HK$7,3,FALSE)</f>
        <v>0.89</v>
      </c>
      <c r="J80" s="97">
        <f t="shared" si="61"/>
        <v>3.3748834515957599E-3</v>
      </c>
      <c r="K80" s="97">
        <f t="shared" si="62"/>
        <v>2.5874106462234099E-3</v>
      </c>
      <c r="L80" s="82">
        <f t="shared" si="63"/>
        <v>46888.926360328398</v>
      </c>
      <c r="M80" s="83">
        <f t="shared" si="64"/>
        <v>119.1426261541</v>
      </c>
      <c r="N80" s="98">
        <f t="shared" si="65"/>
        <v>3.30079028006769E-3</v>
      </c>
      <c r="O80" s="97">
        <f t="shared" si="66"/>
        <v>2.53060588138523E-3</v>
      </c>
      <c r="P80" s="82">
        <f t="shared" si="67"/>
        <v>45859.513252169003</v>
      </c>
      <c r="Q80" s="83">
        <f t="shared" si="68"/>
        <v>89.337316323230596</v>
      </c>
      <c r="R80" s="98">
        <f t="shared" si="69"/>
        <v>3.2341141078177098E-3</v>
      </c>
      <c r="S80" s="97">
        <f t="shared" si="70"/>
        <v>2.4794874826602402E-3</v>
      </c>
      <c r="T80" s="82">
        <f t="shared" si="71"/>
        <v>44933.148186394799</v>
      </c>
      <c r="U80" s="83">
        <f t="shared" si="72"/>
        <v>87.532696887852097</v>
      </c>
      <c r="V80" s="98">
        <f t="shared" si="73"/>
        <v>2.9111739333670399E-3</v>
      </c>
      <c r="W80" s="97">
        <f t="shared" si="74"/>
        <v>2.2319000155814001E-3</v>
      </c>
      <c r="X80" s="82">
        <f t="shared" si="75"/>
        <v>40446.380487365299</v>
      </c>
      <c r="Y80" s="83">
        <f t="shared" si="76"/>
        <v>78.792181414149496</v>
      </c>
      <c r="Z80" s="98">
        <f t="shared" si="77"/>
        <v>2.7153574049005899E-3</v>
      </c>
      <c r="AA80" s="97">
        <f t="shared" si="78"/>
        <v>2.0817740104237801E-3</v>
      </c>
      <c r="AB80" s="82">
        <f t="shared" si="79"/>
        <v>33953.224075379301</v>
      </c>
      <c r="AC80" s="83">
        <f t="shared" si="80"/>
        <v>66.143090153104197</v>
      </c>
      <c r="AD80" s="127" t="s">
        <v>98</v>
      </c>
    </row>
    <row r="81" spans="1:30" ht="15.75">
      <c r="A81" s="37" t="str">
        <f>IF(VLOOKUP(B81,'[1]1. Select Services'!$A$6:$E$77,5,FALSE)="x","x","")</f>
        <v>x</v>
      </c>
      <c r="B81" s="80">
        <v>64</v>
      </c>
      <c r="C81" s="80">
        <v>72</v>
      </c>
      <c r="D81" s="119"/>
      <c r="E81" s="84" t="s">
        <v>112</v>
      </c>
      <c r="F81" s="82">
        <f>IF(Chosen_Scenario="Mitigation Impact Only",VLOOKUP($B81,'[1]Coverage Review Updated'!$B$5:$T$78,18,FALSE),VLOOKUP($B81,'[1]Coverage Review Updated'!$B$5:$T$78,19,FALSE))</f>
        <v>0</v>
      </c>
      <c r="G81" s="82">
        <f>VLOOKUP($B81,'[1]7. Number of HW Contacts'!$B$4:$I$84,6,FALSE)</f>
        <v>1</v>
      </c>
      <c r="H81" s="83">
        <f>G81*(1-HLOOKUP($B81,'[1]3. Mitigation Impact on Coverag'!$BY$5:$EQ$7,3,FALSE))</f>
        <v>0.9</v>
      </c>
      <c r="I81" s="96">
        <f>HLOOKUP(B81,'[1]3. Mitigation Impact on Coverag'!ES$5:HK$7,3,FALSE)</f>
        <v>0.89</v>
      </c>
      <c r="J81" s="97">
        <f t="shared" si="61"/>
        <v>3.3748834515957599E-3</v>
      </c>
      <c r="K81" s="97">
        <f t="shared" si="62"/>
        <v>2.5874106462234099E-3</v>
      </c>
      <c r="L81" s="82">
        <f t="shared" si="63"/>
        <v>0</v>
      </c>
      <c r="M81" s="83">
        <f t="shared" si="64"/>
        <v>0</v>
      </c>
      <c r="N81" s="98">
        <f t="shared" si="65"/>
        <v>3.30079028006769E-3</v>
      </c>
      <c r="O81" s="97">
        <f t="shared" si="66"/>
        <v>2.53060588138523E-3</v>
      </c>
      <c r="P81" s="82">
        <f t="shared" si="67"/>
        <v>0</v>
      </c>
      <c r="Q81" s="83">
        <f t="shared" si="68"/>
        <v>0</v>
      </c>
      <c r="R81" s="98">
        <f t="shared" si="69"/>
        <v>3.2341141078177098E-3</v>
      </c>
      <c r="S81" s="97">
        <f t="shared" si="70"/>
        <v>2.4794874826602402E-3</v>
      </c>
      <c r="T81" s="82">
        <f t="shared" si="71"/>
        <v>0</v>
      </c>
      <c r="U81" s="83">
        <f t="shared" si="72"/>
        <v>0</v>
      </c>
      <c r="V81" s="98">
        <f t="shared" si="73"/>
        <v>2.9111739333670399E-3</v>
      </c>
      <c r="W81" s="97">
        <f t="shared" si="74"/>
        <v>2.2319000155814001E-3</v>
      </c>
      <c r="X81" s="82">
        <f t="shared" si="75"/>
        <v>0</v>
      </c>
      <c r="Y81" s="83">
        <f t="shared" si="76"/>
        <v>0</v>
      </c>
      <c r="Z81" s="98">
        <f t="shared" si="77"/>
        <v>2.7153574049005899E-3</v>
      </c>
      <c r="AA81" s="97">
        <f t="shared" si="78"/>
        <v>2.0817740104237801E-3</v>
      </c>
      <c r="AB81" s="82">
        <f t="shared" si="79"/>
        <v>0</v>
      </c>
      <c r="AC81" s="83">
        <f t="shared" si="80"/>
        <v>0</v>
      </c>
      <c r="AD81" s="127" t="s">
        <v>98</v>
      </c>
    </row>
    <row r="82" spans="1:30" ht="15.75">
      <c r="A82" s="37" t="str">
        <f>IF(VLOOKUP(B82,'[1]1. Select Services'!$A$6:$E$77,5,FALSE)="x","x","")</f>
        <v>x</v>
      </c>
      <c r="B82" s="80">
        <v>65</v>
      </c>
      <c r="C82" s="80">
        <v>73</v>
      </c>
      <c r="D82" s="119"/>
      <c r="E82" s="84" t="s">
        <v>113</v>
      </c>
      <c r="F82" s="82">
        <f>IF(Chosen_Scenario="Mitigation Impact Only",VLOOKUP($B82,'[1]Coverage Review Updated'!$B$5:$T$78,18,FALSE),VLOOKUP($B82,'[1]Coverage Review Updated'!$B$5:$T$78,19,FALSE))</f>
        <v>838100</v>
      </c>
      <c r="G82" s="82">
        <f>VLOOKUP($B82,'[1]7. Number of HW Contacts'!$B$4:$I$84,6,FALSE)</f>
        <v>1</v>
      </c>
      <c r="H82" s="83">
        <f>G82*(1-HLOOKUP($B82,'[1]3. Mitigation Impact on Coverag'!$BY$5:$EQ$7,3,FALSE))</f>
        <v>0.9</v>
      </c>
      <c r="I82" s="96">
        <f>HLOOKUP(B82,'[1]3. Mitigation Impact on Coverag'!ES$5:HK$7,3,FALSE)</f>
        <v>0.89</v>
      </c>
      <c r="J82" s="97">
        <f t="shared" si="61"/>
        <v>3.3748834515957599E-3</v>
      </c>
      <c r="K82" s="97">
        <f t="shared" si="62"/>
        <v>2.5874106462234099E-3</v>
      </c>
      <c r="L82" s="82">
        <f t="shared" si="63"/>
        <v>13661.605834378999</v>
      </c>
      <c r="M82" s="83">
        <f t="shared" si="64"/>
        <v>34.7135181573965</v>
      </c>
      <c r="N82" s="98">
        <f t="shared" si="65"/>
        <v>3.30079028006769E-3</v>
      </c>
      <c r="O82" s="97">
        <f t="shared" si="66"/>
        <v>2.53060588138523E-3</v>
      </c>
      <c r="P82" s="82">
        <f t="shared" si="67"/>
        <v>13361.674971890399</v>
      </c>
      <c r="Q82" s="83">
        <f t="shared" si="68"/>
        <v>26.029412414566199</v>
      </c>
      <c r="R82" s="98">
        <f t="shared" si="69"/>
        <v>3.2341141078177098E-3</v>
      </c>
      <c r="S82" s="97">
        <f t="shared" si="70"/>
        <v>2.4794874826602402E-3</v>
      </c>
      <c r="T82" s="82">
        <f t="shared" si="71"/>
        <v>13091.7682930706</v>
      </c>
      <c r="U82" s="83">
        <f t="shared" si="72"/>
        <v>25.503616638869701</v>
      </c>
      <c r="V82" s="98">
        <f t="shared" si="73"/>
        <v>2.9111739333670399E-3</v>
      </c>
      <c r="W82" s="97">
        <f t="shared" si="74"/>
        <v>2.2319000155814001E-3</v>
      </c>
      <c r="X82" s="82">
        <f t="shared" si="75"/>
        <v>11784.4990392702</v>
      </c>
      <c r="Y82" s="83">
        <f t="shared" si="76"/>
        <v>22.9569710562137</v>
      </c>
      <c r="Z82" s="98">
        <f t="shared" si="77"/>
        <v>2.7153574049005899E-3</v>
      </c>
      <c r="AA82" s="97">
        <f t="shared" si="78"/>
        <v>2.0817740104237801E-3</v>
      </c>
      <c r="AB82" s="82">
        <f t="shared" si="79"/>
        <v>9892.6463054320993</v>
      </c>
      <c r="AC82" s="83">
        <f t="shared" si="80"/>
        <v>19.271518810122199</v>
      </c>
      <c r="AD82" s="127" t="s">
        <v>98</v>
      </c>
    </row>
    <row r="83" spans="1:30" ht="15.75">
      <c r="A83" s="37" t="str">
        <f>IF(VLOOKUP(B83,'[1]1. Select Services'!$A$6:$E$77,5,FALSE)="x","x","")</f>
        <v>x</v>
      </c>
      <c r="B83" s="80">
        <v>66</v>
      </c>
      <c r="C83" s="80">
        <v>74</v>
      </c>
      <c r="D83" s="119"/>
      <c r="E83" s="84" t="s">
        <v>114</v>
      </c>
      <c r="F83" s="82">
        <f>IF(Chosen_Scenario="Mitigation Impact Only",VLOOKUP($B83,'[1]Coverage Review Updated'!$B$5:$T$78,18,FALSE),VLOOKUP($B83,'[1]Coverage Review Updated'!$B$5:$T$78,19,FALSE))</f>
        <v>1441800</v>
      </c>
      <c r="G83" s="82">
        <f>VLOOKUP($B83,'[1]7. Number of HW Contacts'!$B$4:$I$84,6,FALSE)</f>
        <v>1</v>
      </c>
      <c r="H83" s="83">
        <f>G83*(1-HLOOKUP($B83,'[1]3. Mitigation Impact on Coverag'!$BY$5:$EQ$7,3,FALSE))</f>
        <v>0.9</v>
      </c>
      <c r="I83" s="96">
        <f>HLOOKUP(B83,'[1]3. Mitigation Impact on Coverag'!ES$5:HK$7,3,FALSE)</f>
        <v>0.89</v>
      </c>
      <c r="J83" s="97">
        <f t="shared" si="61"/>
        <v>3.3748834515957599E-3</v>
      </c>
      <c r="K83" s="97">
        <f t="shared" si="62"/>
        <v>2.5874106462234099E-3</v>
      </c>
      <c r="L83" s="82">
        <f t="shared" si="63"/>
        <v>23502.330619266999</v>
      </c>
      <c r="M83" s="83">
        <f t="shared" si="64"/>
        <v>59.718351604026097</v>
      </c>
      <c r="N83" s="98">
        <f t="shared" si="65"/>
        <v>3.30079028006769E-3</v>
      </c>
      <c r="O83" s="97">
        <f t="shared" si="66"/>
        <v>2.53060588138523E-3</v>
      </c>
      <c r="P83" s="82">
        <f t="shared" si="67"/>
        <v>22986.353626621702</v>
      </c>
      <c r="Q83" s="83">
        <f t="shared" si="68"/>
        <v>44.778912801958597</v>
      </c>
      <c r="R83" s="98">
        <f t="shared" si="69"/>
        <v>3.2341141078177098E-3</v>
      </c>
      <c r="S83" s="97">
        <f t="shared" si="70"/>
        <v>2.4794874826602402E-3</v>
      </c>
      <c r="T83" s="82">
        <f t="shared" si="71"/>
        <v>22522.027830747102</v>
      </c>
      <c r="U83" s="83">
        <f t="shared" si="72"/>
        <v>43.874375933566903</v>
      </c>
      <c r="V83" s="98">
        <f t="shared" si="73"/>
        <v>2.9111739333670399E-3</v>
      </c>
      <c r="W83" s="97">
        <f t="shared" si="74"/>
        <v>2.2319000155814001E-3</v>
      </c>
      <c r="X83" s="82">
        <f t="shared" si="75"/>
        <v>20273.106687531101</v>
      </c>
      <c r="Y83" s="83">
        <f t="shared" si="76"/>
        <v>39.493331188222001</v>
      </c>
      <c r="Z83" s="98">
        <f t="shared" si="77"/>
        <v>2.7153574049005899E-3</v>
      </c>
      <c r="AA83" s="97">
        <f t="shared" si="78"/>
        <v>2.0817740104237801E-3</v>
      </c>
      <c r="AB83" s="82">
        <f t="shared" si="79"/>
        <v>17018.515025858502</v>
      </c>
      <c r="AC83" s="83">
        <f t="shared" si="80"/>
        <v>33.153174824524797</v>
      </c>
      <c r="AD83" s="127" t="s">
        <v>98</v>
      </c>
    </row>
    <row r="84" spans="1:30" ht="15.75">
      <c r="A84" s="37" t="str">
        <f>IF(VLOOKUP(B84,'[1]1. Select Services'!$A$6:$E$77,5,FALSE)="x","x","")</f>
        <v>x</v>
      </c>
      <c r="B84" s="80">
        <v>67</v>
      </c>
      <c r="C84" s="80">
        <v>75</v>
      </c>
      <c r="D84" s="119"/>
      <c r="E84" s="84" t="s">
        <v>115</v>
      </c>
      <c r="F84" s="82">
        <f>IF(Chosen_Scenario="Mitigation Impact Only",VLOOKUP($B84,'[1]Coverage Review Updated'!$B$5:$T$78,18,FALSE),VLOOKUP($B84,'[1]Coverage Review Updated'!$B$5:$T$78,19,FALSE))</f>
        <v>0</v>
      </c>
      <c r="G84" s="82">
        <f>VLOOKUP($B84,'[1]7. Number of HW Contacts'!$B$4:$I$84,6,FALSE)</f>
        <v>1</v>
      </c>
      <c r="H84" s="83">
        <f>G84*(1-HLOOKUP($B84,'[1]3. Mitigation Impact on Coverag'!$BY$5:$EQ$7,3,FALSE))</f>
        <v>0.9</v>
      </c>
      <c r="I84" s="96">
        <f>HLOOKUP(B84,'[1]3. Mitigation Impact on Coverag'!ES$5:HK$7,3,FALSE)</f>
        <v>0.89</v>
      </c>
      <c r="J84" s="97">
        <f t="shared" si="61"/>
        <v>3.3748834515957599E-3</v>
      </c>
      <c r="K84" s="97">
        <f t="shared" si="62"/>
        <v>2.5874106462234099E-3</v>
      </c>
      <c r="L84" s="82">
        <f t="shared" si="63"/>
        <v>0</v>
      </c>
      <c r="M84" s="83">
        <f t="shared" si="64"/>
        <v>0</v>
      </c>
      <c r="N84" s="98">
        <f t="shared" si="65"/>
        <v>3.30079028006769E-3</v>
      </c>
      <c r="O84" s="97">
        <f t="shared" si="66"/>
        <v>2.53060588138523E-3</v>
      </c>
      <c r="P84" s="82">
        <f t="shared" si="67"/>
        <v>0</v>
      </c>
      <c r="Q84" s="83">
        <f t="shared" si="68"/>
        <v>0</v>
      </c>
      <c r="R84" s="98">
        <f t="shared" si="69"/>
        <v>3.2341141078177098E-3</v>
      </c>
      <c r="S84" s="97">
        <f t="shared" si="70"/>
        <v>2.4794874826602402E-3</v>
      </c>
      <c r="T84" s="82">
        <f t="shared" si="71"/>
        <v>0</v>
      </c>
      <c r="U84" s="83">
        <f t="shared" si="72"/>
        <v>0</v>
      </c>
      <c r="V84" s="98">
        <f t="shared" si="73"/>
        <v>2.9111739333670399E-3</v>
      </c>
      <c r="W84" s="97">
        <f t="shared" si="74"/>
        <v>2.2319000155814001E-3</v>
      </c>
      <c r="X84" s="82">
        <f t="shared" si="75"/>
        <v>0</v>
      </c>
      <c r="Y84" s="83">
        <f t="shared" si="76"/>
        <v>0</v>
      </c>
      <c r="Z84" s="98">
        <f t="shared" si="77"/>
        <v>2.7153574049005899E-3</v>
      </c>
      <c r="AA84" s="97">
        <f t="shared" si="78"/>
        <v>2.0817740104237801E-3</v>
      </c>
      <c r="AB84" s="82">
        <f t="shared" si="79"/>
        <v>0</v>
      </c>
      <c r="AC84" s="83">
        <f t="shared" si="80"/>
        <v>0</v>
      </c>
      <c r="AD84" s="127" t="s">
        <v>98</v>
      </c>
    </row>
    <row r="85" spans="1:30" ht="15.75">
      <c r="A85" s="37" t="str">
        <f>IF(VLOOKUP(B85,'[1]1. Select Services'!$A$6:$E$77,5,FALSE)="x","x","")</f>
        <v>x</v>
      </c>
      <c r="B85" s="80">
        <v>68</v>
      </c>
      <c r="C85" s="80">
        <v>76</v>
      </c>
      <c r="D85" s="119"/>
      <c r="E85" s="84" t="s">
        <v>116</v>
      </c>
      <c r="F85" s="82">
        <f>IF(Chosen_Scenario="Mitigation Impact Only",VLOOKUP($B85,'[1]Coverage Review Updated'!$B$5:$T$78,18,FALSE),VLOOKUP($B85,'[1]Coverage Review Updated'!$B$5:$T$78,19,FALSE))</f>
        <v>1084200</v>
      </c>
      <c r="G85" s="82">
        <f>VLOOKUP($B85,'[1]7. Number of HW Contacts'!$B$4:$I$84,6,FALSE)</f>
        <v>2</v>
      </c>
      <c r="H85" s="83">
        <f>G85*(1-HLOOKUP($B85,'[1]3. Mitigation Impact on Coverag'!$BY$5:$EQ$7,3,FALSE))</f>
        <v>1.8</v>
      </c>
      <c r="I85" s="96">
        <f>HLOOKUP(B85,'[1]3. Mitigation Impact on Coverag'!ES$5:HK$7,3,FALSE)</f>
        <v>0.89</v>
      </c>
      <c r="J85" s="97">
        <f t="shared" si="61"/>
        <v>6.7383770648796696E-3</v>
      </c>
      <c r="K85" s="97">
        <f t="shared" si="62"/>
        <v>5.1660890830744202E-3</v>
      </c>
      <c r="L85" s="82">
        <f t="shared" si="63"/>
        <v>35286.764838376497</v>
      </c>
      <c r="M85" s="83">
        <f t="shared" si="64"/>
        <v>89.662062189663601</v>
      </c>
      <c r="N85" s="98">
        <f t="shared" si="65"/>
        <v>6.5906853436624698E-3</v>
      </c>
      <c r="O85" s="97">
        <f t="shared" si="66"/>
        <v>5.05285876347456E-3</v>
      </c>
      <c r="P85" s="82">
        <f t="shared" si="67"/>
        <v>34513.3496695625</v>
      </c>
      <c r="Q85" s="83">
        <f t="shared" si="68"/>
        <v>67.234251263190899</v>
      </c>
      <c r="R85" s="98">
        <f t="shared" si="69"/>
        <v>6.4577687215732196E-3</v>
      </c>
      <c r="S85" s="97">
        <f t="shared" si="70"/>
        <v>4.9509560198727999E-3</v>
      </c>
      <c r="T85" s="82">
        <f t="shared" si="71"/>
        <v>33817.307055500401</v>
      </c>
      <c r="U85" s="83">
        <f t="shared" si="72"/>
        <v>65.878314952986599</v>
      </c>
      <c r="V85" s="98">
        <f t="shared" si="73"/>
        <v>5.8138729330638999E-3</v>
      </c>
      <c r="W85" s="97">
        <f t="shared" si="74"/>
        <v>4.4573025820156603E-3</v>
      </c>
      <c r="X85" s="82">
        <f t="shared" si="75"/>
        <v>30445.426994354701</v>
      </c>
      <c r="Y85" s="83">
        <f t="shared" si="76"/>
        <v>59.309673154061301</v>
      </c>
      <c r="Z85" s="98">
        <f t="shared" si="77"/>
        <v>5.4233416439649603E-3</v>
      </c>
      <c r="AA85" s="97">
        <f t="shared" si="78"/>
        <v>4.1578952603731397E-3</v>
      </c>
      <c r="AB85" s="82">
        <f t="shared" si="79"/>
        <v>25560.303534151499</v>
      </c>
      <c r="AC85" s="83">
        <f t="shared" si="80"/>
        <v>49.793134732852302</v>
      </c>
      <c r="AD85" s="127" t="s">
        <v>98</v>
      </c>
    </row>
    <row r="86" spans="1:30" ht="15.75">
      <c r="A86" s="37" t="str">
        <f>IF(VLOOKUP(B86,'[1]1. Select Services'!$A$6:$E$77,5,FALSE)="x","x","")</f>
        <v/>
      </c>
      <c r="B86" s="85">
        <v>69</v>
      </c>
      <c r="C86" s="85">
        <v>77</v>
      </c>
      <c r="D86" s="120" t="s">
        <v>36</v>
      </c>
      <c r="E86" s="86" t="s">
        <v>117</v>
      </c>
      <c r="F86" s="87">
        <f>IF(Chosen_Scenario="Mitigation Impact Only",VLOOKUP($B86,'[1]Coverage Review Updated'!$B$5:$T$78,18,FALSE),VLOOKUP($B86,'[1]Coverage Review Updated'!$B$5:$T$78,19,FALSE))</f>
        <v>0</v>
      </c>
      <c r="G86" s="87">
        <f>VLOOKUP($B85,'[1]7. Number of HW Contacts'!$B$4:$I$84,6,FALSE)</f>
        <v>2</v>
      </c>
      <c r="H86" s="88">
        <f>G86*(1-HLOOKUP($B85,'[1]3. Mitigation Impact on Coverag'!$BY$5:$EQ$7,3,FALSE))</f>
        <v>1.8</v>
      </c>
      <c r="I86" s="99">
        <f>HLOOKUP(B86,'[1]3. Mitigation Impact on Coverag'!ES$5:HK$7,3,FALSE)</f>
        <v>0</v>
      </c>
      <c r="J86" s="100">
        <f t="shared" si="61"/>
        <v>6.7383770648796696E-3</v>
      </c>
      <c r="K86" s="100">
        <f t="shared" si="62"/>
        <v>5.1660890830744202E-3</v>
      </c>
      <c r="L86" s="87">
        <f t="shared" si="63"/>
        <v>0</v>
      </c>
      <c r="M86" s="88">
        <f t="shared" si="64"/>
        <v>0</v>
      </c>
      <c r="N86" s="101">
        <f t="shared" si="65"/>
        <v>6.5906853436624698E-3</v>
      </c>
      <c r="O86" s="100">
        <f t="shared" si="66"/>
        <v>5.05285876347456E-3</v>
      </c>
      <c r="P86" s="87">
        <f t="shared" si="67"/>
        <v>0</v>
      </c>
      <c r="Q86" s="88">
        <f t="shared" si="68"/>
        <v>0</v>
      </c>
      <c r="R86" s="101">
        <f t="shared" si="69"/>
        <v>6.4577687215732196E-3</v>
      </c>
      <c r="S86" s="100">
        <f t="shared" si="70"/>
        <v>4.9509560198727999E-3</v>
      </c>
      <c r="T86" s="87">
        <f t="shared" si="71"/>
        <v>0</v>
      </c>
      <c r="U86" s="88">
        <f t="shared" si="72"/>
        <v>0</v>
      </c>
      <c r="V86" s="101">
        <f t="shared" si="73"/>
        <v>5.8138729330638999E-3</v>
      </c>
      <c r="W86" s="100">
        <f t="shared" si="74"/>
        <v>4.4573025820156603E-3</v>
      </c>
      <c r="X86" s="87">
        <f t="shared" si="75"/>
        <v>0</v>
      </c>
      <c r="Y86" s="88">
        <f t="shared" si="76"/>
        <v>0</v>
      </c>
      <c r="Z86" s="101">
        <f t="shared" si="77"/>
        <v>6.7383770648796696E-3</v>
      </c>
      <c r="AA86" s="100">
        <f t="shared" si="78"/>
        <v>5.1660890830744202E-3</v>
      </c>
      <c r="AB86" s="87">
        <f t="shared" si="79"/>
        <v>0</v>
      </c>
      <c r="AC86" s="88">
        <f t="shared" si="80"/>
        <v>0</v>
      </c>
      <c r="AD86" s="127" t="s">
        <v>98</v>
      </c>
    </row>
    <row r="87" spans="1:30" ht="15.75">
      <c r="A87" s="37" t="str">
        <f>IF(VLOOKUP(B87,'[1]1. Select Services'!$A$6:$E$77,5,FALSE)="x","x","")</f>
        <v/>
      </c>
      <c r="B87" s="85">
        <v>70</v>
      </c>
      <c r="C87" s="85">
        <v>78</v>
      </c>
      <c r="D87" s="120"/>
      <c r="E87" s="86" t="s">
        <v>118</v>
      </c>
      <c r="F87" s="87">
        <f>IF(Chosen_Scenario="Mitigation Impact Only",VLOOKUP($B87,'[1]Coverage Review Updated'!$B$5:$T$78,18,FALSE),VLOOKUP($B87,'[1]Coverage Review Updated'!$B$5:$T$78,19,FALSE))</f>
        <v>0</v>
      </c>
      <c r="G87" s="87">
        <f>VLOOKUP($B86,'[1]7. Number of HW Contacts'!$B$4:$I$84,6,FALSE)</f>
        <v>4</v>
      </c>
      <c r="H87" s="88">
        <f>G87*(1-HLOOKUP($B86,'[1]3. Mitigation Impact on Coverag'!$BY$5:$EQ$7,3,FALSE))</f>
        <v>4</v>
      </c>
      <c r="I87" s="99">
        <f>HLOOKUP(B87,'[1]3. Mitigation Impact on Coverag'!ES$5:HK$7,3,FALSE)</f>
        <v>0</v>
      </c>
      <c r="J87" s="100">
        <f t="shared" si="61"/>
        <v>1.34313484042911E-2</v>
      </c>
      <c r="K87" s="100">
        <f t="shared" si="62"/>
        <v>1.02973671099565E-2</v>
      </c>
      <c r="L87" s="87">
        <f t="shared" si="63"/>
        <v>0</v>
      </c>
      <c r="M87" s="88">
        <f t="shared" si="64"/>
        <v>0</v>
      </c>
      <c r="N87" s="101">
        <f t="shared" si="65"/>
        <v>1.3137933554025601E-2</v>
      </c>
      <c r="O87" s="100">
        <f t="shared" si="66"/>
        <v>1.0072415724753E-2</v>
      </c>
      <c r="P87" s="87">
        <f t="shared" si="67"/>
        <v>0</v>
      </c>
      <c r="Q87" s="88">
        <f t="shared" si="68"/>
        <v>0</v>
      </c>
      <c r="R87" s="101">
        <f t="shared" si="69"/>
        <v>1.2873834666284899E-2</v>
      </c>
      <c r="S87" s="100">
        <f t="shared" si="70"/>
        <v>9.8699399108184097E-3</v>
      </c>
      <c r="T87" s="87">
        <f t="shared" si="71"/>
        <v>0</v>
      </c>
      <c r="U87" s="88">
        <f t="shared" si="72"/>
        <v>0</v>
      </c>
      <c r="V87" s="101">
        <f t="shared" si="73"/>
        <v>1.2873834666284899E-2</v>
      </c>
      <c r="W87" s="100">
        <f t="shared" si="74"/>
        <v>9.8699399108184097E-3</v>
      </c>
      <c r="X87" s="87">
        <f t="shared" si="75"/>
        <v>0</v>
      </c>
      <c r="Y87" s="88">
        <f t="shared" si="76"/>
        <v>0</v>
      </c>
      <c r="Z87" s="101">
        <f t="shared" si="77"/>
        <v>1.34313484042911E-2</v>
      </c>
      <c r="AA87" s="100">
        <f t="shared" si="78"/>
        <v>1.02973671099565E-2</v>
      </c>
      <c r="AB87" s="87">
        <f t="shared" si="79"/>
        <v>0</v>
      </c>
      <c r="AC87" s="88">
        <f t="shared" si="80"/>
        <v>0</v>
      </c>
      <c r="AD87" s="127" t="s">
        <v>98</v>
      </c>
    </row>
    <row r="88" spans="1:30" ht="15.75">
      <c r="A88" s="37" t="str">
        <f>IF(VLOOKUP(B88,'[1]1. Select Services'!$A$6:$E$77,5,FALSE)="x","x","")</f>
        <v/>
      </c>
      <c r="B88" s="89">
        <v>71</v>
      </c>
      <c r="C88" s="90">
        <v>54</v>
      </c>
      <c r="D88" s="91"/>
      <c r="E88" s="92" t="s">
        <v>119</v>
      </c>
      <c r="F88" s="93">
        <f>IF(Chosen_Scenario="Mitigation Impact Only",VLOOKUP($B88,'[1]Coverage Review Updated'!$B$5:$T$78,18,FALSE),VLOOKUP($B88,'[1]Coverage Review Updated'!$B$5:$T$78,19,FALSE))</f>
        <v>0</v>
      </c>
      <c r="G88" s="93">
        <f>VLOOKUP($B87,'[1]7. Number of HW Contacts'!$B$4:$I$84,6,FALSE)</f>
        <v>4</v>
      </c>
      <c r="H88" s="94">
        <f>G88*(1-HLOOKUP($B87,'[1]3. Mitigation Impact on Coverag'!$BY$5:$EQ$7,3,FALSE))</f>
        <v>4</v>
      </c>
      <c r="I88" s="102">
        <f>HLOOKUP(B88,'[1]3. Mitigation Impact on Coverag'!ES$5:HK$7,3,FALSE)</f>
        <v>0</v>
      </c>
      <c r="J88" s="103">
        <f>1-((1-Risk_of_Provider_Being_Infected*_xlfn.SINGLE(Transmission_Risk_Contact_Health_Care_Provider))^(G88)*(1-Risk_of_Community_Member_being_Infected*Transmission_Risk_in_Community)^(G88*Contacts_During_Travel_to_Facility))</f>
        <v>6.7383770648796696E-3</v>
      </c>
      <c r="K88" s="103">
        <f t="shared" si="62"/>
        <v>5.1660890830744202E-3</v>
      </c>
      <c r="L88" s="93">
        <f t="shared" si="63"/>
        <v>0</v>
      </c>
      <c r="M88" s="94">
        <f t="shared" si="64"/>
        <v>0</v>
      </c>
      <c r="N88" s="104">
        <f>1-((1-Risk_of_Provider_Being_Infected*_xlfn.SINGLE(Transmission_Risk_Contact_Health_Care_Provider)*(1-Reduction_in_Risk_PPE))^($G88)*(1-Risk_of_Community_Member_being_Infected*Transmission_Risk_in_Community)^($G88*Contacts_During_Travel_to_Facility))</f>
        <v>6.5906853436624698E-3</v>
      </c>
      <c r="O88" s="103">
        <f t="shared" si="66"/>
        <v>5.05285876347456E-3</v>
      </c>
      <c r="P88" s="93">
        <f t="shared" si="67"/>
        <v>0</v>
      </c>
      <c r="Q88" s="94">
        <f t="shared" si="68"/>
        <v>0</v>
      </c>
      <c r="R88" s="104">
        <f>1-((1-Risk_of_Provider_Being_Infected*_xlfn.SINGLE(Transmission_Risk_Contact_Health_Care_Provider)*(1-Reduction_in_Risk_PPE))^($G88*(1-Reduction_in_Risk_TS)))*(1-Risk_of_Community_Member_being_Infected*Transmission_Risk_in_Community)^($G88*Contacts_During_Travel_to_Facility)</f>
        <v>6.4577687215732196E-3</v>
      </c>
      <c r="S88" s="103">
        <f t="shared" si="70"/>
        <v>4.9509560198727999E-3</v>
      </c>
      <c r="T88" s="93">
        <f t="shared" si="71"/>
        <v>0</v>
      </c>
      <c r="U88" s="94">
        <f t="shared" si="72"/>
        <v>0</v>
      </c>
      <c r="V88" s="104">
        <f>1-((1-Risk_of_Provider_Being_Infected*_xlfn.SINGLE(Transmission_Risk_Contact_Health_Care_Provider)*(1-Reduction_in_Risk_PPE))^($H88*(1-Reduction_in_Risk_TS)))*(1-Risk_of_Community_Member_being_Infected*Transmission_Risk_in_Community)^($H88*Contacts_During_Travel_to_Facility)</f>
        <v>6.4577687215732196E-3</v>
      </c>
      <c r="W88" s="103">
        <f t="shared" si="74"/>
        <v>4.9509560198727999E-3</v>
      </c>
      <c r="X88" s="93">
        <f t="shared" si="75"/>
        <v>0</v>
      </c>
      <c r="Y88" s="94">
        <f t="shared" si="76"/>
        <v>0</v>
      </c>
      <c r="Z88" s="104">
        <f>1-((1-Risk_of_Provider_Being_Infected*_xlfn.SINGLE(Transmission_Risk_Contact_Health_Care_Provider)*(1-Reduction_in_Risk_PPE))^($H88*(1-Reduction_in_Risk_TS)))*(1-Risk_of_Community_Member_being_Infected*Transmission_Risk_in_Community)^($H88*Contacts_During_Travel_to_Facility)</f>
        <v>6.4577687215732196E-3</v>
      </c>
      <c r="AA88" s="103">
        <f t="shared" si="78"/>
        <v>4.9509560198727999E-3</v>
      </c>
      <c r="AB88" s="93">
        <f t="shared" si="79"/>
        <v>0</v>
      </c>
      <c r="AC88" s="94">
        <f t="shared" si="80"/>
        <v>0</v>
      </c>
      <c r="AD88" s="71"/>
    </row>
  </sheetData>
  <mergeCells count="14">
    <mergeCell ref="D64:D66"/>
    <mergeCell ref="D67:D77"/>
    <mergeCell ref="D78:D85"/>
    <mergeCell ref="D86:D87"/>
    <mergeCell ref="Z2:AC2"/>
    <mergeCell ref="D15:D22"/>
    <mergeCell ref="D23:D35"/>
    <mergeCell ref="D36:D52"/>
    <mergeCell ref="D53:D63"/>
    <mergeCell ref="H2:I2"/>
    <mergeCell ref="J2:M2"/>
    <mergeCell ref="N2:Q2"/>
    <mergeCell ref="R2:U2"/>
    <mergeCell ref="V2:Y2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2024-11-19T04:29:00Z</dcterms:created>
  <dcterms:modified xsi:type="dcterms:W3CDTF">2025-12-10T05:44:39Z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F339D5B2B2E64BA5994F78E028DA47B8_11</vt:lpwstr>
  </property>
  <property fmtid="{D5CDD505-2E9C-101B-9397-08002B2CF9AE}" pid="3" name="KSOProductBuildVer">
    <vt:lpwstr>2052-12.1.0.19302</vt:lpwstr>
  </property>
</Properties>
</file>