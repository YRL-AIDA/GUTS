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2029C8E-46A3-49CC-8D76-6D93C46A9B4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A84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1" i="1"/>
  <c r="A61" i="1"/>
  <c r="G60" i="1"/>
  <c r="A60" i="1"/>
  <c r="G59" i="1"/>
  <c r="A58" i="1"/>
  <c r="G57" i="1"/>
  <c r="A57" i="1"/>
  <c r="G56" i="1"/>
  <c r="A56" i="1"/>
  <c r="G55" i="1"/>
  <c r="A55" i="1"/>
  <c r="A54" i="1"/>
  <c r="G53" i="1"/>
  <c r="A53" i="1"/>
  <c r="G52" i="1"/>
  <c r="A52" i="1"/>
  <c r="G51" i="1"/>
  <c r="A51" i="1"/>
  <c r="G49" i="1"/>
  <c r="A49" i="1"/>
  <c r="G48" i="1"/>
  <c r="A48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A27" i="1"/>
  <c r="G26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A3" i="1"/>
</calcChain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<sst xmlns="http://schemas.openxmlformats.org/spreadsheetml/2006/main" count="124" uniqueCount="92">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</sst>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51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Continuous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3" borderId="3" xfId="0" applyFont="1" applyFill="1" applyBorder="1">
      <alignment vertical="center"/>
    </xf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>
      <alignment vertical="center"/>
    </xf>
    <xf numFmtId="0" fontId="5" fillId="5" borderId="2" xfId="0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6" borderId="2" xfId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8" fillId="7" borderId="2" xfId="1" applyFont="1" applyFill="1" applyBorder="1"/>
    <xf numFmtId="0" fontId="8" fillId="7" borderId="4" xfId="1" applyFont="1" applyFill="1" applyBorder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1" applyFont="1" applyFill="1" applyBorder="1"/>
    <xf numFmtId="0" fontId="0" fillId="3" borderId="2" xfId="0" applyFill="1" applyBorder="1" applyAlignment="1"/>
    <xf numFmtId="0" fontId="9" fillId="4" borderId="4" xfId="0" applyFont="1" applyFill="1" applyBorder="1" applyAlignment="1"/>
    <xf numFmtId="0" fontId="8" fillId="8" borderId="5" xfId="1" applyFont="1" applyFill="1" applyBorder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5" fillId="9" borderId="4" xfId="0" applyFont="1" applyFill="1" applyBorder="1" applyAlignment="1"/>
    <xf numFmtId="0" fontId="5" fillId="0" borderId="2" xfId="0" applyFont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8" fillId="12" borderId="2" xfId="1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1" fillId="13" borderId="0" xfId="0" applyFont="1" applyFill="1" applyAlignment="1"/>
    <xf numFmtId="0" fontId="3" fillId="13" borderId="0" xfId="0" applyFont="1" applyFill="1" applyAlignment="1"/>
    <xf numFmtId="0" fontId="4" fillId="14" borderId="1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/>
    <xf numFmtId="0" fontId="7" fillId="15" borderId="2" xfId="0" applyFont="1" applyFill="1" applyBorder="1" applyAlignment="1"/>
    <xf numFmtId="0" fontId="7" fillId="15" borderId="2" xfId="0" applyFont="1" applyFill="1" applyBorder="1" applyAlignment="1">
      <alignment vertical="top" wrapText="1"/>
    </xf>
    <xf numFmtId="0" fontId="9" fillId="15" borderId="2" xfId="0" applyFont="1" applyFill="1" applyBorder="1" applyAlignment="1"/>
    <xf numFmtId="0" fontId="5" fillId="15" borderId="4" xfId="0" applyFont="1" applyFill="1" applyBorder="1" applyAlignment="1"/>
    <xf numFmtId="0" fontId="5" fillId="15" borderId="2" xfId="0" applyFont="1" applyFill="1" applyBorder="1" applyAlignment="1">
      <alignment horizontal="left"/>
    </xf>
    <xf numFmtId="0" fontId="5" fillId="15" borderId="3" xfId="0" applyFont="1" applyFill="1" applyBorder="1" applyAlignment="1"/>
  </cellXfs>
  <cellStyles count="2">
    <cellStyle name="Normal 14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T84"/>
  <sheetViews>
    <sheetView tabSelected="1" topLeftCell="D1" workbookViewId="0">
      <selection activeCell="D4" activeCellId="6" sqref="D84 D72:D82 D59:D70 D55:D57 D26:D53 D14:D24 D4:D11"/>
    </sheetView>
  </sheetViews>
  <sheetFormatPr defaultColWidth="9.85546875" defaultRowHeight="15"/>
  <cols>
    <col min="1" max="3" width="4.7109375" style="1" hidden="1" customWidth="1"/>
    <col min="4" max="4" width="104.85546875" style="1" customWidth="1"/>
    <col min="5" max="5" width="10.5703125" style="1" customWidth="1"/>
    <col min="6" max="6" width="10.85546875" style="1" customWidth="1"/>
    <col min="7" max="7" width="12.42578125" style="1" customWidth="1"/>
    <col min="8" max="8" width="9.5703125" style="1" customWidth="1"/>
    <col min="9" max="16374" width="9.85546875" style="1"/>
  </cols>
  <sheetData>
    <row r="1" spans="1:7" s="1" customFormat="1" ht="19.5">
      <c r="D1" s="41" t="s">
        <v>0</v>
      </c>
    </row>
    <row r="2" spans="1:7" s="1" customFormat="1" ht="19.5">
      <c r="A2" s="3" t="s">
        <v>1</v>
      </c>
      <c r="B2" s="3"/>
      <c r="C2" s="3"/>
      <c r="D2" s="2"/>
      <c r="G2" s="42" t="s">
        <v>2</v>
      </c>
    </row>
    <row r="3" spans="1:7" s="1" customFormat="1" ht="63.75">
      <c r="A3" s="4" t="str">
        <f>IF(COUNTIF(A4:A11,"x")=0,"","x")</f>
        <v>x</v>
      </c>
      <c r="B3" s="5" t="s">
        <v>3</v>
      </c>
      <c r="C3" s="5" t="s">
        <v>4</v>
      </c>
      <c r="D3" s="43" t="s">
        <v>5</v>
      </c>
      <c r="E3" s="43" t="s">
        <v>6</v>
      </c>
      <c r="F3" s="43" t="s">
        <v>7</v>
      </c>
      <c r="G3" s="43" t="s">
        <v>8</v>
      </c>
    </row>
    <row r="4" spans="1:7" s="1" customFormat="1">
      <c r="A4" s="6" t="str">
        <f>IF(VLOOKUP(B4,'[1]1. Select Services'!$A$6:$E$77,5,FALSE)="x","x","")</f>
        <v>x</v>
      </c>
      <c r="B4" s="7">
        <v>1</v>
      </c>
      <c r="C4" s="8">
        <v>7</v>
      </c>
      <c r="D4" s="50" t="s">
        <v>9</v>
      </c>
      <c r="E4" s="9">
        <v>12</v>
      </c>
      <c r="F4" s="9">
        <v>1</v>
      </c>
      <c r="G4" s="10">
        <f t="shared" ref="G4:G11" si="0">E4*F4</f>
        <v>12</v>
      </c>
    </row>
    <row r="5" spans="1:7" s="1" customFormat="1">
      <c r="A5" s="6" t="str">
        <f>IF(VLOOKUP(B5,'[1]1. Select Services'!$A$6:$E$77,5,FALSE)="x","x","")</f>
        <v>x</v>
      </c>
      <c r="B5" s="11">
        <v>2</v>
      </c>
      <c r="C5" s="12">
        <v>1</v>
      </c>
      <c r="D5" s="44" t="s">
        <v>10</v>
      </c>
      <c r="E5" s="13">
        <v>12</v>
      </c>
      <c r="F5" s="13">
        <v>1</v>
      </c>
      <c r="G5" s="10">
        <f t="shared" si="0"/>
        <v>12</v>
      </c>
    </row>
    <row r="6" spans="1:7" s="1" customFormat="1">
      <c r="A6" s="6" t="str">
        <f>IF(VLOOKUP(B6,'[1]1. Select Services'!$A$6:$E$77,5,FALSE)="x","x","")</f>
        <v>x</v>
      </c>
      <c r="B6" s="11">
        <v>3</v>
      </c>
      <c r="C6" s="12">
        <v>4</v>
      </c>
      <c r="D6" s="44" t="s">
        <v>11</v>
      </c>
      <c r="E6" s="13">
        <v>4</v>
      </c>
      <c r="F6" s="13">
        <v>1</v>
      </c>
      <c r="G6" s="10">
        <f t="shared" si="0"/>
        <v>4</v>
      </c>
    </row>
    <row r="7" spans="1:7" s="1" customFormat="1">
      <c r="A7" s="6" t="str">
        <f>IF(VLOOKUP(B7,'[1]1. Select Services'!$A$6:$E$77,5,FALSE)="x","x","")</f>
        <v>x</v>
      </c>
      <c r="B7" s="11">
        <v>4</v>
      </c>
      <c r="C7" s="12">
        <v>5</v>
      </c>
      <c r="D7" s="44" t="s">
        <v>12</v>
      </c>
      <c r="E7" s="13">
        <v>1</v>
      </c>
      <c r="F7" s="13">
        <v>1</v>
      </c>
      <c r="G7" s="10">
        <f t="shared" si="0"/>
        <v>1</v>
      </c>
    </row>
    <row r="8" spans="1:7" s="1" customFormat="1">
      <c r="A8" s="6" t="str">
        <f>IF(VLOOKUP(B8,'[1]1. Select Services'!$A$6:$E$77,5,FALSE)="x","x","")</f>
        <v>x</v>
      </c>
      <c r="B8" s="11">
        <v>5</v>
      </c>
      <c r="C8" s="12">
        <v>6</v>
      </c>
      <c r="D8" s="44" t="s">
        <v>13</v>
      </c>
      <c r="E8" s="13">
        <v>1</v>
      </c>
      <c r="F8" s="13">
        <v>1</v>
      </c>
      <c r="G8" s="10">
        <f t="shared" si="0"/>
        <v>1</v>
      </c>
    </row>
    <row r="9" spans="1:7" s="1" customFormat="1">
      <c r="A9" s="6" t="str">
        <f>IF(VLOOKUP(B9,'[1]1. Select Services'!$A$6:$E$77,5,FALSE)="x","x","")</f>
        <v>x</v>
      </c>
      <c r="B9" s="11">
        <v>6</v>
      </c>
      <c r="C9" s="12">
        <v>2</v>
      </c>
      <c r="D9" s="44" t="s">
        <v>14</v>
      </c>
      <c r="E9" s="13">
        <v>1</v>
      </c>
      <c r="F9" s="13">
        <v>2</v>
      </c>
      <c r="G9" s="10">
        <f t="shared" si="0"/>
        <v>2</v>
      </c>
    </row>
    <row r="10" spans="1:7" s="1" customFormat="1">
      <c r="A10" s="6" t="str">
        <f>IF(VLOOKUP(B10,'[1]1. Select Services'!$A$6:$E$77,5,FALSE)="x","x","")</f>
        <v/>
      </c>
      <c r="B10" s="11">
        <v>7</v>
      </c>
      <c r="C10" s="12">
        <v>3</v>
      </c>
      <c r="D10" s="44" t="s">
        <v>15</v>
      </c>
      <c r="E10" s="13">
        <v>1</v>
      </c>
      <c r="F10" s="13">
        <v>2</v>
      </c>
      <c r="G10" s="10">
        <f t="shared" si="0"/>
        <v>2</v>
      </c>
    </row>
    <row r="11" spans="1:7" s="1" customFormat="1">
      <c r="A11" s="6" t="str">
        <f>IF(VLOOKUP(B11,'[1]1. Select Services'!$A$6:$E$77,5,FALSE)="x","x","")</f>
        <v/>
      </c>
      <c r="B11" s="11">
        <v>8</v>
      </c>
      <c r="C11" s="12">
        <v>8</v>
      </c>
      <c r="D11" s="44" t="s">
        <v>16</v>
      </c>
      <c r="E11" s="13">
        <v>0</v>
      </c>
      <c r="F11" s="13">
        <v>0</v>
      </c>
      <c r="G11" s="10">
        <f t="shared" si="0"/>
        <v>0</v>
      </c>
    </row>
    <row r="12" spans="1:7" s="1" customFormat="1" ht="63.75">
      <c r="A12" s="4" t="str">
        <f>IF(COUNTIF(A13:A24,"x")=0,"","x")</f>
        <v>x</v>
      </c>
      <c r="B12" s="4" t="s">
        <v>3</v>
      </c>
      <c r="C12" s="5" t="s">
        <v>4</v>
      </c>
      <c r="D12" s="43" t="s">
        <v>5</v>
      </c>
      <c r="E12" s="43" t="s">
        <v>17</v>
      </c>
      <c r="F12" s="43" t="s">
        <v>7</v>
      </c>
      <c r="G12" s="43" t="s">
        <v>8</v>
      </c>
    </row>
    <row r="13" spans="1:7" s="1" customFormat="1">
      <c r="A13" s="6" t="s">
        <v>18</v>
      </c>
      <c r="B13" s="14">
        <v>100</v>
      </c>
      <c r="C13" s="14">
        <v>100</v>
      </c>
      <c r="D13" s="45" t="s">
        <v>19</v>
      </c>
      <c r="E13" s="15">
        <v>8</v>
      </c>
      <c r="F13" s="15">
        <v>1</v>
      </c>
      <c r="G13" s="10">
        <f t="shared" ref="G13:G24" si="1">E13*F13</f>
        <v>8</v>
      </c>
    </row>
    <row r="14" spans="1:7" s="1" customFormat="1">
      <c r="A14" s="6" t="str">
        <f>IF(VLOOKUP(B14,'[1]1. Select Services'!$A$6:$E$77,5,FALSE)="x","x","")</f>
        <v>x</v>
      </c>
      <c r="B14" s="16">
        <v>11</v>
      </c>
      <c r="C14" s="16">
        <v>16</v>
      </c>
      <c r="D14" s="44" t="s">
        <v>20</v>
      </c>
      <c r="E14" s="13">
        <v>2</v>
      </c>
      <c r="F14" s="13">
        <v>1</v>
      </c>
      <c r="G14" s="10">
        <f t="shared" si="1"/>
        <v>2</v>
      </c>
    </row>
    <row r="15" spans="1:7" s="1" customFormat="1">
      <c r="A15" s="6" t="str">
        <f>IF(VLOOKUP(B15,'[1]1. Select Services'!$A$6:$E$77,5,FALSE)="x","x","")</f>
        <v>x</v>
      </c>
      <c r="B15" s="16">
        <v>12</v>
      </c>
      <c r="C15" s="16">
        <v>17</v>
      </c>
      <c r="D15" s="44" t="s">
        <v>21</v>
      </c>
      <c r="E15" s="13">
        <v>3</v>
      </c>
      <c r="F15" s="13">
        <v>1</v>
      </c>
      <c r="G15" s="10">
        <f t="shared" si="1"/>
        <v>3</v>
      </c>
    </row>
    <row r="16" spans="1:7" s="1" customFormat="1">
      <c r="A16" s="6" t="str">
        <f>IF(VLOOKUP(B16,'[1]1. Select Services'!$A$6:$E$77,5,FALSE)="x","x","")</f>
        <v>x</v>
      </c>
      <c r="B16" s="16">
        <v>13</v>
      </c>
      <c r="C16" s="16">
        <v>18</v>
      </c>
      <c r="D16" s="44" t="s">
        <v>22</v>
      </c>
      <c r="E16" s="13">
        <v>2</v>
      </c>
      <c r="F16" s="13">
        <v>1</v>
      </c>
      <c r="G16" s="10">
        <f t="shared" si="1"/>
        <v>2</v>
      </c>
    </row>
    <row r="17" spans="1:7" s="1" customFormat="1">
      <c r="A17" s="6" t="str">
        <f>IF(VLOOKUP(B17,'[1]1. Select Services'!$A$6:$E$77,5,FALSE)="x","x","")</f>
        <v/>
      </c>
      <c r="B17" s="16">
        <v>14</v>
      </c>
      <c r="C17" s="16">
        <v>19</v>
      </c>
      <c r="D17" s="44" t="s">
        <v>23</v>
      </c>
      <c r="E17" s="13">
        <v>4</v>
      </c>
      <c r="F17" s="13">
        <v>1</v>
      </c>
      <c r="G17" s="10">
        <f t="shared" si="1"/>
        <v>4</v>
      </c>
    </row>
    <row r="18" spans="1:7" s="1" customFormat="1">
      <c r="A18" s="6" t="str">
        <f>IF(VLOOKUP(B18,'[1]1. Select Services'!$A$6:$E$77,5,FALSE)="x","x","")</f>
        <v>x</v>
      </c>
      <c r="B18" s="16">
        <v>15</v>
      </c>
      <c r="C18" s="16">
        <v>20</v>
      </c>
      <c r="D18" s="44" t="s">
        <v>24</v>
      </c>
      <c r="E18" s="13">
        <v>4</v>
      </c>
      <c r="F18" s="13">
        <v>1</v>
      </c>
      <c r="G18" s="10">
        <f t="shared" si="1"/>
        <v>4</v>
      </c>
    </row>
    <row r="19" spans="1:7" s="1" customFormat="1">
      <c r="A19" s="6" t="str">
        <f>IF(VLOOKUP(B19,'[1]1. Select Services'!$A$6:$E$77,5,FALSE)="x","x","")</f>
        <v>x</v>
      </c>
      <c r="B19" s="16">
        <v>16</v>
      </c>
      <c r="C19" s="16">
        <v>21</v>
      </c>
      <c r="D19" s="44" t="s">
        <v>25</v>
      </c>
      <c r="E19" s="13">
        <v>4</v>
      </c>
      <c r="F19" s="13">
        <v>1</v>
      </c>
      <c r="G19" s="10">
        <f t="shared" si="1"/>
        <v>4</v>
      </c>
    </row>
    <row r="20" spans="1:7" s="1" customFormat="1">
      <c r="A20" s="6" t="str">
        <f>IF(VLOOKUP(B20,'[1]1. Select Services'!$A$6:$E$77,5,FALSE)="x","x","")</f>
        <v>x</v>
      </c>
      <c r="B20" s="16">
        <v>17</v>
      </c>
      <c r="C20" s="16">
        <v>22</v>
      </c>
      <c r="D20" s="44" t="s">
        <v>26</v>
      </c>
      <c r="E20" s="13">
        <v>4</v>
      </c>
      <c r="F20" s="13">
        <v>1</v>
      </c>
      <c r="G20" s="10">
        <f t="shared" si="1"/>
        <v>4</v>
      </c>
    </row>
    <row r="21" spans="1:7" s="1" customFormat="1">
      <c r="A21" s="6" t="str">
        <f>IF(VLOOKUP(B21,'[1]1. Select Services'!$A$6:$E$77,5,FALSE)="x","x","")</f>
        <v>x</v>
      </c>
      <c r="B21" s="16">
        <v>18</v>
      </c>
      <c r="C21" s="16">
        <v>23</v>
      </c>
      <c r="D21" s="44" t="s">
        <v>27</v>
      </c>
      <c r="E21" s="13">
        <v>4</v>
      </c>
      <c r="F21" s="13">
        <v>1</v>
      </c>
      <c r="G21" s="10">
        <f t="shared" si="1"/>
        <v>4</v>
      </c>
    </row>
    <row r="22" spans="1:7" s="1" customFormat="1">
      <c r="A22" s="6" t="str">
        <f>IF(VLOOKUP(B22,'[1]1. Select Services'!$A$6:$E$77,5,FALSE)="x","x","")</f>
        <v>x</v>
      </c>
      <c r="B22" s="16">
        <v>19</v>
      </c>
      <c r="C22" s="16">
        <v>24</v>
      </c>
      <c r="D22" s="44" t="s">
        <v>28</v>
      </c>
      <c r="E22" s="13">
        <v>4</v>
      </c>
      <c r="F22" s="13">
        <v>1</v>
      </c>
      <c r="G22" s="10">
        <f t="shared" si="1"/>
        <v>4</v>
      </c>
    </row>
    <row r="23" spans="1:7" s="1" customFormat="1">
      <c r="A23" s="6" t="str">
        <f>IF(VLOOKUP(B23,'[1]1. Select Services'!$A$6:$E$77,5,FALSE)="x","x","")</f>
        <v>x</v>
      </c>
      <c r="B23" s="16">
        <v>20</v>
      </c>
      <c r="C23" s="16">
        <v>25</v>
      </c>
      <c r="D23" s="44" t="s">
        <v>29</v>
      </c>
      <c r="E23" s="13">
        <v>2</v>
      </c>
      <c r="F23" s="13">
        <v>1</v>
      </c>
      <c r="G23" s="10">
        <f t="shared" si="1"/>
        <v>2</v>
      </c>
    </row>
    <row r="24" spans="1:7" s="1" customFormat="1">
      <c r="A24" s="6" t="str">
        <f>IF(VLOOKUP(B24,'[1]1. Select Services'!$A$6:$E$77,5,FALSE)="x","x","")</f>
        <v>x</v>
      </c>
      <c r="B24" s="16">
        <v>21</v>
      </c>
      <c r="C24" s="16">
        <v>26</v>
      </c>
      <c r="D24" s="44" t="s">
        <v>30</v>
      </c>
      <c r="E24" s="13">
        <v>1</v>
      </c>
      <c r="F24" s="13">
        <v>2</v>
      </c>
      <c r="G24" s="10">
        <f t="shared" si="1"/>
        <v>2</v>
      </c>
    </row>
    <row r="25" spans="1:7" s="1" customFormat="1" ht="63.75">
      <c r="A25" s="4" t="str">
        <f>IF(COUNTIF(A26:A53,"x")=0,"","x")</f>
        <v>x</v>
      </c>
      <c r="B25" s="4" t="s">
        <v>3</v>
      </c>
      <c r="C25" s="5" t="s">
        <v>4</v>
      </c>
      <c r="D25" s="43" t="s">
        <v>5</v>
      </c>
      <c r="E25" s="43" t="s">
        <v>31</v>
      </c>
      <c r="F25" s="43" t="s">
        <v>32</v>
      </c>
      <c r="G25" s="43" t="s">
        <v>8</v>
      </c>
    </row>
    <row r="26" spans="1:7" s="1" customFormat="1">
      <c r="A26" s="6" t="s">
        <v>18</v>
      </c>
      <c r="B26" s="17">
        <v>200</v>
      </c>
      <c r="C26" s="17">
        <v>200</v>
      </c>
      <c r="D26" s="45" t="s">
        <v>33</v>
      </c>
      <c r="E26" s="15">
        <v>2</v>
      </c>
      <c r="F26" s="15">
        <v>2</v>
      </c>
      <c r="G26" s="10">
        <f t="shared" ref="G26:G45" si="2">IF(E26=0,F26,E26*F26)</f>
        <v>4</v>
      </c>
    </row>
    <row r="27" spans="1:7" s="1" customFormat="1">
      <c r="A27" s="6" t="str">
        <f>IF(VLOOKUP(B27,'[1]1. Select Services'!$A$6:$E$77,5,FALSE)="x","x","")</f>
        <v>x</v>
      </c>
      <c r="B27" s="18">
        <v>23</v>
      </c>
      <c r="C27" s="18">
        <v>28</v>
      </c>
      <c r="D27" s="48" t="s">
        <v>34</v>
      </c>
      <c r="E27" s="19"/>
      <c r="F27" s="13"/>
      <c r="G27" s="10"/>
    </row>
    <row r="28" spans="1:7" s="1" customFormat="1">
      <c r="A28" s="6" t="str">
        <f>IF(VLOOKUP(B28,'[1]1. Select Services'!$A$6:$E$77,5,FALSE)="x","x","")</f>
        <v>x</v>
      </c>
      <c r="B28" s="18">
        <v>24</v>
      </c>
      <c r="C28" s="18">
        <v>32</v>
      </c>
      <c r="D28" s="48" t="s">
        <v>35</v>
      </c>
      <c r="E28" s="13">
        <v>2</v>
      </c>
      <c r="F28" s="13">
        <v>2</v>
      </c>
      <c r="G28" s="10">
        <f t="shared" si="2"/>
        <v>4</v>
      </c>
    </row>
    <row r="29" spans="1:7" s="1" customFormat="1">
      <c r="A29" s="6" t="str">
        <f>IF(VLOOKUP(B29,'[1]1. Select Services'!$A$6:$E$77,5,FALSE)="x","x","")</f>
        <v>x</v>
      </c>
      <c r="B29" s="18">
        <v>25</v>
      </c>
      <c r="C29" s="18">
        <v>33</v>
      </c>
      <c r="D29" s="48" t="s">
        <v>36</v>
      </c>
      <c r="E29" s="13">
        <v>5</v>
      </c>
      <c r="F29" s="13">
        <v>2</v>
      </c>
      <c r="G29" s="10">
        <f t="shared" si="2"/>
        <v>10</v>
      </c>
    </row>
    <row r="30" spans="1:7" s="1" customFormat="1">
      <c r="A30" s="6" t="str">
        <f>IF(VLOOKUP(B30,'[1]1. Select Services'!$A$6:$E$77,5,FALSE)="x","x","")</f>
        <v>x</v>
      </c>
      <c r="B30" s="18">
        <v>26</v>
      </c>
      <c r="C30" s="18">
        <v>34</v>
      </c>
      <c r="D30" s="48" t="s">
        <v>37</v>
      </c>
      <c r="E30" s="13">
        <v>3</v>
      </c>
      <c r="F30" s="13">
        <v>2</v>
      </c>
      <c r="G30" s="10">
        <f t="shared" si="2"/>
        <v>6</v>
      </c>
    </row>
    <row r="31" spans="1:7" s="1" customFormat="1">
      <c r="A31" s="6" t="str">
        <f>IF(VLOOKUP(B31,'[1]1. Select Services'!$A$6:$E$77,5,FALSE)="x","x","")</f>
        <v>x</v>
      </c>
      <c r="B31" s="18">
        <v>27</v>
      </c>
      <c r="C31" s="18">
        <v>35</v>
      </c>
      <c r="D31" s="48" t="s">
        <v>38</v>
      </c>
      <c r="E31" s="13">
        <v>5</v>
      </c>
      <c r="F31" s="13">
        <v>2</v>
      </c>
      <c r="G31" s="10">
        <f t="shared" si="2"/>
        <v>10</v>
      </c>
    </row>
    <row r="32" spans="1:7" s="1" customFormat="1">
      <c r="A32" s="6" t="str">
        <f>IF(VLOOKUP(B32,'[1]1. Select Services'!$A$6:$E$77,5,FALSE)="x","x","")</f>
        <v>x</v>
      </c>
      <c r="B32" s="18">
        <v>28</v>
      </c>
      <c r="C32" s="18">
        <v>36</v>
      </c>
      <c r="D32" s="48" t="s">
        <v>39</v>
      </c>
      <c r="E32" s="13">
        <v>2</v>
      </c>
      <c r="F32" s="13">
        <v>2</v>
      </c>
      <c r="G32" s="10">
        <f t="shared" si="2"/>
        <v>4</v>
      </c>
    </row>
    <row r="33" spans="1:7" s="1" customFormat="1">
      <c r="A33" s="6" t="str">
        <f>IF(VLOOKUP(B33,'[1]1. Select Services'!$A$6:$E$77,5,FALSE)="x","x","")</f>
        <v>x</v>
      </c>
      <c r="B33" s="18">
        <v>29</v>
      </c>
      <c r="C33" s="18">
        <v>38</v>
      </c>
      <c r="D33" s="48" t="s">
        <v>40</v>
      </c>
      <c r="E33" s="19"/>
      <c r="F33" s="13">
        <v>2</v>
      </c>
      <c r="G33" s="10">
        <f t="shared" si="2"/>
        <v>2</v>
      </c>
    </row>
    <row r="34" spans="1:7" s="1" customFormat="1">
      <c r="A34" s="6" t="str">
        <f>IF(VLOOKUP(B34,'[1]1. Select Services'!$A$6:$E$77,5,FALSE)="x","x","")</f>
        <v>x</v>
      </c>
      <c r="B34" s="18">
        <v>30</v>
      </c>
      <c r="C34" s="18">
        <v>39</v>
      </c>
      <c r="D34" s="48" t="s">
        <v>41</v>
      </c>
      <c r="E34" s="13">
        <v>2</v>
      </c>
      <c r="F34" s="13">
        <v>2</v>
      </c>
      <c r="G34" s="10">
        <f t="shared" si="2"/>
        <v>4</v>
      </c>
    </row>
    <row r="35" spans="1:7" s="1" customFormat="1">
      <c r="A35" s="6" t="str">
        <f>IF(VLOOKUP(B35,'[1]1. Select Services'!$A$6:$E$77,5,FALSE)="x","x","")</f>
        <v>x</v>
      </c>
      <c r="B35" s="18">
        <v>31</v>
      </c>
      <c r="C35" s="18">
        <v>40</v>
      </c>
      <c r="D35" s="48" t="s">
        <v>42</v>
      </c>
      <c r="E35" s="13">
        <v>1</v>
      </c>
      <c r="F35" s="13">
        <v>1</v>
      </c>
      <c r="G35" s="10">
        <f t="shared" si="2"/>
        <v>1</v>
      </c>
    </row>
    <row r="36" spans="1:7" s="1" customFormat="1">
      <c r="A36" s="6" t="str">
        <f>IF(VLOOKUP(B36,'[1]1. Select Services'!$A$6:$E$77,5,FALSE)="x","x","")</f>
        <v>x</v>
      </c>
      <c r="B36" s="18">
        <v>32</v>
      </c>
      <c r="C36" s="18">
        <v>41</v>
      </c>
      <c r="D36" s="48" t="s">
        <v>43</v>
      </c>
      <c r="E36" s="13">
        <v>2</v>
      </c>
      <c r="F36" s="13">
        <v>2</v>
      </c>
      <c r="G36" s="10">
        <f t="shared" si="2"/>
        <v>4</v>
      </c>
    </row>
    <row r="37" spans="1:7" s="1" customFormat="1">
      <c r="A37" s="6" t="str">
        <f>IF(VLOOKUP(B37,'[1]1. Select Services'!$A$6:$E$77,5,FALSE)="x","x","")</f>
        <v>x</v>
      </c>
      <c r="B37" s="20">
        <v>33</v>
      </c>
      <c r="C37" s="21">
        <v>65</v>
      </c>
      <c r="D37" s="44" t="s">
        <v>44</v>
      </c>
      <c r="E37" s="13">
        <v>5</v>
      </c>
      <c r="F37" s="13">
        <v>2</v>
      </c>
      <c r="G37" s="10">
        <f t="shared" si="2"/>
        <v>10</v>
      </c>
    </row>
    <row r="38" spans="1:7" s="1" customFormat="1">
      <c r="A38" s="6" t="str">
        <f>IF(VLOOKUP(B38,'[1]1. Select Services'!$A$6:$E$77,5,FALSE)="x","x","")</f>
        <v>x</v>
      </c>
      <c r="B38" s="21">
        <v>34</v>
      </c>
      <c r="C38" s="21">
        <v>10</v>
      </c>
      <c r="D38" s="48" t="s">
        <v>45</v>
      </c>
      <c r="E38" s="22">
        <v>1</v>
      </c>
      <c r="F38" s="13">
        <v>2</v>
      </c>
      <c r="G38" s="10">
        <f t="shared" si="2"/>
        <v>2</v>
      </c>
    </row>
    <row r="39" spans="1:7" s="1" customFormat="1">
      <c r="A39" s="6" t="str">
        <f>IF(VLOOKUP(B39,'[1]1. Select Services'!$A$6:$E$77,5,FALSE)="x","x","")</f>
        <v>x</v>
      </c>
      <c r="B39" s="21">
        <v>35</v>
      </c>
      <c r="C39" s="21">
        <v>11</v>
      </c>
      <c r="D39" s="48" t="s">
        <v>46</v>
      </c>
      <c r="E39" s="13">
        <v>3</v>
      </c>
      <c r="F39" s="13">
        <v>2</v>
      </c>
      <c r="G39" s="10">
        <f t="shared" si="2"/>
        <v>6</v>
      </c>
    </row>
    <row r="40" spans="1:7" s="1" customFormat="1">
      <c r="A40" s="6" t="str">
        <f>IF(VLOOKUP(B40,'[1]1. Select Services'!$A$6:$E$77,5,FALSE)="x","x","")</f>
        <v>x</v>
      </c>
      <c r="B40" s="21">
        <v>36</v>
      </c>
      <c r="C40" s="21">
        <v>42</v>
      </c>
      <c r="D40" s="48" t="s">
        <v>47</v>
      </c>
      <c r="E40" s="13">
        <v>7</v>
      </c>
      <c r="F40" s="13">
        <v>3</v>
      </c>
      <c r="G40" s="10">
        <f t="shared" si="2"/>
        <v>21</v>
      </c>
    </row>
    <row r="41" spans="1:7" s="1" customFormat="1">
      <c r="A41" s="6" t="str">
        <f>IF(VLOOKUP(B41,'[1]1. Select Services'!$A$6:$E$77,5,FALSE)="x","x","")</f>
        <v>x</v>
      </c>
      <c r="B41" s="21">
        <v>37</v>
      </c>
      <c r="C41" s="21">
        <v>43</v>
      </c>
      <c r="D41" s="48" t="s">
        <v>48</v>
      </c>
      <c r="E41" s="13">
        <v>5</v>
      </c>
      <c r="F41" s="13">
        <v>2</v>
      </c>
      <c r="G41" s="10">
        <f t="shared" si="2"/>
        <v>10</v>
      </c>
    </row>
    <row r="42" spans="1:7" s="1" customFormat="1">
      <c r="A42" s="6" t="str">
        <f>IF(VLOOKUP(B42,'[1]1. Select Services'!$A$6:$E$77,5,FALSE)="x","x","")</f>
        <v/>
      </c>
      <c r="B42" s="21">
        <v>38</v>
      </c>
      <c r="C42" s="21">
        <v>12</v>
      </c>
      <c r="D42" s="48" t="s">
        <v>49</v>
      </c>
      <c r="E42" s="13">
        <v>5</v>
      </c>
      <c r="F42" s="13">
        <v>2</v>
      </c>
      <c r="G42" s="10">
        <f t="shared" si="2"/>
        <v>10</v>
      </c>
    </row>
    <row r="43" spans="1:7" s="1" customFormat="1">
      <c r="A43" s="6" t="str">
        <f>IF(VLOOKUP(B43,'[1]1. Select Services'!$A$6:$E$77,5,FALSE)="x","x","")</f>
        <v>x</v>
      </c>
      <c r="B43" s="23">
        <v>39</v>
      </c>
      <c r="C43" s="24">
        <v>29</v>
      </c>
      <c r="D43" s="49" t="s">
        <v>50</v>
      </c>
      <c r="E43" s="19"/>
      <c r="F43" s="13">
        <v>2</v>
      </c>
      <c r="G43" s="10">
        <f t="shared" si="2"/>
        <v>2</v>
      </c>
    </row>
    <row r="44" spans="1:7" s="1" customFormat="1">
      <c r="A44" s="6" t="str">
        <f>IF(VLOOKUP(B44,'[1]1. Select Services'!$A$6:$E$77,5,FALSE)="x","x","")</f>
        <v>x</v>
      </c>
      <c r="B44" s="23">
        <v>40</v>
      </c>
      <c r="C44" s="24">
        <v>30</v>
      </c>
      <c r="D44" s="49" t="s">
        <v>51</v>
      </c>
      <c r="E44" s="19"/>
      <c r="F44" s="13">
        <v>2</v>
      </c>
      <c r="G44" s="10">
        <f t="shared" si="2"/>
        <v>2</v>
      </c>
    </row>
    <row r="45" spans="1:7" s="1" customFormat="1">
      <c r="A45" s="6" t="str">
        <f>IF(VLOOKUP(B45,'[1]1. Select Services'!$A$6:$E$77,5,FALSE)="x","x","")</f>
        <v>x</v>
      </c>
      <c r="B45" s="23">
        <v>41</v>
      </c>
      <c r="C45" s="24">
        <v>31</v>
      </c>
      <c r="D45" s="49" t="s">
        <v>52</v>
      </c>
      <c r="E45" s="19"/>
      <c r="F45" s="13">
        <v>1</v>
      </c>
      <c r="G45" s="10">
        <f t="shared" si="2"/>
        <v>1</v>
      </c>
    </row>
    <row r="46" spans="1:7" s="1" customFormat="1">
      <c r="A46" s="6" t="str">
        <f>IF(VLOOKUP(B46,'[1]1. Select Services'!$A$6:$E$77,5,FALSE)="x","x","")</f>
        <v>x</v>
      </c>
      <c r="B46" s="23">
        <v>42</v>
      </c>
      <c r="C46" s="24">
        <v>37</v>
      </c>
      <c r="D46" s="49" t="s">
        <v>53</v>
      </c>
      <c r="E46" s="25"/>
      <c r="F46" s="25"/>
      <c r="G46" s="10"/>
    </row>
    <row r="47" spans="1:7" s="1" customFormat="1">
      <c r="A47" s="6"/>
      <c r="B47" s="23"/>
      <c r="C47" s="26"/>
      <c r="D47" s="47" t="s">
        <v>54</v>
      </c>
      <c r="E47" s="19"/>
      <c r="F47" s="25"/>
      <c r="G47" s="10"/>
    </row>
    <row r="48" spans="1:7" s="1" customFormat="1">
      <c r="A48" s="6" t="str">
        <f>IF(VLOOKUP(B48,'[1]1. Select Services'!$A$6:$E$77,5,FALSE)="x","x","")</f>
        <v>x</v>
      </c>
      <c r="B48" s="23">
        <v>43</v>
      </c>
      <c r="C48" s="23">
        <v>66</v>
      </c>
      <c r="D48" s="44" t="s">
        <v>55</v>
      </c>
      <c r="E48" s="19"/>
      <c r="F48" s="13">
        <v>1</v>
      </c>
      <c r="G48" s="10">
        <f t="shared" ref="G48:G53" si="3">IF(E48=0,F48,E48*F48)</f>
        <v>1</v>
      </c>
    </row>
    <row r="49" spans="1:8" s="1" customFormat="1">
      <c r="A49" s="6" t="str">
        <f>IF(VLOOKUP(B49,'[1]1. Select Services'!$A$6:$E$77,5,FALSE)="x","x","")</f>
        <v/>
      </c>
      <c r="B49" s="23">
        <v>44</v>
      </c>
      <c r="C49" s="23">
        <v>67</v>
      </c>
      <c r="D49" s="44" t="s">
        <v>56</v>
      </c>
      <c r="E49" s="13">
        <v>14</v>
      </c>
      <c r="F49" s="13">
        <v>2</v>
      </c>
      <c r="G49" s="10">
        <f t="shared" si="3"/>
        <v>28</v>
      </c>
    </row>
    <row r="50" spans="1:8" s="1" customFormat="1">
      <c r="A50" s="6"/>
      <c r="B50" s="23"/>
      <c r="C50" s="26"/>
      <c r="D50" s="47" t="s">
        <v>57</v>
      </c>
      <c r="E50" s="25"/>
      <c r="F50" s="25"/>
      <c r="G50" s="10"/>
    </row>
    <row r="51" spans="1:8" s="1" customFormat="1">
      <c r="A51" s="6" t="str">
        <f>IF(VLOOKUP(B51,'[1]1. Select Services'!$A$6:$E$77,5,FALSE)="x","x","")</f>
        <v>x</v>
      </c>
      <c r="B51" s="23">
        <v>45</v>
      </c>
      <c r="C51" s="23">
        <v>68</v>
      </c>
      <c r="D51" s="44" t="s">
        <v>58</v>
      </c>
      <c r="E51" s="19"/>
      <c r="F51" s="13">
        <v>1</v>
      </c>
      <c r="G51" s="10">
        <f t="shared" si="3"/>
        <v>1</v>
      </c>
    </row>
    <row r="52" spans="1:8" s="1" customFormat="1">
      <c r="A52" s="6" t="str">
        <f>IF(VLOOKUP(B52,'[1]1. Select Services'!$A$6:$E$77,5,FALSE)="x","x","")</f>
        <v>x</v>
      </c>
      <c r="B52" s="23">
        <v>46</v>
      </c>
      <c r="C52" s="23">
        <v>69</v>
      </c>
      <c r="D52" s="44" t="s">
        <v>59</v>
      </c>
      <c r="E52" s="19"/>
      <c r="F52" s="13">
        <v>1</v>
      </c>
      <c r="G52" s="10">
        <f t="shared" si="3"/>
        <v>1</v>
      </c>
    </row>
    <row r="53" spans="1:8" s="1" customFormat="1">
      <c r="A53" s="6" t="str">
        <f>IF(VLOOKUP(B53,'[1]1. Select Services'!$A$6:$E$77,5,FALSE)="x","x","")</f>
        <v/>
      </c>
      <c r="B53" s="23">
        <v>47</v>
      </c>
      <c r="C53" s="23">
        <v>70</v>
      </c>
      <c r="D53" s="44" t="s">
        <v>60</v>
      </c>
      <c r="E53" s="13">
        <v>14</v>
      </c>
      <c r="F53" s="13">
        <v>4</v>
      </c>
      <c r="G53" s="10">
        <f t="shared" si="3"/>
        <v>56</v>
      </c>
    </row>
    <row r="54" spans="1:8" s="1" customFormat="1" ht="63.75">
      <c r="A54" s="4" t="str">
        <f>IF(COUNTIF(A55:A57,"x")=0,"","x")</f>
        <v>x</v>
      </c>
      <c r="B54" s="4" t="s">
        <v>3</v>
      </c>
      <c r="C54" s="5" t="s">
        <v>4</v>
      </c>
      <c r="D54" s="43" t="s">
        <v>5</v>
      </c>
      <c r="E54" s="43" t="s">
        <v>61</v>
      </c>
      <c r="F54" s="43" t="s">
        <v>7</v>
      </c>
      <c r="G54" s="43" t="s">
        <v>8</v>
      </c>
    </row>
    <row r="55" spans="1:8" s="1" customFormat="1">
      <c r="A55" s="6" t="str">
        <f>IF(VLOOKUP(B55,'[1]1. Select Services'!$A$6:$E$77,5,FALSE)="x","x","")</f>
        <v>x</v>
      </c>
      <c r="B55" s="27">
        <v>48</v>
      </c>
      <c r="C55" s="27">
        <v>44</v>
      </c>
      <c r="D55" s="44" t="s">
        <v>62</v>
      </c>
      <c r="E55" s="13">
        <v>2</v>
      </c>
      <c r="F55" s="13">
        <v>1</v>
      </c>
      <c r="G55" s="10">
        <f t="shared" ref="G55:G57" si="4">E55*F55</f>
        <v>2</v>
      </c>
    </row>
    <row r="56" spans="1:8" s="1" customFormat="1">
      <c r="A56" s="6" t="str">
        <f>IF(VLOOKUP(B56,'[1]1. Select Services'!$A$6:$E$77,5,FALSE)="x","x","")</f>
        <v>x</v>
      </c>
      <c r="B56" s="28">
        <v>49</v>
      </c>
      <c r="C56" s="28">
        <v>45</v>
      </c>
      <c r="D56" s="44" t="s">
        <v>63</v>
      </c>
      <c r="E56" s="13">
        <v>4</v>
      </c>
      <c r="F56" s="13">
        <v>1</v>
      </c>
      <c r="G56" s="10">
        <f t="shared" si="4"/>
        <v>4</v>
      </c>
    </row>
    <row r="57" spans="1:8" s="1" customFormat="1">
      <c r="A57" s="6" t="str">
        <f>IF(VLOOKUP(B57,'[1]1. Select Services'!$A$6:$E$77,5,FALSE)="x","x","")</f>
        <v>x</v>
      </c>
      <c r="B57" s="28">
        <v>50</v>
      </c>
      <c r="C57" s="28">
        <v>46</v>
      </c>
      <c r="D57" s="44" t="s">
        <v>64</v>
      </c>
      <c r="E57" s="13">
        <v>4</v>
      </c>
      <c r="F57" s="13">
        <v>1</v>
      </c>
      <c r="G57" s="10">
        <f t="shared" si="4"/>
        <v>4</v>
      </c>
    </row>
    <row r="58" spans="1:8" s="1" customFormat="1" ht="63.75">
      <c r="A58" s="4" t="str">
        <f>IF(COUNTIF(A59:A70,"x")=0,"","x")</f>
        <v>x</v>
      </c>
      <c r="B58" s="4" t="s">
        <v>3</v>
      </c>
      <c r="C58" s="5" t="s">
        <v>4</v>
      </c>
      <c r="D58" s="43" t="s">
        <v>5</v>
      </c>
      <c r="E58" s="43" t="s">
        <v>65</v>
      </c>
      <c r="F58" s="43" t="s">
        <v>7</v>
      </c>
      <c r="G58" s="43" t="s">
        <v>66</v>
      </c>
    </row>
    <row r="59" spans="1:8" s="1" customFormat="1">
      <c r="A59" s="6" t="s">
        <v>18</v>
      </c>
      <c r="B59" s="29">
        <v>300</v>
      </c>
      <c r="C59" s="30">
        <v>300</v>
      </c>
      <c r="D59" s="46" t="s">
        <v>67</v>
      </c>
      <c r="E59" s="31">
        <v>6</v>
      </c>
      <c r="F59" s="31">
        <v>1</v>
      </c>
      <c r="G59" s="32">
        <f t="shared" ref="G59:G61" si="5">E59*F59</f>
        <v>6</v>
      </c>
      <c r="H59" s="33"/>
    </row>
    <row r="60" spans="1:8" s="1" customFormat="1">
      <c r="A60" s="6" t="str">
        <f>IF(VLOOKUP(B60,'[1]1. Select Services'!$A$6:$E$77,5,FALSE)="x","x","")</f>
        <v>x</v>
      </c>
      <c r="B60" s="34">
        <v>51</v>
      </c>
      <c r="C60" s="34">
        <v>55</v>
      </c>
      <c r="D60" s="44" t="s">
        <v>68</v>
      </c>
      <c r="E60" s="13">
        <v>1</v>
      </c>
      <c r="F60" s="13">
        <v>1</v>
      </c>
      <c r="G60" s="10">
        <f t="shared" si="5"/>
        <v>1</v>
      </c>
    </row>
    <row r="61" spans="1:8" s="1" customFormat="1">
      <c r="A61" s="6" t="str">
        <f>IF(VLOOKUP(B61,'[1]1. Select Services'!$A$6:$E$77,5,FALSE)="x","x","")</f>
        <v>x</v>
      </c>
      <c r="B61" s="34">
        <v>52</v>
      </c>
      <c r="C61" s="34">
        <v>56</v>
      </c>
      <c r="D61" s="44" t="s">
        <v>69</v>
      </c>
      <c r="E61" s="13">
        <v>3</v>
      </c>
      <c r="F61" s="13">
        <v>1</v>
      </c>
      <c r="G61" s="10">
        <f t="shared" si="5"/>
        <v>3</v>
      </c>
    </row>
    <row r="62" spans="1:8" s="1" customFormat="1">
      <c r="A62" s="6"/>
      <c r="B62" s="34"/>
      <c r="C62" s="34"/>
      <c r="D62" s="47" t="s">
        <v>70</v>
      </c>
      <c r="E62" s="35"/>
      <c r="F62" s="35"/>
      <c r="G62" s="10"/>
    </row>
    <row r="63" spans="1:8" s="1" customFormat="1">
      <c r="A63" s="6" t="str">
        <f>IF(VLOOKUP(B63,'[1]1. Select Services'!$A$6:$E$77,5,FALSE)="x","x","")</f>
        <v>x</v>
      </c>
      <c r="B63" s="34">
        <v>53</v>
      </c>
      <c r="C63" s="34">
        <v>57</v>
      </c>
      <c r="D63" s="44" t="s">
        <v>71</v>
      </c>
      <c r="E63" s="13">
        <v>3</v>
      </c>
      <c r="F63" s="13">
        <v>1</v>
      </c>
      <c r="G63" s="10">
        <f t="shared" ref="G63:G70" si="6">E63*F63</f>
        <v>3</v>
      </c>
    </row>
    <row r="64" spans="1:8" s="1" customFormat="1">
      <c r="A64" s="6" t="str">
        <f>IF(VLOOKUP(B64,'[1]1. Select Services'!$A$6:$E$77,5,FALSE)="x","x","")</f>
        <v>x</v>
      </c>
      <c r="B64" s="34">
        <v>54</v>
      </c>
      <c r="C64" s="34">
        <v>58</v>
      </c>
      <c r="D64" s="44" t="s">
        <v>72</v>
      </c>
      <c r="E64" s="13">
        <v>3</v>
      </c>
      <c r="F64" s="13">
        <v>1</v>
      </c>
      <c r="G64" s="10">
        <f t="shared" si="6"/>
        <v>3</v>
      </c>
    </row>
    <row r="65" spans="1:7" s="1" customFormat="1">
      <c r="A65" s="6" t="str">
        <f>IF(VLOOKUP(B65,'[1]1. Select Services'!$A$6:$E$77,5,FALSE)="x","x","")</f>
        <v>x</v>
      </c>
      <c r="B65" s="34">
        <v>55</v>
      </c>
      <c r="C65" s="34">
        <v>59</v>
      </c>
      <c r="D65" s="44" t="s">
        <v>73</v>
      </c>
      <c r="E65" s="13">
        <v>3</v>
      </c>
      <c r="F65" s="13">
        <v>1</v>
      </c>
      <c r="G65" s="10">
        <f t="shared" si="6"/>
        <v>3</v>
      </c>
    </row>
    <row r="66" spans="1:7" s="1" customFormat="1">
      <c r="A66" s="6" t="str">
        <f>IF(VLOOKUP(B66,'[1]1. Select Services'!$A$6:$E$77,5,FALSE)="x","x","")</f>
        <v>x</v>
      </c>
      <c r="B66" s="34">
        <v>56</v>
      </c>
      <c r="C66" s="34">
        <v>60</v>
      </c>
      <c r="D66" s="44" t="s">
        <v>74</v>
      </c>
      <c r="E66" s="13">
        <v>3</v>
      </c>
      <c r="F66" s="13">
        <v>1</v>
      </c>
      <c r="G66" s="10">
        <f t="shared" si="6"/>
        <v>3</v>
      </c>
    </row>
    <row r="67" spans="1:7" s="1" customFormat="1">
      <c r="A67" s="6" t="str">
        <f>IF(VLOOKUP(B67,'[1]1. Select Services'!$A$6:$E$77,5,FALSE)="x","x","")</f>
        <v>x</v>
      </c>
      <c r="B67" s="34">
        <v>57</v>
      </c>
      <c r="C67" s="34">
        <v>61</v>
      </c>
      <c r="D67" s="44" t="s">
        <v>75</v>
      </c>
      <c r="E67" s="13">
        <v>2</v>
      </c>
      <c r="F67" s="13">
        <v>1</v>
      </c>
      <c r="G67" s="10">
        <f t="shared" si="6"/>
        <v>2</v>
      </c>
    </row>
    <row r="68" spans="1:7" s="1" customFormat="1">
      <c r="A68" s="6" t="str">
        <f>IF(VLOOKUP(B68,'[1]1. Select Services'!$A$6:$E$77,5,FALSE)="x","x","")</f>
        <v>x</v>
      </c>
      <c r="B68" s="34">
        <v>58</v>
      </c>
      <c r="C68" s="34">
        <v>62</v>
      </c>
      <c r="D68" s="44" t="s">
        <v>76</v>
      </c>
      <c r="E68" s="13">
        <v>1</v>
      </c>
      <c r="F68" s="13">
        <v>1</v>
      </c>
      <c r="G68" s="10">
        <f t="shared" si="6"/>
        <v>1</v>
      </c>
    </row>
    <row r="69" spans="1:7" s="1" customFormat="1">
      <c r="A69" s="6" t="str">
        <f>IF(VLOOKUP(B69,'[1]1. Select Services'!$A$6:$E$77,5,FALSE)="x","x","")</f>
        <v>x</v>
      </c>
      <c r="B69" s="34">
        <v>59</v>
      </c>
      <c r="C69" s="34">
        <v>63</v>
      </c>
      <c r="D69" s="44" t="s">
        <v>77</v>
      </c>
      <c r="E69" s="13">
        <v>3</v>
      </c>
      <c r="F69" s="13">
        <v>1</v>
      </c>
      <c r="G69" s="10">
        <f t="shared" si="6"/>
        <v>3</v>
      </c>
    </row>
    <row r="70" spans="1:7" s="1" customFormat="1">
      <c r="A70" s="6" t="str">
        <f>IF(VLOOKUP(B70,'[1]1. Select Services'!$A$6:$E$77,5,FALSE)="x","x","")</f>
        <v>x</v>
      </c>
      <c r="B70" s="34">
        <v>60</v>
      </c>
      <c r="C70" s="34">
        <v>64</v>
      </c>
      <c r="D70" s="44" t="s">
        <v>78</v>
      </c>
      <c r="E70" s="13">
        <v>1</v>
      </c>
      <c r="F70" s="13">
        <v>1</v>
      </c>
      <c r="G70" s="10">
        <f t="shared" si="6"/>
        <v>1</v>
      </c>
    </row>
    <row r="71" spans="1:7" s="1" customFormat="1" ht="63.75">
      <c r="A71" s="4" t="str">
        <f>IF(COUNTIF(A72:A82,"x")=0,"","x")</f>
        <v>x</v>
      </c>
      <c r="B71" s="4" t="s">
        <v>3</v>
      </c>
      <c r="C71" s="5" t="s">
        <v>4</v>
      </c>
      <c r="D71" s="43" t="s">
        <v>5</v>
      </c>
      <c r="E71" s="43" t="s">
        <v>79</v>
      </c>
      <c r="F71" s="43" t="s">
        <v>7</v>
      </c>
      <c r="G71" s="43" t="s">
        <v>66</v>
      </c>
    </row>
    <row r="72" spans="1:7" s="1" customFormat="1">
      <c r="A72" s="6" t="s">
        <v>18</v>
      </c>
      <c r="B72" s="36">
        <v>400</v>
      </c>
      <c r="C72" s="36">
        <v>400</v>
      </c>
      <c r="D72" s="45" t="s">
        <v>80</v>
      </c>
      <c r="E72" s="15">
        <v>3</v>
      </c>
      <c r="F72" s="15">
        <v>1</v>
      </c>
      <c r="G72" s="10">
        <f t="shared" ref="G72:G82" si="7">E72*F72</f>
        <v>3</v>
      </c>
    </row>
    <row r="73" spans="1:7" s="1" customFormat="1">
      <c r="A73" s="6" t="str">
        <f>IF(VLOOKUP(B73,'[1]1. Select Services'!$A$6:$E$77,5,FALSE)="x","x","")</f>
        <v>x</v>
      </c>
      <c r="B73" s="37">
        <v>61</v>
      </c>
      <c r="C73" s="37">
        <v>47</v>
      </c>
      <c r="D73" s="44" t="s">
        <v>81</v>
      </c>
      <c r="E73" s="13">
        <v>2</v>
      </c>
      <c r="F73" s="13">
        <v>1</v>
      </c>
      <c r="G73" s="10">
        <f t="shared" si="7"/>
        <v>2</v>
      </c>
    </row>
    <row r="74" spans="1:7" s="1" customFormat="1">
      <c r="A74" s="6" t="str">
        <f>IF(VLOOKUP(B74,'[1]1. Select Services'!$A$6:$E$77,5,FALSE)="x","x","")</f>
        <v>x</v>
      </c>
      <c r="B74" s="37">
        <v>62</v>
      </c>
      <c r="C74" s="37">
        <v>48</v>
      </c>
      <c r="D74" s="44" t="s">
        <v>82</v>
      </c>
      <c r="E74" s="13">
        <v>2</v>
      </c>
      <c r="F74" s="13">
        <v>1</v>
      </c>
      <c r="G74" s="10">
        <f t="shared" si="7"/>
        <v>2</v>
      </c>
    </row>
    <row r="75" spans="1:7" s="1" customFormat="1">
      <c r="A75" s="6" t="str">
        <f>IF(VLOOKUP(B75,'[1]1. Select Services'!$A$6:$E$77,5,FALSE)="x","x","")</f>
        <v>x</v>
      </c>
      <c r="B75" s="37">
        <v>63</v>
      </c>
      <c r="C75" s="37">
        <v>71</v>
      </c>
      <c r="D75" s="44" t="s">
        <v>83</v>
      </c>
      <c r="E75" s="13">
        <v>1</v>
      </c>
      <c r="F75" s="13">
        <v>1</v>
      </c>
      <c r="G75" s="10">
        <f t="shared" si="7"/>
        <v>1</v>
      </c>
    </row>
    <row r="76" spans="1:7" s="1" customFormat="1">
      <c r="A76" s="6" t="str">
        <f>IF(VLOOKUP(B76,'[1]1. Select Services'!$A$6:$E$77,5,FALSE)="x","x","")</f>
        <v>x</v>
      </c>
      <c r="B76" s="37">
        <v>64</v>
      </c>
      <c r="C76" s="37">
        <v>72</v>
      </c>
      <c r="D76" s="44" t="s">
        <v>84</v>
      </c>
      <c r="E76" s="13">
        <v>1</v>
      </c>
      <c r="F76" s="13">
        <v>1</v>
      </c>
      <c r="G76" s="10">
        <f t="shared" si="7"/>
        <v>1</v>
      </c>
    </row>
    <row r="77" spans="1:7" s="1" customFormat="1">
      <c r="A77" s="6" t="str">
        <f>IF(VLOOKUP(B77,'[1]1. Select Services'!$A$6:$E$77,5,FALSE)="x","x","")</f>
        <v>x</v>
      </c>
      <c r="B77" s="37">
        <v>65</v>
      </c>
      <c r="C77" s="37">
        <v>73</v>
      </c>
      <c r="D77" s="44" t="s">
        <v>85</v>
      </c>
      <c r="E77" s="13">
        <v>1</v>
      </c>
      <c r="F77" s="13">
        <v>1</v>
      </c>
      <c r="G77" s="10">
        <f t="shared" si="7"/>
        <v>1</v>
      </c>
    </row>
    <row r="78" spans="1:7" s="1" customFormat="1">
      <c r="A78" s="6" t="str">
        <f>IF(VLOOKUP(B78,'[1]1. Select Services'!$A$6:$E$77,5,FALSE)="x","x","")</f>
        <v>x</v>
      </c>
      <c r="B78" s="37">
        <v>66</v>
      </c>
      <c r="C78" s="37">
        <v>74</v>
      </c>
      <c r="D78" s="44" t="s">
        <v>86</v>
      </c>
      <c r="E78" s="13">
        <v>1</v>
      </c>
      <c r="F78" s="13">
        <v>1</v>
      </c>
      <c r="G78" s="10">
        <f t="shared" si="7"/>
        <v>1</v>
      </c>
    </row>
    <row r="79" spans="1:7" s="1" customFormat="1">
      <c r="A79" s="6" t="str">
        <f>IF(VLOOKUP(B79,'[1]1. Select Services'!$A$6:$E$77,5,FALSE)="x","x","")</f>
        <v>x</v>
      </c>
      <c r="B79" s="37">
        <v>67</v>
      </c>
      <c r="C79" s="37">
        <v>75</v>
      </c>
      <c r="D79" s="44" t="s">
        <v>87</v>
      </c>
      <c r="E79" s="13">
        <v>1</v>
      </c>
      <c r="F79" s="13">
        <v>1</v>
      </c>
      <c r="G79" s="10">
        <f t="shared" si="7"/>
        <v>1</v>
      </c>
    </row>
    <row r="80" spans="1:7" s="1" customFormat="1">
      <c r="A80" s="6" t="str">
        <f>IF(VLOOKUP(B80,'[1]1. Select Services'!$A$6:$E$77,5,FALSE)="x","x","")</f>
        <v>x</v>
      </c>
      <c r="B80" s="37">
        <v>68</v>
      </c>
      <c r="C80" s="37">
        <v>76</v>
      </c>
      <c r="D80" s="44" t="s">
        <v>88</v>
      </c>
      <c r="E80" s="13">
        <v>2</v>
      </c>
      <c r="F80" s="13">
        <v>1</v>
      </c>
      <c r="G80" s="10">
        <f t="shared" si="7"/>
        <v>2</v>
      </c>
    </row>
    <row r="81" spans="1:7" s="1" customFormat="1">
      <c r="A81" s="6" t="str">
        <f>IF(VLOOKUP(B81,'[1]1. Select Services'!$A$6:$E$77,5,FALSE)="x","x","")</f>
        <v/>
      </c>
      <c r="B81" s="38">
        <v>69</v>
      </c>
      <c r="C81" s="38">
        <v>77</v>
      </c>
      <c r="D81" s="44" t="s">
        <v>89</v>
      </c>
      <c r="E81" s="13">
        <v>4</v>
      </c>
      <c r="F81" s="13">
        <v>1</v>
      </c>
      <c r="G81" s="10">
        <f t="shared" si="7"/>
        <v>4</v>
      </c>
    </row>
    <row r="82" spans="1:7" s="1" customFormat="1">
      <c r="A82" s="6" t="str">
        <f>IF(VLOOKUP(B82,'[1]1. Select Services'!$A$6:$E$77,5,FALSE)="x","x","")</f>
        <v/>
      </c>
      <c r="B82" s="38">
        <v>70</v>
      </c>
      <c r="C82" s="38">
        <v>78</v>
      </c>
      <c r="D82" s="44" t="s">
        <v>90</v>
      </c>
      <c r="E82" s="13">
        <v>4</v>
      </c>
      <c r="F82" s="13">
        <v>1</v>
      </c>
      <c r="G82" s="10">
        <f t="shared" si="7"/>
        <v>4</v>
      </c>
    </row>
    <row r="83" spans="1:7" s="1" customFormat="1" ht="63.75">
      <c r="A83" s="4" t="str">
        <f>IF(COUNTIF(A84:A84,"x")=0,"","x")</f>
        <v/>
      </c>
      <c r="B83" s="4" t="s">
        <v>3</v>
      </c>
      <c r="C83" s="5" t="s">
        <v>4</v>
      </c>
      <c r="D83" s="43" t="s">
        <v>5</v>
      </c>
      <c r="E83" s="43" t="s">
        <v>79</v>
      </c>
      <c r="F83" s="43" t="s">
        <v>7</v>
      </c>
      <c r="G83" s="43" t="s">
        <v>66</v>
      </c>
    </row>
    <row r="84" spans="1:7" s="1" customFormat="1">
      <c r="A84" s="6" t="str">
        <f>IF(VLOOKUP(B84,'[1]1. Select Services'!$A$6:$E$77,5,FALSE)="x","x","")</f>
        <v/>
      </c>
      <c r="B84" s="39">
        <v>71</v>
      </c>
      <c r="C84" s="40">
        <v>54</v>
      </c>
      <c r="D84" s="44" t="s">
        <v>91</v>
      </c>
      <c r="E84" s="13">
        <v>1</v>
      </c>
      <c r="F84" s="13">
        <v>1</v>
      </c>
      <c r="G84" s="10">
        <f>E84*F84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2024-11-19T07:26:00Z</dcterms:created>
  <dcterms:modified xsi:type="dcterms:W3CDTF">2025-12-10T05:55:42Z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5291B29B7DF94166A4B9241F44C50A66_11</vt:lpwstr>
  </property>
  <property fmtid="{D5CDD505-2E9C-101B-9397-08002B2CF9AE}" pid="3" name="KSOProductBuildVer">
    <vt:lpwstr>2052-12.1.0.19302</vt:lpwstr>
  </property>
</Properties>
</file>