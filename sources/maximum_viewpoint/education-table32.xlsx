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18CB33C-6C37-490B-87AD-F1D9ED2B12B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2" i="1" l="1"/>
  <c r="AD32" i="1"/>
  <c r="Z32" i="1"/>
  <c r="V32" i="1"/>
  <c r="R32" i="1"/>
  <c r="N32" i="1"/>
  <c r="J32" i="1"/>
  <c r="AE32" i="1" s="1"/>
  <c r="AM31" i="1"/>
  <c r="AD31" i="1"/>
  <c r="Z31" i="1"/>
  <c r="V31" i="1"/>
  <c r="R31" i="1"/>
  <c r="AE31" i="1" s="1"/>
  <c r="N31" i="1"/>
  <c r="J31" i="1"/>
  <c r="AM30" i="1"/>
  <c r="AE30" i="1"/>
  <c r="AG30" i="1" s="1"/>
  <c r="AH30" i="1" s="1"/>
  <c r="AD30" i="1"/>
  <c r="Z30" i="1"/>
  <c r="V30" i="1"/>
  <c r="R30" i="1"/>
  <c r="N30" i="1"/>
  <c r="J30" i="1"/>
  <c r="AM29" i="1"/>
  <c r="AD29" i="1"/>
  <c r="AE29" i="1" s="1"/>
  <c r="Z29" i="1"/>
  <c r="V29" i="1"/>
  <c r="R29" i="1"/>
  <c r="N29" i="1"/>
  <c r="J29" i="1"/>
  <c r="AM28" i="1"/>
  <c r="AD28" i="1"/>
  <c r="Z28" i="1"/>
  <c r="V28" i="1"/>
  <c r="R28" i="1"/>
  <c r="AE28" i="1" s="1"/>
  <c r="N28" i="1"/>
  <c r="J28" i="1"/>
  <c r="AM27" i="1"/>
  <c r="AD27" i="1"/>
  <c r="Z27" i="1"/>
  <c r="V27" i="1"/>
  <c r="R27" i="1"/>
  <c r="N27" i="1"/>
  <c r="J27" i="1"/>
  <c r="AE27" i="1" s="1"/>
  <c r="AM26" i="1"/>
  <c r="AD26" i="1"/>
  <c r="Z26" i="1"/>
  <c r="V26" i="1"/>
  <c r="R26" i="1"/>
  <c r="N26" i="1"/>
  <c r="J26" i="1"/>
  <c r="AE26" i="1" s="1"/>
  <c r="AM25" i="1"/>
  <c r="AD25" i="1"/>
  <c r="Z25" i="1"/>
  <c r="V25" i="1"/>
  <c r="R25" i="1"/>
  <c r="N25" i="1"/>
  <c r="AE25" i="1" s="1"/>
  <c r="J25" i="1"/>
  <c r="AM24" i="1"/>
  <c r="AD24" i="1"/>
  <c r="Z24" i="1"/>
  <c r="V24" i="1"/>
  <c r="R24" i="1"/>
  <c r="N24" i="1"/>
  <c r="J24" i="1"/>
  <c r="AE24" i="1" s="1"/>
  <c r="AM23" i="1"/>
  <c r="AD23" i="1"/>
  <c r="Z23" i="1"/>
  <c r="V23" i="1"/>
  <c r="R23" i="1"/>
  <c r="N23" i="1"/>
  <c r="J23" i="1"/>
  <c r="AE23" i="1" s="1"/>
  <c r="AM22" i="1"/>
  <c r="AD22" i="1"/>
  <c r="Z22" i="1"/>
  <c r="V22" i="1"/>
  <c r="R22" i="1"/>
  <c r="N22" i="1"/>
  <c r="J22" i="1"/>
  <c r="AE22" i="1" s="1"/>
  <c r="AM21" i="1"/>
  <c r="AE21" i="1"/>
  <c r="AG21" i="1" s="1"/>
  <c r="AH21" i="1" s="1"/>
  <c r="AD21" i="1"/>
  <c r="Z21" i="1"/>
  <c r="V21" i="1"/>
  <c r="R21" i="1"/>
  <c r="N21" i="1"/>
  <c r="J21" i="1"/>
  <c r="AM20" i="1"/>
  <c r="AG20" i="1"/>
  <c r="AH20" i="1" s="1"/>
  <c r="AE20" i="1"/>
  <c r="AD20" i="1"/>
  <c r="Z20" i="1"/>
  <c r="V20" i="1"/>
  <c r="R20" i="1"/>
  <c r="N20" i="1"/>
  <c r="J20" i="1"/>
  <c r="AM19" i="1"/>
  <c r="AD19" i="1"/>
  <c r="Z19" i="1"/>
  <c r="V19" i="1"/>
  <c r="R19" i="1"/>
  <c r="N19" i="1"/>
  <c r="AE19" i="1" s="1"/>
  <c r="J19" i="1"/>
  <c r="AM18" i="1"/>
  <c r="AE18" i="1"/>
  <c r="AG18" i="1" s="1"/>
  <c r="AH18" i="1" s="1"/>
  <c r="AD18" i="1"/>
  <c r="Z18" i="1"/>
  <c r="V18" i="1"/>
  <c r="R18" i="1"/>
  <c r="N18" i="1"/>
  <c r="J18" i="1"/>
  <c r="AM17" i="1"/>
  <c r="AD17" i="1"/>
  <c r="AE17" i="1" s="1"/>
  <c r="Z17" i="1"/>
  <c r="V17" i="1"/>
  <c r="R17" i="1"/>
  <c r="N17" i="1"/>
  <c r="J17" i="1"/>
  <c r="AM16" i="1"/>
  <c r="AD16" i="1"/>
  <c r="Z16" i="1"/>
  <c r="V16" i="1"/>
  <c r="R16" i="1"/>
  <c r="N16" i="1"/>
  <c r="AE16" i="1" s="1"/>
  <c r="J16" i="1"/>
  <c r="AM15" i="1"/>
  <c r="AD15" i="1"/>
  <c r="Z15" i="1"/>
  <c r="V15" i="1"/>
  <c r="R15" i="1"/>
  <c r="N15" i="1"/>
  <c r="J15" i="1"/>
  <c r="AE15" i="1" s="1"/>
  <c r="AM14" i="1"/>
  <c r="AD14" i="1"/>
  <c r="Z14" i="1"/>
  <c r="V14" i="1"/>
  <c r="R14" i="1"/>
  <c r="N14" i="1"/>
  <c r="J14" i="1"/>
  <c r="AE14" i="1" s="1"/>
  <c r="AM13" i="1"/>
  <c r="AD13" i="1"/>
  <c r="Z13" i="1"/>
  <c r="V13" i="1"/>
  <c r="R13" i="1"/>
  <c r="N13" i="1"/>
  <c r="AE13" i="1" s="1"/>
  <c r="J13" i="1"/>
  <c r="AM12" i="1"/>
  <c r="AD12" i="1"/>
  <c r="Z12" i="1"/>
  <c r="V12" i="1"/>
  <c r="R12" i="1"/>
  <c r="N12" i="1"/>
  <c r="J12" i="1"/>
  <c r="AE12" i="1" s="1"/>
  <c r="AM11" i="1"/>
  <c r="AD11" i="1"/>
  <c r="Z11" i="1"/>
  <c r="V11" i="1"/>
  <c r="R11" i="1"/>
  <c r="N11" i="1"/>
  <c r="J11" i="1"/>
  <c r="AE11" i="1" s="1"/>
  <c r="AM10" i="1"/>
  <c r="AD10" i="1"/>
  <c r="Z10" i="1"/>
  <c r="V10" i="1"/>
  <c r="R10" i="1"/>
  <c r="N10" i="1"/>
  <c r="J10" i="1"/>
  <c r="AE10" i="1" s="1"/>
  <c r="AM9" i="1"/>
  <c r="AE9" i="1"/>
  <c r="AG9" i="1" s="1"/>
  <c r="AH9" i="1" s="1"/>
  <c r="AD9" i="1"/>
  <c r="Z9" i="1"/>
  <c r="V9" i="1"/>
  <c r="R9" i="1"/>
  <c r="N9" i="1"/>
  <c r="J9" i="1"/>
  <c r="AM8" i="1"/>
  <c r="AG8" i="1"/>
  <c r="AH8" i="1" s="1"/>
  <c r="AE8" i="1"/>
  <c r="AD8" i="1"/>
  <c r="Z8" i="1"/>
  <c r="V8" i="1"/>
  <c r="R8" i="1"/>
  <c r="N8" i="1"/>
  <c r="J8" i="1"/>
  <c r="AM7" i="1"/>
  <c r="AD7" i="1"/>
  <c r="Z7" i="1"/>
  <c r="V7" i="1"/>
  <c r="R7" i="1"/>
  <c r="N7" i="1"/>
  <c r="AE7" i="1" s="1"/>
  <c r="J7" i="1"/>
  <c r="AM6" i="1"/>
  <c r="AE6" i="1"/>
  <c r="AF6" i="1" s="1"/>
  <c r="AD6" i="1"/>
  <c r="Z6" i="1"/>
  <c r="V6" i="1"/>
  <c r="R6" i="1"/>
  <c r="N6" i="1"/>
  <c r="J6" i="1"/>
  <c r="AM5" i="1"/>
  <c r="AD5" i="1"/>
  <c r="Z5" i="1"/>
  <c r="V5" i="1"/>
  <c r="AE5" i="1" s="1"/>
  <c r="R5" i="1"/>
  <c r="N5" i="1"/>
  <c r="J5" i="1"/>
  <c r="AM4" i="1"/>
  <c r="AD4" i="1"/>
  <c r="Z4" i="1"/>
  <c r="V4" i="1"/>
  <c r="R4" i="1"/>
  <c r="N4" i="1"/>
  <c r="AE4" i="1" s="1"/>
  <c r="J4" i="1"/>
  <c r="AM3" i="1"/>
  <c r="AD3" i="1"/>
  <c r="Z3" i="1"/>
  <c r="V3" i="1"/>
  <c r="R3" i="1"/>
  <c r="N3" i="1"/>
  <c r="J3" i="1"/>
  <c r="AE3" i="1" s="1"/>
  <c r="AF8" i="1" l="1"/>
  <c r="AG12" i="1"/>
  <c r="AH12" i="1" s="1"/>
  <c r="AF12" i="1"/>
  <c r="AG32" i="1"/>
  <c r="AH32" i="1" s="1"/>
  <c r="AF32" i="1"/>
  <c r="AG28" i="1"/>
  <c r="AH28" i="1" s="1"/>
  <c r="AF28" i="1"/>
  <c r="AG27" i="1"/>
  <c r="AH27" i="1" s="1"/>
  <c r="AF27" i="1"/>
  <c r="AF20" i="1"/>
  <c r="AF31" i="1"/>
  <c r="AG31" i="1"/>
  <c r="AH31" i="1" s="1"/>
  <c r="AF5" i="1"/>
  <c r="AG5" i="1"/>
  <c r="AH5" i="1" s="1"/>
  <c r="AG25" i="1"/>
  <c r="AH25" i="1" s="1"/>
  <c r="AF25" i="1"/>
  <c r="AG14" i="1"/>
  <c r="AH14" i="1" s="1"/>
  <c r="AF14" i="1"/>
  <c r="AF19" i="1"/>
  <c r="AG19" i="1"/>
  <c r="AH19" i="1" s="1"/>
  <c r="AG24" i="1"/>
  <c r="AH24" i="1" s="1"/>
  <c r="AF24" i="1"/>
  <c r="AG13" i="1"/>
  <c r="AH13" i="1" s="1"/>
  <c r="AF13" i="1"/>
  <c r="AG23" i="1"/>
  <c r="AH23" i="1" s="1"/>
  <c r="AF23" i="1"/>
  <c r="AG4" i="1"/>
  <c r="AH4" i="1" s="1"/>
  <c r="AF4" i="1"/>
  <c r="AG22" i="1"/>
  <c r="AH22" i="1" s="1"/>
  <c r="AF22" i="1"/>
  <c r="AG17" i="1"/>
  <c r="AH17" i="1" s="1"/>
  <c r="AF17" i="1"/>
  <c r="AF29" i="1"/>
  <c r="AG29" i="1"/>
  <c r="AH29" i="1" s="1"/>
  <c r="AF7" i="1"/>
  <c r="AG7" i="1"/>
  <c r="AH7" i="1" s="1"/>
  <c r="AF21" i="1"/>
  <c r="AF9" i="1"/>
  <c r="AG3" i="1"/>
  <c r="AH3" i="1" s="1"/>
  <c r="AF3" i="1"/>
  <c r="AG15" i="1"/>
  <c r="AH15" i="1" s="1"/>
  <c r="AF15" i="1"/>
  <c r="AG10" i="1"/>
  <c r="AH10" i="1" s="1"/>
  <c r="AF10" i="1"/>
  <c r="AG11" i="1"/>
  <c r="AH11" i="1" s="1"/>
  <c r="AF11" i="1"/>
  <c r="AG16" i="1"/>
  <c r="AH16" i="1" s="1"/>
  <c r="AF16" i="1"/>
  <c r="AG26" i="1"/>
  <c r="AH26" i="1" s="1"/>
  <c r="AF26" i="1"/>
  <c r="AG6" i="1"/>
  <c r="AH6" i="1" s="1"/>
  <c r="AF18" i="1"/>
  <c r="AF30" i="1"/>
</calcChain>
</file>

<file path=xl/sharedStrings.xml><?xml version="1.0" encoding="utf-8"?>
<sst xmlns="http://schemas.openxmlformats.org/spreadsheetml/2006/main" count="271" uniqueCount="155">
  <si>
    <t>S.N.</t>
  </si>
  <si>
    <t>ADM. N.</t>
  </si>
  <si>
    <t>NAME</t>
  </si>
  <si>
    <t>FATHER NAME</t>
  </si>
  <si>
    <t>CATEGORY</t>
  </si>
  <si>
    <t>ATTANDANCE</t>
  </si>
  <si>
    <t>MATH</t>
  </si>
  <si>
    <t>HINDI</t>
  </si>
  <si>
    <t>S.S.</t>
  </si>
  <si>
    <t>SCIENCE</t>
  </si>
  <si>
    <t>ENGLISH</t>
  </si>
  <si>
    <t>DRAWING</t>
  </si>
  <si>
    <t>1ST TERM</t>
  </si>
  <si>
    <t>2ND TERM</t>
  </si>
  <si>
    <t>FINAL</t>
  </si>
  <si>
    <t>TOTAL</t>
  </si>
  <si>
    <t>GRAND TOTAL</t>
  </si>
  <si>
    <t>RESULT</t>
  </si>
  <si>
    <t>% marks</t>
  </si>
  <si>
    <t>grade</t>
  </si>
  <si>
    <t>BOY/ GIRL</t>
  </si>
  <si>
    <t>MOTHER'S NAME</t>
  </si>
  <si>
    <t>DATE OF BIRTH</t>
  </si>
  <si>
    <t>RESIDENTIAL ADDRESS</t>
  </si>
  <si>
    <t>HINDU/ MUSLIM</t>
  </si>
  <si>
    <t>ABSENT</t>
  </si>
  <si>
    <t>AMARJEET</t>
  </si>
  <si>
    <t>INDERSAIN CHOUDARY</t>
  </si>
  <si>
    <t>GEN</t>
  </si>
  <si>
    <t>BOY</t>
  </si>
  <si>
    <t>VIBHA DEVI</t>
  </si>
  <si>
    <t>15/02/2007</t>
  </si>
  <si>
    <t>G.N.3,PIYAU MANIYARI,SNP.HR</t>
  </si>
  <si>
    <t>NO</t>
  </si>
  <si>
    <t>MINTU</t>
  </si>
  <si>
    <t>AMIRI SHAH</t>
  </si>
  <si>
    <t>RAJKUMARI DEVI</t>
  </si>
  <si>
    <t>SHIVPURI COLONY,KUNDLI,HR.</t>
  </si>
  <si>
    <t>PAWAN</t>
  </si>
  <si>
    <t>BALINDER THAKUR</t>
  </si>
  <si>
    <t>OBC</t>
  </si>
  <si>
    <t>RADHA DEVI</t>
  </si>
  <si>
    <t>25/03/2007</t>
  </si>
  <si>
    <t>MUNNI</t>
  </si>
  <si>
    <t>VIJAY MAL</t>
  </si>
  <si>
    <t>GIRL</t>
  </si>
  <si>
    <t>SITA</t>
  </si>
  <si>
    <t>MEGHA</t>
  </si>
  <si>
    <t>LACHHMAN MEHTO</t>
  </si>
  <si>
    <t>PHOOL KUMARI</t>
  </si>
  <si>
    <t>22/05//2005</t>
  </si>
  <si>
    <t>RIYA</t>
  </si>
  <si>
    <t>RAM KANWAR</t>
  </si>
  <si>
    <t>GEETA</t>
  </si>
  <si>
    <t>16/08/2006</t>
  </si>
  <si>
    <t>PIYUSH GODYAL</t>
  </si>
  <si>
    <t>MANOJ GODYAL</t>
  </si>
  <si>
    <t>PRIYANKA GODYAL</t>
  </si>
  <si>
    <t>29/07/2006</t>
  </si>
  <si>
    <t>AJAY</t>
  </si>
  <si>
    <t>AMIT KUMAR</t>
  </si>
  <si>
    <t>SAROJNI</t>
  </si>
  <si>
    <t>RIMJHIM</t>
  </si>
  <si>
    <t>RAJKUMAR</t>
  </si>
  <si>
    <t>SHANTI</t>
  </si>
  <si>
    <t>20/03/2007</t>
  </si>
  <si>
    <t>LAXMI</t>
  </si>
  <si>
    <t>RAJARAM SHAH</t>
  </si>
  <si>
    <t>MAGNI DEVI</t>
  </si>
  <si>
    <t>14/02/2006</t>
  </si>
  <si>
    <t>NANDNI</t>
  </si>
  <si>
    <t>PRADEEP GUPTA</t>
  </si>
  <si>
    <t>CHANCHAL</t>
  </si>
  <si>
    <t>26/01/2007</t>
  </si>
  <si>
    <t>H-644,PKT-8,SEC-A5,NARELA-40</t>
  </si>
  <si>
    <t>ARJUN</t>
  </si>
  <si>
    <t>HIRA LAL</t>
  </si>
  <si>
    <t>SC</t>
  </si>
  <si>
    <t>PARVATI</t>
  </si>
  <si>
    <t>30/01/2007</t>
  </si>
  <si>
    <t>ANJLI</t>
  </si>
  <si>
    <t>SATISH</t>
  </si>
  <si>
    <t>MALA</t>
  </si>
  <si>
    <t>S. F. PIYAU MANIYARI,SNP HR.</t>
  </si>
  <si>
    <t>CHAMAN</t>
  </si>
  <si>
    <t>SHIVKUMAR KASYAP</t>
  </si>
  <si>
    <t xml:space="preserve">SUNITA </t>
  </si>
  <si>
    <t>TANZEER</t>
  </si>
  <si>
    <t>JAHAGEER</t>
  </si>
  <si>
    <t>MIN</t>
  </si>
  <si>
    <t>SHAHNAZ</t>
  </si>
  <si>
    <t>H-589,PKT-8,SEC-A5,NARELA-40</t>
  </si>
  <si>
    <t>MOH. ANAS</t>
  </si>
  <si>
    <t>MOH. AKIL</t>
  </si>
  <si>
    <t>NAZRIN</t>
  </si>
  <si>
    <t>H-243,PKT-8,SEC-A5,NARELA-40</t>
  </si>
  <si>
    <t>MUSKAN BANO</t>
  </si>
  <si>
    <t>SHARIF AHMED</t>
  </si>
  <si>
    <t>SHABIRA BANO</t>
  </si>
  <si>
    <t>H-393,PKT-8,SEC-A5,NARELA-40</t>
  </si>
  <si>
    <t>USHA</t>
  </si>
  <si>
    <t>BHIM BAHADUR</t>
  </si>
  <si>
    <t>MEENA</t>
  </si>
  <si>
    <t>20/03/04</t>
  </si>
  <si>
    <t>TANU</t>
  </si>
  <si>
    <t>BASANT KUMAR</t>
  </si>
  <si>
    <t>CHANDA DEVI</t>
  </si>
  <si>
    <t>26/10/06</t>
  </si>
  <si>
    <t>ALPIYA</t>
  </si>
  <si>
    <t>AARIF</t>
  </si>
  <si>
    <t>GUDDI</t>
  </si>
  <si>
    <t>MD. YUSUF</t>
  </si>
  <si>
    <t>MD. HAROON</t>
  </si>
  <si>
    <t>TARA KHATOON</t>
  </si>
  <si>
    <t>H. 87,PKT 7,SEC. A6,NARELA</t>
  </si>
  <si>
    <t>SALMA KHATOON</t>
  </si>
  <si>
    <t>LAL MOHMAD</t>
  </si>
  <si>
    <t>ANGURA KHATOON</t>
  </si>
  <si>
    <t>20/06/06</t>
  </si>
  <si>
    <t>SURAJ COLONY,KUNDLI,HR.</t>
  </si>
  <si>
    <t>JATIN</t>
  </si>
  <si>
    <t xml:space="preserve">MAHENDER </t>
  </si>
  <si>
    <t>BABY</t>
  </si>
  <si>
    <t>H320,PKT-8,SEC.A5,NARELA</t>
  </si>
  <si>
    <t>NIKHIL KUMAR</t>
  </si>
  <si>
    <t>ANIL KUMAR</t>
  </si>
  <si>
    <t>KRISHNA SHARMA</t>
  </si>
  <si>
    <t>14/05/2006</t>
  </si>
  <si>
    <t>H.NO. 163 JANTA FLATS PKT 1 SEC. A5 NARELA</t>
  </si>
  <si>
    <t xml:space="preserve">ANKIT  </t>
  </si>
  <si>
    <t>GARIBNATH JHA</t>
  </si>
  <si>
    <t>SAVITA JHA</t>
  </si>
  <si>
    <t>31/08/2006</t>
  </si>
  <si>
    <t>NEW SHIVPURI COLONY,KUNDLI,HR.</t>
  </si>
  <si>
    <t>YES</t>
  </si>
  <si>
    <t>PRIYANKA KUMARI</t>
  </si>
  <si>
    <t>RAM BILAS SHARMA</t>
  </si>
  <si>
    <t>SARITA DEVI</t>
  </si>
  <si>
    <t>157, SECT-A5, PKT-1, NARELA</t>
  </si>
  <si>
    <t>PANKAJ</t>
  </si>
  <si>
    <t>SHANKAR</t>
  </si>
  <si>
    <t xml:space="preserve">OBC </t>
  </si>
  <si>
    <t>YASHODA</t>
  </si>
  <si>
    <t>RAHUL KUMAR</t>
  </si>
  <si>
    <t>PARSHURAM SHARMA</t>
  </si>
  <si>
    <t>BINDU DEVI</t>
  </si>
  <si>
    <t>171,G.NO.-6, RAJIV COLONY, NARELA</t>
  </si>
  <si>
    <t>KAJAL</t>
  </si>
  <si>
    <t>BHOLA SHAHU</t>
  </si>
  <si>
    <t>REKHA DEVI</t>
  </si>
  <si>
    <t>24/09/2005</t>
  </si>
  <si>
    <t>ROHAN KUMAR</t>
  </si>
  <si>
    <t>SANJAY SINGH</t>
  </si>
  <si>
    <t>SUNITA DEVI</t>
  </si>
  <si>
    <t>G.NO.-1, SWATANTER NAGAR, NARELA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</si>
</sst>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b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8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 textRotation="90"/>
      <protection locked="0"/>
    </xf>
    <xf numFmtId="0" fontId="1" fillId="2" borderId="9" xfId="0" applyFont="1" applyFill="1" applyBorder="1" applyAlignment="1" applyProtection="1">
      <alignment horizontal="center" vertical="center" textRotation="90"/>
      <protection locked="0"/>
    </xf>
    <xf numFmtId="0" fontId="1" fillId="2" borderId="15" xfId="0" applyFont="1" applyFill="1" applyBorder="1" applyAlignment="1" applyProtection="1">
      <alignment horizontal="center" vertical="center" textRotation="90"/>
      <protection locked="0"/>
    </xf>
    <xf numFmtId="0" fontId="1" fillId="2" borderId="16" xfId="0" applyFont="1" applyFill="1" applyBorder="1" applyAlignment="1" applyProtection="1">
      <alignment horizontal="center" vertical="center" textRotation="90"/>
      <protection locked="0"/>
    </xf>
    <xf numFmtId="0" fontId="1" fillId="2" borderId="19" xfId="0" applyFont="1" applyFill="1" applyBorder="1" applyAlignment="1" applyProtection="1">
      <alignment horizontal="center" vertical="center" textRotation="90"/>
      <protection locked="0"/>
    </xf>
    <xf numFmtId="0" fontId="1" fillId="2" borderId="10" xfId="0" applyFont="1" applyFill="1" applyBorder="1" applyAlignment="1" applyProtection="1">
      <alignment horizontal="center" vertical="center" textRotation="90"/>
      <protection locked="0"/>
    </xf>
    <xf numFmtId="0" fontId="1" fillId="2" borderId="2" xfId="0" applyFont="1" applyFill="1" applyBorder="1" applyAlignment="1" applyProtection="1">
      <alignment horizontal="center" vertical="center" textRotation="90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textRotation="90"/>
      <protection locked="0"/>
    </xf>
    <xf numFmtId="0" fontId="1" fillId="2" borderId="4" xfId="0" applyFont="1" applyFill="1" applyBorder="1" applyAlignment="1" applyProtection="1">
      <alignment horizontal="center" textRotation="90"/>
      <protection locked="0"/>
    </xf>
    <xf numFmtId="0" fontId="1" fillId="2" borderId="7" xfId="0" applyFont="1" applyFill="1" applyBorder="1" applyAlignment="1" applyProtection="1">
      <alignment horizontal="center" textRotation="90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165" fontId="4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 textRotation="90"/>
      <protection locked="0"/>
    </xf>
    <xf numFmtId="165" fontId="4" fillId="3" borderId="17" xfId="1" applyNumberFormat="1" applyFont="1" applyFill="1" applyBorder="1" applyAlignment="1" applyProtection="1">
      <alignment horizontal="center" vertical="center"/>
    </xf>
    <xf numFmtId="165" fontId="4" fillId="3" borderId="17" xfId="1" applyNumberFormat="1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 applyProtection="1">
      <alignment horizontal="center" vertical="center" textRotation="90"/>
      <protection locked="0"/>
    </xf>
    <xf numFmtId="0" fontId="1" fillId="3" borderId="14" xfId="0" applyFont="1" applyFill="1" applyBorder="1" applyAlignment="1" applyProtection="1">
      <alignment horizontal="center" vertical="center" textRotation="90"/>
      <protection locked="0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"/>
  <sheetViews>
    <sheetView tabSelected="1" zoomScale="85" zoomScaleNormal="85" workbookViewId="0">
      <selection activeCell="M10" sqref="M10"/>
    </sheetView>
  </sheetViews>
  <sheetFormatPr defaultColWidth="9.28515625" defaultRowHeight="15"/>
  <cols>
    <col min="3" max="3" width="25.140625" customWidth="1"/>
    <col min="4" max="4" width="34.42578125" customWidth="1"/>
    <col min="7" max="31" width="5.7109375" customWidth="1"/>
    <col min="37" max="37" width="10.85546875"/>
  </cols>
  <sheetData>
    <row r="1" spans="1:40">
      <c r="A1" s="39" t="s">
        <v>0</v>
      </c>
      <c r="B1" s="41" t="s">
        <v>1</v>
      </c>
      <c r="C1" s="43" t="s">
        <v>2</v>
      </c>
      <c r="D1" s="43" t="s">
        <v>3</v>
      </c>
      <c r="E1" s="45" t="s">
        <v>4</v>
      </c>
      <c r="F1" s="45" t="s">
        <v>5</v>
      </c>
      <c r="G1" s="36" t="s">
        <v>6</v>
      </c>
      <c r="H1" s="37"/>
      <c r="I1" s="37"/>
      <c r="J1" s="38"/>
      <c r="K1" s="48" t="s">
        <v>7</v>
      </c>
      <c r="L1" s="49"/>
      <c r="M1" s="49"/>
      <c r="N1" s="50"/>
      <c r="O1" s="51" t="s">
        <v>8</v>
      </c>
      <c r="P1" s="52"/>
      <c r="Q1" s="52"/>
      <c r="R1" s="53"/>
      <c r="S1" s="36" t="s">
        <v>9</v>
      </c>
      <c r="T1" s="37"/>
      <c r="U1" s="37"/>
      <c r="V1" s="38"/>
      <c r="W1" s="36" t="s">
        <v>10</v>
      </c>
      <c r="X1" s="37"/>
      <c r="Y1" s="37"/>
      <c r="Z1" s="38"/>
      <c r="AA1" s="36" t="s">
        <v>11</v>
      </c>
      <c r="AB1" s="37"/>
      <c r="AC1" s="37"/>
      <c r="AD1" s="38"/>
      <c r="AE1" s="8"/>
      <c r="AF1" s="8"/>
      <c r="AG1" s="10"/>
      <c r="AH1" s="10"/>
      <c r="AI1" s="11"/>
      <c r="AJ1" s="10"/>
      <c r="AK1" s="10"/>
      <c r="AL1" s="10"/>
      <c r="AM1" s="17"/>
      <c r="AN1" s="17"/>
    </row>
    <row r="2" spans="1:40" ht="48.75">
      <c r="A2" s="40"/>
      <c r="B2" s="42"/>
      <c r="C2" s="44"/>
      <c r="D2" s="44"/>
      <c r="E2" s="46"/>
      <c r="F2" s="47"/>
      <c r="G2" s="23" t="s">
        <v>12</v>
      </c>
      <c r="H2" s="24" t="s">
        <v>13</v>
      </c>
      <c r="I2" s="24" t="s">
        <v>14</v>
      </c>
      <c r="J2" s="63" t="s">
        <v>15</v>
      </c>
      <c r="K2" s="25" t="s">
        <v>12</v>
      </c>
      <c r="L2" s="26" t="s">
        <v>13</v>
      </c>
      <c r="M2" s="26" t="s">
        <v>14</v>
      </c>
      <c r="N2" s="62" t="s">
        <v>15</v>
      </c>
      <c r="O2" s="26" t="s">
        <v>12</v>
      </c>
      <c r="P2" s="26" t="s">
        <v>13</v>
      </c>
      <c r="Q2" s="26" t="s">
        <v>14</v>
      </c>
      <c r="R2" s="62" t="s">
        <v>15</v>
      </c>
      <c r="S2" s="27" t="s">
        <v>12</v>
      </c>
      <c r="T2" s="28" t="s">
        <v>13</v>
      </c>
      <c r="U2" s="29" t="s">
        <v>14</v>
      </c>
      <c r="V2" s="59" t="s">
        <v>15</v>
      </c>
      <c r="W2" s="29" t="s">
        <v>12</v>
      </c>
      <c r="X2" s="29" t="s">
        <v>13</v>
      </c>
      <c r="Y2" s="29" t="s">
        <v>14</v>
      </c>
      <c r="Z2" s="59" t="s">
        <v>15</v>
      </c>
      <c r="AA2" s="29" t="s">
        <v>12</v>
      </c>
      <c r="AB2" s="29" t="s">
        <v>13</v>
      </c>
      <c r="AC2" s="29" t="s">
        <v>14</v>
      </c>
      <c r="AD2" s="59" t="s">
        <v>15</v>
      </c>
      <c r="AE2" s="57" t="s">
        <v>16</v>
      </c>
      <c r="AF2" s="30" t="s">
        <v>17</v>
      </c>
      <c r="AG2" s="29" t="s">
        <v>18</v>
      </c>
      <c r="AH2" s="29" t="s">
        <v>19</v>
      </c>
      <c r="AI2" s="31" t="s">
        <v>20</v>
      </c>
      <c r="AJ2" s="32" t="s">
        <v>21</v>
      </c>
      <c r="AK2" s="31" t="s">
        <v>22</v>
      </c>
      <c r="AL2" s="31" t="s">
        <v>23</v>
      </c>
      <c r="AM2" s="33" t="s">
        <v>24</v>
      </c>
      <c r="AN2" s="34" t="s">
        <v>25</v>
      </c>
    </row>
    <row r="3" spans="1:40" ht="30" customHeight="1">
      <c r="A3" s="35">
        <v>1</v>
      </c>
      <c r="B3" s="54">
        <v>2521</v>
      </c>
      <c r="C3" s="55" t="s">
        <v>26</v>
      </c>
      <c r="D3" s="55" t="s">
        <v>27</v>
      </c>
      <c r="E3" s="54" t="s">
        <v>28</v>
      </c>
      <c r="F3" s="4"/>
      <c r="G3" s="5">
        <v>7</v>
      </c>
      <c r="H3" s="5">
        <v>8</v>
      </c>
      <c r="I3" s="6"/>
      <c r="J3" s="60">
        <f t="shared" ref="J3:J32" si="0">SUM(G3:I3)</f>
        <v>15</v>
      </c>
      <c r="K3" s="5">
        <v>5</v>
      </c>
      <c r="L3" s="5">
        <v>9</v>
      </c>
      <c r="M3" s="6"/>
      <c r="N3" s="61">
        <f t="shared" ref="N3:N32" si="1">SUM(K3:M3)</f>
        <v>14</v>
      </c>
      <c r="O3" s="5">
        <v>9</v>
      </c>
      <c r="P3" s="5">
        <v>8</v>
      </c>
      <c r="Q3" s="6"/>
      <c r="R3" s="61">
        <f t="shared" ref="R3:R32" si="2">SUM(O3:Q3)</f>
        <v>17</v>
      </c>
      <c r="S3" s="5">
        <v>9</v>
      </c>
      <c r="T3" s="5">
        <v>8</v>
      </c>
      <c r="U3" s="6"/>
      <c r="V3" s="61">
        <f t="shared" ref="V3:V32" si="3">SUM(S3:U3)</f>
        <v>17</v>
      </c>
      <c r="W3" s="5">
        <v>6</v>
      </c>
      <c r="X3" s="5">
        <v>7</v>
      </c>
      <c r="Y3" s="6"/>
      <c r="Z3" s="61">
        <f t="shared" ref="Z3:Z32" si="4">SUM(W3:Y3)</f>
        <v>13</v>
      </c>
      <c r="AA3" s="5">
        <v>6</v>
      </c>
      <c r="AB3" s="5">
        <v>7</v>
      </c>
      <c r="AC3" s="6"/>
      <c r="AD3" s="60">
        <f t="shared" ref="AD3:AD32" si="5">SUM(AA3:AC3)</f>
        <v>13</v>
      </c>
      <c r="AE3" s="58">
        <f t="shared" ref="AE3:AE32" si="6">SUM(J3,N3,R3,V3,Z3,AD3)</f>
        <v>89</v>
      </c>
      <c r="AF3" s="9" t="str">
        <f t="shared" ref="AF3:AF32" si="7">IF(AE3=LARGE(AE:AE,COUNTIF(AE:AE,MAX(AE:AE))+0),"IST",IF(AE3=LARGE(AE:AE,COUNTIF(AE:AE,MAX(AE:AE))+1),"SECOND",IF(AE3=LARGE(AE:AE,COUNTIF(AE:AE,MAX(AE:AE))+2),"THIRD","PASS")))</f>
        <v>PASS</v>
      </c>
      <c r="AG3" s="12">
        <f t="shared" ref="AG3:AG32" si="8">AE3*100/600</f>
        <v>14.833333333333334</v>
      </c>
      <c r="AH3" s="13" t="str">
        <f t="shared" ref="AH3:AH32" si="9">IF(AG3&gt;80,"A",IF(AG3&gt;60,"B",IF(AG3&gt;40,"C","D")))</f>
        <v>D</v>
      </c>
      <c r="AI3" s="6" t="s">
        <v>29</v>
      </c>
      <c r="AJ3" s="14" t="s">
        <v>30</v>
      </c>
      <c r="AK3" s="18" t="s">
        <v>31</v>
      </c>
      <c r="AL3" s="19" t="s">
        <v>32</v>
      </c>
      <c r="AM3" s="20" t="str">
        <f t="shared" ref="AM3:AM32" si="10">IF(E3="MIN","MUSLIM","HINDU")</f>
        <v>HINDU</v>
      </c>
      <c r="AN3" s="20" t="s">
        <v>33</v>
      </c>
    </row>
    <row r="4" spans="1:40" ht="30" customHeight="1">
      <c r="A4" s="35">
        <v>2</v>
      </c>
      <c r="B4" s="54">
        <v>2525</v>
      </c>
      <c r="C4" s="55" t="s">
        <v>34</v>
      </c>
      <c r="D4" s="55" t="s">
        <v>35</v>
      </c>
      <c r="E4" s="54" t="s">
        <v>28</v>
      </c>
      <c r="F4" s="4"/>
      <c r="G4" s="5">
        <v>8</v>
      </c>
      <c r="H4" s="5">
        <v>6</v>
      </c>
      <c r="I4" s="6"/>
      <c r="J4" s="60">
        <f t="shared" si="0"/>
        <v>14</v>
      </c>
      <c r="K4" s="5">
        <v>4</v>
      </c>
      <c r="L4" s="5">
        <v>10</v>
      </c>
      <c r="M4" s="6"/>
      <c r="N4" s="61">
        <f t="shared" si="1"/>
        <v>14</v>
      </c>
      <c r="O4" s="5">
        <v>7</v>
      </c>
      <c r="P4" s="5">
        <v>9</v>
      </c>
      <c r="Q4" s="6"/>
      <c r="R4" s="61">
        <f t="shared" si="2"/>
        <v>16</v>
      </c>
      <c r="S4" s="5">
        <v>7</v>
      </c>
      <c r="T4" s="5">
        <v>9</v>
      </c>
      <c r="U4" s="6"/>
      <c r="V4" s="61">
        <f t="shared" si="3"/>
        <v>16</v>
      </c>
      <c r="W4" s="5">
        <v>9</v>
      </c>
      <c r="X4" s="5">
        <v>7</v>
      </c>
      <c r="Y4" s="6"/>
      <c r="Z4" s="61">
        <f t="shared" si="4"/>
        <v>16</v>
      </c>
      <c r="AA4" s="5">
        <v>5</v>
      </c>
      <c r="AB4" s="5">
        <v>10</v>
      </c>
      <c r="AC4" s="6"/>
      <c r="AD4" s="60">
        <f t="shared" si="5"/>
        <v>15</v>
      </c>
      <c r="AE4" s="58">
        <f t="shared" si="6"/>
        <v>91</v>
      </c>
      <c r="AF4" s="9" t="str">
        <f t="shared" si="7"/>
        <v>PASS</v>
      </c>
      <c r="AG4" s="12">
        <f t="shared" si="8"/>
        <v>15.166666666666666</v>
      </c>
      <c r="AH4" s="13" t="str">
        <f t="shared" si="9"/>
        <v>D</v>
      </c>
      <c r="AI4" s="6" t="s">
        <v>29</v>
      </c>
      <c r="AJ4" s="15" t="s">
        <v>36</v>
      </c>
      <c r="AK4" s="21">
        <v>39357</v>
      </c>
      <c r="AL4" s="2" t="s">
        <v>37</v>
      </c>
      <c r="AM4" s="20" t="str">
        <f t="shared" si="10"/>
        <v>HINDU</v>
      </c>
      <c r="AN4" s="20" t="s">
        <v>33</v>
      </c>
    </row>
    <row r="5" spans="1:40" ht="30" customHeight="1">
      <c r="A5" s="35">
        <v>3</v>
      </c>
      <c r="B5" s="54">
        <v>2534</v>
      </c>
      <c r="C5" s="55" t="s">
        <v>38</v>
      </c>
      <c r="D5" s="55" t="s">
        <v>39</v>
      </c>
      <c r="E5" s="54" t="s">
        <v>40</v>
      </c>
      <c r="F5" s="4"/>
      <c r="G5" s="5">
        <v>7</v>
      </c>
      <c r="H5" s="5">
        <v>8</v>
      </c>
      <c r="I5" s="6"/>
      <c r="J5" s="60">
        <f t="shared" si="0"/>
        <v>15</v>
      </c>
      <c r="K5" s="5">
        <v>6</v>
      </c>
      <c r="L5" s="5">
        <v>14</v>
      </c>
      <c r="M5" s="6"/>
      <c r="N5" s="61">
        <f t="shared" si="1"/>
        <v>20</v>
      </c>
      <c r="O5" s="5">
        <v>9</v>
      </c>
      <c r="P5" s="5">
        <v>6</v>
      </c>
      <c r="Q5" s="6"/>
      <c r="R5" s="61">
        <f t="shared" si="2"/>
        <v>15</v>
      </c>
      <c r="S5" s="5">
        <v>9</v>
      </c>
      <c r="T5" s="5">
        <v>6</v>
      </c>
      <c r="U5" s="6"/>
      <c r="V5" s="61">
        <f t="shared" si="3"/>
        <v>15</v>
      </c>
      <c r="W5" s="5">
        <v>4</v>
      </c>
      <c r="X5" s="5">
        <v>11</v>
      </c>
      <c r="Y5" s="6"/>
      <c r="Z5" s="61">
        <f t="shared" si="4"/>
        <v>15</v>
      </c>
      <c r="AA5" s="5">
        <v>4</v>
      </c>
      <c r="AB5" s="5">
        <v>5</v>
      </c>
      <c r="AC5" s="6"/>
      <c r="AD5" s="60">
        <f t="shared" si="5"/>
        <v>9</v>
      </c>
      <c r="AE5" s="58">
        <f t="shared" si="6"/>
        <v>89</v>
      </c>
      <c r="AF5" s="9" t="str">
        <f t="shared" si="7"/>
        <v>PASS</v>
      </c>
      <c r="AG5" s="12">
        <f t="shared" si="8"/>
        <v>14.833333333333334</v>
      </c>
      <c r="AH5" s="13" t="str">
        <f t="shared" si="9"/>
        <v>D</v>
      </c>
      <c r="AI5" s="6" t="s">
        <v>29</v>
      </c>
      <c r="AJ5" s="15" t="s">
        <v>41</v>
      </c>
      <c r="AK5" s="1" t="s">
        <v>42</v>
      </c>
      <c r="AL5" s="2" t="s">
        <v>37</v>
      </c>
      <c r="AM5" s="20" t="str">
        <f t="shared" si="10"/>
        <v>HINDU</v>
      </c>
      <c r="AN5" s="20" t="s">
        <v>33</v>
      </c>
    </row>
    <row r="6" spans="1:40" ht="30" customHeight="1">
      <c r="A6" s="35">
        <v>4</v>
      </c>
      <c r="B6" s="54">
        <v>2538</v>
      </c>
      <c r="C6" s="55" t="s">
        <v>43</v>
      </c>
      <c r="D6" s="55" t="s">
        <v>44</v>
      </c>
      <c r="E6" s="54" t="s">
        <v>28</v>
      </c>
      <c r="F6" s="4"/>
      <c r="G6" s="5">
        <v>5</v>
      </c>
      <c r="H6" s="5">
        <v>14</v>
      </c>
      <c r="I6" s="6"/>
      <c r="J6" s="60">
        <f t="shared" si="0"/>
        <v>19</v>
      </c>
      <c r="K6" s="5">
        <v>5</v>
      </c>
      <c r="L6" s="5">
        <v>8</v>
      </c>
      <c r="M6" s="6"/>
      <c r="N6" s="61">
        <f t="shared" si="1"/>
        <v>13</v>
      </c>
      <c r="O6" s="5">
        <v>8</v>
      </c>
      <c r="P6" s="5">
        <v>14</v>
      </c>
      <c r="Q6" s="6"/>
      <c r="R6" s="61">
        <f t="shared" si="2"/>
        <v>22</v>
      </c>
      <c r="S6" s="5">
        <v>8</v>
      </c>
      <c r="T6" s="5">
        <v>14</v>
      </c>
      <c r="U6" s="6"/>
      <c r="V6" s="61">
        <f t="shared" si="3"/>
        <v>22</v>
      </c>
      <c r="W6" s="5">
        <v>6</v>
      </c>
      <c r="X6" s="5">
        <v>10</v>
      </c>
      <c r="Y6" s="6"/>
      <c r="Z6" s="61">
        <f t="shared" si="4"/>
        <v>16</v>
      </c>
      <c r="AA6" s="5">
        <v>7</v>
      </c>
      <c r="AB6" s="5">
        <v>9</v>
      </c>
      <c r="AC6" s="6"/>
      <c r="AD6" s="60">
        <f t="shared" si="5"/>
        <v>16</v>
      </c>
      <c r="AE6" s="58">
        <f t="shared" si="6"/>
        <v>108</v>
      </c>
      <c r="AF6" s="9" t="str">
        <f t="shared" si="7"/>
        <v>THIRD</v>
      </c>
      <c r="AG6" s="12">
        <f t="shared" si="8"/>
        <v>18</v>
      </c>
      <c r="AH6" s="13" t="str">
        <f t="shared" si="9"/>
        <v>D</v>
      </c>
      <c r="AI6" s="6" t="s">
        <v>45</v>
      </c>
      <c r="AJ6" s="15" t="s">
        <v>46</v>
      </c>
      <c r="AK6" s="21">
        <v>39115</v>
      </c>
      <c r="AL6" s="2" t="s">
        <v>37</v>
      </c>
      <c r="AM6" s="20" t="str">
        <f t="shared" si="10"/>
        <v>HINDU</v>
      </c>
      <c r="AN6" s="20" t="s">
        <v>33</v>
      </c>
    </row>
    <row r="7" spans="1:40" ht="30" customHeight="1">
      <c r="A7" s="35">
        <v>5</v>
      </c>
      <c r="B7" s="54">
        <v>2546</v>
      </c>
      <c r="C7" s="55" t="s">
        <v>47</v>
      </c>
      <c r="D7" s="55" t="s">
        <v>48</v>
      </c>
      <c r="E7" s="54" t="s">
        <v>40</v>
      </c>
      <c r="F7" s="4"/>
      <c r="G7" s="5">
        <v>9</v>
      </c>
      <c r="H7" s="5">
        <v>5</v>
      </c>
      <c r="I7" s="6"/>
      <c r="J7" s="60">
        <f t="shared" si="0"/>
        <v>14</v>
      </c>
      <c r="K7" s="5">
        <v>5</v>
      </c>
      <c r="L7" s="5">
        <v>12</v>
      </c>
      <c r="M7" s="6"/>
      <c r="N7" s="61">
        <f t="shared" si="1"/>
        <v>17</v>
      </c>
      <c r="O7" s="5">
        <v>9</v>
      </c>
      <c r="P7" s="5">
        <v>6</v>
      </c>
      <c r="Q7" s="6"/>
      <c r="R7" s="61">
        <f t="shared" si="2"/>
        <v>15</v>
      </c>
      <c r="S7" s="5">
        <v>9</v>
      </c>
      <c r="T7" s="5">
        <v>6</v>
      </c>
      <c r="U7" s="6"/>
      <c r="V7" s="61">
        <f t="shared" si="3"/>
        <v>15</v>
      </c>
      <c r="W7" s="5">
        <v>5</v>
      </c>
      <c r="X7" s="5">
        <v>11</v>
      </c>
      <c r="Y7" s="6"/>
      <c r="Z7" s="61">
        <f t="shared" si="4"/>
        <v>16</v>
      </c>
      <c r="AA7" s="5">
        <v>5</v>
      </c>
      <c r="AB7" s="5">
        <v>13</v>
      </c>
      <c r="AC7" s="6"/>
      <c r="AD7" s="60">
        <f t="shared" si="5"/>
        <v>18</v>
      </c>
      <c r="AE7" s="58">
        <f t="shared" si="6"/>
        <v>95</v>
      </c>
      <c r="AF7" s="9" t="str">
        <f t="shared" si="7"/>
        <v>PASS</v>
      </c>
      <c r="AG7" s="12">
        <f t="shared" si="8"/>
        <v>15.833333333333334</v>
      </c>
      <c r="AH7" s="13" t="str">
        <f t="shared" si="9"/>
        <v>D</v>
      </c>
      <c r="AI7" s="6" t="s">
        <v>45</v>
      </c>
      <c r="AJ7" s="15" t="s">
        <v>49</v>
      </c>
      <c r="AK7" s="1" t="s">
        <v>50</v>
      </c>
      <c r="AL7" s="2" t="s">
        <v>37</v>
      </c>
      <c r="AM7" s="20" t="str">
        <f t="shared" si="10"/>
        <v>HINDU</v>
      </c>
      <c r="AN7" s="20" t="s">
        <v>33</v>
      </c>
    </row>
    <row r="8" spans="1:40" ht="30" customHeight="1">
      <c r="A8" s="35">
        <v>6</v>
      </c>
      <c r="B8" s="54">
        <v>2547</v>
      </c>
      <c r="C8" s="55" t="s">
        <v>51</v>
      </c>
      <c r="D8" s="55" t="s">
        <v>52</v>
      </c>
      <c r="E8" s="54" t="s">
        <v>40</v>
      </c>
      <c r="F8" s="4"/>
      <c r="G8" s="5">
        <v>9</v>
      </c>
      <c r="H8" s="5">
        <v>11</v>
      </c>
      <c r="I8" s="6"/>
      <c r="J8" s="60">
        <f t="shared" si="0"/>
        <v>20</v>
      </c>
      <c r="K8" s="5">
        <v>4</v>
      </c>
      <c r="L8" s="5">
        <v>12</v>
      </c>
      <c r="M8" s="6"/>
      <c r="N8" s="61">
        <f t="shared" si="1"/>
        <v>16</v>
      </c>
      <c r="O8" s="5">
        <v>6</v>
      </c>
      <c r="P8" s="5">
        <v>14</v>
      </c>
      <c r="Q8" s="6"/>
      <c r="R8" s="61">
        <f t="shared" si="2"/>
        <v>20</v>
      </c>
      <c r="S8" s="5">
        <v>6</v>
      </c>
      <c r="T8" s="5">
        <v>14</v>
      </c>
      <c r="U8" s="6"/>
      <c r="V8" s="61">
        <f t="shared" si="3"/>
        <v>20</v>
      </c>
      <c r="W8" s="5">
        <v>5</v>
      </c>
      <c r="X8" s="5">
        <v>11</v>
      </c>
      <c r="Y8" s="6"/>
      <c r="Z8" s="61">
        <f t="shared" si="4"/>
        <v>16</v>
      </c>
      <c r="AA8" s="5">
        <v>8</v>
      </c>
      <c r="AB8" s="5">
        <v>10</v>
      </c>
      <c r="AC8" s="6"/>
      <c r="AD8" s="60">
        <f t="shared" si="5"/>
        <v>18</v>
      </c>
      <c r="AE8" s="58">
        <f t="shared" si="6"/>
        <v>110</v>
      </c>
      <c r="AF8" s="9" t="str">
        <f t="shared" si="7"/>
        <v>SECOND</v>
      </c>
      <c r="AG8" s="12">
        <f t="shared" si="8"/>
        <v>18.333333333333332</v>
      </c>
      <c r="AH8" s="13" t="str">
        <f t="shared" si="9"/>
        <v>D</v>
      </c>
      <c r="AI8" s="6" t="s">
        <v>45</v>
      </c>
      <c r="AJ8" s="15" t="s">
        <v>53</v>
      </c>
      <c r="AK8" s="21" t="s">
        <v>54</v>
      </c>
      <c r="AL8" s="2" t="s">
        <v>37</v>
      </c>
      <c r="AM8" s="20" t="str">
        <f t="shared" si="10"/>
        <v>HINDU</v>
      </c>
      <c r="AN8" s="20" t="s">
        <v>33</v>
      </c>
    </row>
    <row r="9" spans="1:40" ht="30" customHeight="1">
      <c r="A9" s="35">
        <v>7</v>
      </c>
      <c r="B9" s="54">
        <v>2557</v>
      </c>
      <c r="C9" s="55" t="s">
        <v>55</v>
      </c>
      <c r="D9" s="55" t="s">
        <v>56</v>
      </c>
      <c r="E9" s="54" t="s">
        <v>28</v>
      </c>
      <c r="F9" s="4"/>
      <c r="G9" s="5">
        <v>4</v>
      </c>
      <c r="H9" s="5">
        <v>8</v>
      </c>
      <c r="I9" s="6"/>
      <c r="J9" s="60">
        <f t="shared" si="0"/>
        <v>12</v>
      </c>
      <c r="K9" s="5">
        <v>9</v>
      </c>
      <c r="L9" s="5">
        <v>7</v>
      </c>
      <c r="M9" s="6"/>
      <c r="N9" s="61">
        <f t="shared" si="1"/>
        <v>16</v>
      </c>
      <c r="O9" s="5">
        <v>5</v>
      </c>
      <c r="P9" s="5">
        <v>8</v>
      </c>
      <c r="Q9" s="6"/>
      <c r="R9" s="61">
        <f t="shared" si="2"/>
        <v>13</v>
      </c>
      <c r="S9" s="5">
        <v>5</v>
      </c>
      <c r="T9" s="5">
        <v>7</v>
      </c>
      <c r="U9" s="6"/>
      <c r="V9" s="61">
        <f t="shared" si="3"/>
        <v>12</v>
      </c>
      <c r="W9" s="5">
        <v>6</v>
      </c>
      <c r="X9" s="5">
        <v>10</v>
      </c>
      <c r="Y9" s="6"/>
      <c r="Z9" s="61">
        <f t="shared" si="4"/>
        <v>16</v>
      </c>
      <c r="AA9" s="5">
        <v>9</v>
      </c>
      <c r="AB9" s="5">
        <v>10</v>
      </c>
      <c r="AC9" s="6"/>
      <c r="AD9" s="60">
        <f t="shared" si="5"/>
        <v>19</v>
      </c>
      <c r="AE9" s="58">
        <f t="shared" si="6"/>
        <v>88</v>
      </c>
      <c r="AF9" s="9" t="str">
        <f t="shared" si="7"/>
        <v>PASS</v>
      </c>
      <c r="AG9" s="12">
        <f t="shared" si="8"/>
        <v>14.666666666666666</v>
      </c>
      <c r="AH9" s="13" t="str">
        <f t="shared" si="9"/>
        <v>D</v>
      </c>
      <c r="AI9" s="6" t="s">
        <v>29</v>
      </c>
      <c r="AJ9" s="15" t="s">
        <v>57</v>
      </c>
      <c r="AK9" s="21" t="s">
        <v>58</v>
      </c>
      <c r="AL9" s="2" t="s">
        <v>37</v>
      </c>
      <c r="AM9" s="20" t="str">
        <f t="shared" si="10"/>
        <v>HINDU</v>
      </c>
      <c r="AN9" s="20" t="s">
        <v>33</v>
      </c>
    </row>
    <row r="10" spans="1:40" ht="30" customHeight="1">
      <c r="A10" s="35">
        <v>8</v>
      </c>
      <c r="B10" s="54">
        <v>2565</v>
      </c>
      <c r="C10" s="55" t="s">
        <v>59</v>
      </c>
      <c r="D10" s="55" t="s">
        <v>60</v>
      </c>
      <c r="E10" s="54" t="s">
        <v>40</v>
      </c>
      <c r="F10" s="4"/>
      <c r="G10" s="5">
        <v>9</v>
      </c>
      <c r="H10" s="5">
        <v>6</v>
      </c>
      <c r="I10" s="6"/>
      <c r="J10" s="60">
        <f t="shared" si="0"/>
        <v>15</v>
      </c>
      <c r="K10" s="5">
        <v>7</v>
      </c>
      <c r="L10" s="5">
        <v>10</v>
      </c>
      <c r="M10" s="6"/>
      <c r="N10" s="61">
        <f t="shared" si="1"/>
        <v>17</v>
      </c>
      <c r="O10" s="5">
        <v>4</v>
      </c>
      <c r="P10" s="5">
        <v>5</v>
      </c>
      <c r="Q10" s="6"/>
      <c r="R10" s="61">
        <f t="shared" si="2"/>
        <v>9</v>
      </c>
      <c r="S10" s="5">
        <v>4</v>
      </c>
      <c r="T10" s="5">
        <v>5</v>
      </c>
      <c r="U10" s="6"/>
      <c r="V10" s="61">
        <f t="shared" si="3"/>
        <v>9</v>
      </c>
      <c r="W10" s="5">
        <v>4</v>
      </c>
      <c r="X10" s="5">
        <v>9</v>
      </c>
      <c r="Y10" s="6"/>
      <c r="Z10" s="61">
        <f t="shared" si="4"/>
        <v>13</v>
      </c>
      <c r="AA10" s="5">
        <v>5</v>
      </c>
      <c r="AB10" s="5">
        <v>14</v>
      </c>
      <c r="AC10" s="6"/>
      <c r="AD10" s="60">
        <f t="shared" si="5"/>
        <v>19</v>
      </c>
      <c r="AE10" s="58">
        <f t="shared" si="6"/>
        <v>82</v>
      </c>
      <c r="AF10" s="9" t="str">
        <f t="shared" si="7"/>
        <v>PASS</v>
      </c>
      <c r="AG10" s="12">
        <f t="shared" si="8"/>
        <v>13.666666666666666</v>
      </c>
      <c r="AH10" s="13" t="str">
        <f t="shared" si="9"/>
        <v>D</v>
      </c>
      <c r="AI10" s="6" t="s">
        <v>29</v>
      </c>
      <c r="AJ10" s="15" t="s">
        <v>61</v>
      </c>
      <c r="AK10" s="21">
        <v>38996</v>
      </c>
      <c r="AL10" s="2" t="s">
        <v>37</v>
      </c>
      <c r="AM10" s="20" t="str">
        <f t="shared" si="10"/>
        <v>HINDU</v>
      </c>
      <c r="AN10" s="20" t="s">
        <v>33</v>
      </c>
    </row>
    <row r="11" spans="1:40" ht="30" customHeight="1">
      <c r="A11" s="35">
        <v>9</v>
      </c>
      <c r="B11" s="54">
        <v>2578</v>
      </c>
      <c r="C11" s="55" t="s">
        <v>62</v>
      </c>
      <c r="D11" s="55" t="s">
        <v>63</v>
      </c>
      <c r="E11" s="54" t="s">
        <v>40</v>
      </c>
      <c r="F11" s="4"/>
      <c r="G11" s="5">
        <v>9</v>
      </c>
      <c r="H11" s="5">
        <v>5</v>
      </c>
      <c r="I11" s="6"/>
      <c r="J11" s="60">
        <f t="shared" si="0"/>
        <v>14</v>
      </c>
      <c r="K11" s="5">
        <v>6</v>
      </c>
      <c r="L11" s="5">
        <v>7</v>
      </c>
      <c r="M11" s="6"/>
      <c r="N11" s="61">
        <f t="shared" si="1"/>
        <v>13</v>
      </c>
      <c r="O11" s="5">
        <v>7</v>
      </c>
      <c r="P11" s="5">
        <v>12</v>
      </c>
      <c r="Q11" s="6"/>
      <c r="R11" s="61">
        <f t="shared" si="2"/>
        <v>19</v>
      </c>
      <c r="S11" s="5">
        <v>7</v>
      </c>
      <c r="T11" s="5">
        <v>12</v>
      </c>
      <c r="U11" s="6"/>
      <c r="V11" s="61">
        <f t="shared" si="3"/>
        <v>19</v>
      </c>
      <c r="W11" s="5">
        <v>4</v>
      </c>
      <c r="X11" s="5">
        <v>8</v>
      </c>
      <c r="Y11" s="6"/>
      <c r="Z11" s="61">
        <f t="shared" si="4"/>
        <v>12</v>
      </c>
      <c r="AA11" s="5">
        <v>7</v>
      </c>
      <c r="AB11" s="5">
        <v>7</v>
      </c>
      <c r="AC11" s="6"/>
      <c r="AD11" s="60">
        <f t="shared" si="5"/>
        <v>14</v>
      </c>
      <c r="AE11" s="58">
        <f t="shared" si="6"/>
        <v>91</v>
      </c>
      <c r="AF11" s="9" t="str">
        <f t="shared" si="7"/>
        <v>PASS</v>
      </c>
      <c r="AG11" s="12">
        <f t="shared" si="8"/>
        <v>15.166666666666666</v>
      </c>
      <c r="AH11" s="13" t="str">
        <f t="shared" si="9"/>
        <v>D</v>
      </c>
      <c r="AI11" s="6" t="s">
        <v>45</v>
      </c>
      <c r="AJ11" s="15" t="s">
        <v>64</v>
      </c>
      <c r="AK11" s="21" t="s">
        <v>65</v>
      </c>
      <c r="AL11" s="2" t="s">
        <v>37</v>
      </c>
      <c r="AM11" s="20" t="str">
        <f t="shared" si="10"/>
        <v>HINDU</v>
      </c>
      <c r="AN11" s="20" t="s">
        <v>33</v>
      </c>
    </row>
    <row r="12" spans="1:40" ht="30" customHeight="1">
      <c r="A12" s="35">
        <v>10</v>
      </c>
      <c r="B12" s="54">
        <v>2581</v>
      </c>
      <c r="C12" s="55" t="s">
        <v>66</v>
      </c>
      <c r="D12" s="55" t="s">
        <v>67</v>
      </c>
      <c r="E12" s="54" t="s">
        <v>28</v>
      </c>
      <c r="F12" s="4"/>
      <c r="G12" s="5">
        <v>4</v>
      </c>
      <c r="H12" s="5">
        <v>8</v>
      </c>
      <c r="I12" s="6"/>
      <c r="J12" s="60">
        <f t="shared" si="0"/>
        <v>12</v>
      </c>
      <c r="K12" s="5">
        <v>6</v>
      </c>
      <c r="L12" s="5">
        <v>7</v>
      </c>
      <c r="M12" s="6"/>
      <c r="N12" s="61">
        <f t="shared" si="1"/>
        <v>13</v>
      </c>
      <c r="O12" s="5">
        <v>5</v>
      </c>
      <c r="P12" s="5">
        <v>9</v>
      </c>
      <c r="Q12" s="6"/>
      <c r="R12" s="61">
        <f t="shared" si="2"/>
        <v>14</v>
      </c>
      <c r="S12" s="5">
        <v>5</v>
      </c>
      <c r="T12" s="5">
        <v>9</v>
      </c>
      <c r="U12" s="6"/>
      <c r="V12" s="61">
        <f t="shared" si="3"/>
        <v>14</v>
      </c>
      <c r="W12" s="5">
        <v>6</v>
      </c>
      <c r="X12" s="5">
        <v>8</v>
      </c>
      <c r="Y12" s="6"/>
      <c r="Z12" s="61">
        <f t="shared" si="4"/>
        <v>14</v>
      </c>
      <c r="AA12" s="5">
        <v>8</v>
      </c>
      <c r="AB12" s="5">
        <v>10</v>
      </c>
      <c r="AC12" s="6"/>
      <c r="AD12" s="60">
        <f t="shared" si="5"/>
        <v>18</v>
      </c>
      <c r="AE12" s="58">
        <f t="shared" si="6"/>
        <v>85</v>
      </c>
      <c r="AF12" s="9" t="str">
        <f t="shared" si="7"/>
        <v>PASS</v>
      </c>
      <c r="AG12" s="12">
        <f t="shared" si="8"/>
        <v>14.166666666666666</v>
      </c>
      <c r="AH12" s="13" t="str">
        <f t="shared" si="9"/>
        <v>D</v>
      </c>
      <c r="AI12" s="6" t="s">
        <v>45</v>
      </c>
      <c r="AJ12" s="15" t="s">
        <v>68</v>
      </c>
      <c r="AK12" s="21" t="s">
        <v>69</v>
      </c>
      <c r="AL12" s="2" t="s">
        <v>37</v>
      </c>
      <c r="AM12" s="20" t="str">
        <f t="shared" si="10"/>
        <v>HINDU</v>
      </c>
      <c r="AN12" s="20" t="s">
        <v>33</v>
      </c>
    </row>
    <row r="13" spans="1:40" ht="30" customHeight="1">
      <c r="A13" s="35">
        <v>11</v>
      </c>
      <c r="B13" s="54">
        <v>2594</v>
      </c>
      <c r="C13" s="55" t="s">
        <v>70</v>
      </c>
      <c r="D13" s="55" t="s">
        <v>71</v>
      </c>
      <c r="E13" s="54" t="s">
        <v>28</v>
      </c>
      <c r="F13" s="4"/>
      <c r="G13" s="5">
        <v>4</v>
      </c>
      <c r="H13" s="5">
        <v>11</v>
      </c>
      <c r="I13" s="6"/>
      <c r="J13" s="60">
        <f t="shared" si="0"/>
        <v>15</v>
      </c>
      <c r="K13" s="5">
        <v>6</v>
      </c>
      <c r="L13" s="5">
        <v>11</v>
      </c>
      <c r="M13" s="6"/>
      <c r="N13" s="61">
        <f t="shared" si="1"/>
        <v>17</v>
      </c>
      <c r="O13" s="5">
        <v>6</v>
      </c>
      <c r="P13" s="5">
        <v>13</v>
      </c>
      <c r="Q13" s="6"/>
      <c r="R13" s="61">
        <f t="shared" si="2"/>
        <v>19</v>
      </c>
      <c r="S13" s="5">
        <v>6</v>
      </c>
      <c r="T13" s="5">
        <v>13</v>
      </c>
      <c r="U13" s="6"/>
      <c r="V13" s="61">
        <f t="shared" si="3"/>
        <v>19</v>
      </c>
      <c r="W13" s="5">
        <v>5</v>
      </c>
      <c r="X13" s="5">
        <v>11</v>
      </c>
      <c r="Y13" s="6"/>
      <c r="Z13" s="61">
        <f t="shared" si="4"/>
        <v>16</v>
      </c>
      <c r="AA13" s="5">
        <v>9</v>
      </c>
      <c r="AB13" s="5">
        <v>12</v>
      </c>
      <c r="AC13" s="6"/>
      <c r="AD13" s="60">
        <f t="shared" si="5"/>
        <v>21</v>
      </c>
      <c r="AE13" s="58">
        <f t="shared" si="6"/>
        <v>107</v>
      </c>
      <c r="AF13" s="9" t="str">
        <f t="shared" si="7"/>
        <v>PASS</v>
      </c>
      <c r="AG13" s="12">
        <f t="shared" si="8"/>
        <v>17.833333333333332</v>
      </c>
      <c r="AH13" s="13" t="str">
        <f t="shared" si="9"/>
        <v>D</v>
      </c>
      <c r="AI13" s="6" t="s">
        <v>45</v>
      </c>
      <c r="AJ13" s="15" t="s">
        <v>72</v>
      </c>
      <c r="AK13" s="21" t="s">
        <v>73</v>
      </c>
      <c r="AL13" s="2" t="s">
        <v>74</v>
      </c>
      <c r="AM13" s="20" t="str">
        <f t="shared" si="10"/>
        <v>HINDU</v>
      </c>
      <c r="AN13" s="20" t="s">
        <v>33</v>
      </c>
    </row>
    <row r="14" spans="1:40" ht="30" customHeight="1">
      <c r="A14" s="35">
        <v>12</v>
      </c>
      <c r="B14" s="54">
        <v>2597</v>
      </c>
      <c r="C14" s="55" t="s">
        <v>75</v>
      </c>
      <c r="D14" s="55" t="s">
        <v>76</v>
      </c>
      <c r="E14" s="54" t="s">
        <v>77</v>
      </c>
      <c r="F14" s="4"/>
      <c r="G14" s="5">
        <v>9</v>
      </c>
      <c r="H14" s="5">
        <v>9</v>
      </c>
      <c r="I14" s="6"/>
      <c r="J14" s="60">
        <f t="shared" si="0"/>
        <v>18</v>
      </c>
      <c r="K14" s="5">
        <v>8</v>
      </c>
      <c r="L14" s="5">
        <v>7</v>
      </c>
      <c r="M14" s="6"/>
      <c r="N14" s="61">
        <f t="shared" si="1"/>
        <v>15</v>
      </c>
      <c r="O14" s="5">
        <v>9</v>
      </c>
      <c r="P14" s="5">
        <v>8</v>
      </c>
      <c r="Q14" s="6"/>
      <c r="R14" s="61">
        <f t="shared" si="2"/>
        <v>17</v>
      </c>
      <c r="S14" s="5">
        <v>9</v>
      </c>
      <c r="T14" s="5">
        <v>8</v>
      </c>
      <c r="U14" s="6"/>
      <c r="V14" s="61">
        <f t="shared" si="3"/>
        <v>17</v>
      </c>
      <c r="W14" s="5">
        <v>8</v>
      </c>
      <c r="X14" s="5">
        <v>14</v>
      </c>
      <c r="Y14" s="6"/>
      <c r="Z14" s="61">
        <f t="shared" si="4"/>
        <v>22</v>
      </c>
      <c r="AA14" s="5">
        <v>6</v>
      </c>
      <c r="AB14" s="5">
        <v>8</v>
      </c>
      <c r="AC14" s="6"/>
      <c r="AD14" s="60">
        <f t="shared" si="5"/>
        <v>14</v>
      </c>
      <c r="AE14" s="58">
        <f t="shared" si="6"/>
        <v>103</v>
      </c>
      <c r="AF14" s="9" t="str">
        <f t="shared" si="7"/>
        <v>PASS</v>
      </c>
      <c r="AG14" s="12">
        <f t="shared" si="8"/>
        <v>17.166666666666668</v>
      </c>
      <c r="AH14" s="13" t="str">
        <f t="shared" si="9"/>
        <v>D</v>
      </c>
      <c r="AI14" s="6" t="s">
        <v>29</v>
      </c>
      <c r="AJ14" s="15" t="s">
        <v>78</v>
      </c>
      <c r="AK14" s="21" t="s">
        <v>79</v>
      </c>
      <c r="AL14" s="2" t="s">
        <v>37</v>
      </c>
      <c r="AM14" s="20" t="str">
        <f t="shared" si="10"/>
        <v>HINDU</v>
      </c>
      <c r="AN14" s="20" t="s">
        <v>33</v>
      </c>
    </row>
    <row r="15" spans="1:40" ht="30" customHeight="1">
      <c r="A15" s="35">
        <v>13</v>
      </c>
      <c r="B15" s="54">
        <v>2615</v>
      </c>
      <c r="C15" s="55" t="s">
        <v>80</v>
      </c>
      <c r="D15" s="55" t="s">
        <v>81</v>
      </c>
      <c r="E15" s="54" t="s">
        <v>40</v>
      </c>
      <c r="F15" s="4"/>
      <c r="G15" s="5">
        <v>8</v>
      </c>
      <c r="H15" s="5">
        <v>10</v>
      </c>
      <c r="I15" s="6"/>
      <c r="J15" s="60">
        <f t="shared" si="0"/>
        <v>18</v>
      </c>
      <c r="K15" s="5">
        <v>9</v>
      </c>
      <c r="L15" s="5">
        <v>5</v>
      </c>
      <c r="M15" s="6"/>
      <c r="N15" s="61">
        <f t="shared" si="1"/>
        <v>14</v>
      </c>
      <c r="O15" s="5">
        <v>8</v>
      </c>
      <c r="P15" s="5">
        <v>8</v>
      </c>
      <c r="Q15" s="6"/>
      <c r="R15" s="61">
        <f t="shared" si="2"/>
        <v>16</v>
      </c>
      <c r="S15" s="5">
        <v>8</v>
      </c>
      <c r="T15" s="5">
        <v>7</v>
      </c>
      <c r="U15" s="6"/>
      <c r="V15" s="61">
        <f t="shared" si="3"/>
        <v>15</v>
      </c>
      <c r="W15" s="5">
        <v>9</v>
      </c>
      <c r="X15" s="5">
        <v>6</v>
      </c>
      <c r="Y15" s="6"/>
      <c r="Z15" s="61">
        <f t="shared" si="4"/>
        <v>15</v>
      </c>
      <c r="AA15" s="5">
        <v>8</v>
      </c>
      <c r="AB15" s="5">
        <v>8</v>
      </c>
      <c r="AC15" s="6"/>
      <c r="AD15" s="60">
        <f t="shared" si="5"/>
        <v>16</v>
      </c>
      <c r="AE15" s="58">
        <f t="shared" si="6"/>
        <v>94</v>
      </c>
      <c r="AF15" s="9" t="str">
        <f t="shared" si="7"/>
        <v>PASS</v>
      </c>
      <c r="AG15" s="12">
        <f t="shared" si="8"/>
        <v>15.666666666666666</v>
      </c>
      <c r="AH15" s="13" t="str">
        <f t="shared" si="9"/>
        <v>D</v>
      </c>
      <c r="AI15" s="6" t="s">
        <v>45</v>
      </c>
      <c r="AJ15" s="15" t="s">
        <v>82</v>
      </c>
      <c r="AK15" s="21">
        <v>39264</v>
      </c>
      <c r="AL15" s="2" t="s">
        <v>83</v>
      </c>
      <c r="AM15" s="20" t="str">
        <f t="shared" si="10"/>
        <v>HINDU</v>
      </c>
      <c r="AN15" s="20" t="s">
        <v>33</v>
      </c>
    </row>
    <row r="16" spans="1:40" ht="30" customHeight="1">
      <c r="A16" s="35">
        <v>14</v>
      </c>
      <c r="B16" s="54">
        <v>2637</v>
      </c>
      <c r="C16" s="55" t="s">
        <v>84</v>
      </c>
      <c r="D16" s="55" t="s">
        <v>85</v>
      </c>
      <c r="E16" s="54" t="s">
        <v>40</v>
      </c>
      <c r="F16" s="4"/>
      <c r="G16" s="5">
        <v>8</v>
      </c>
      <c r="H16" s="5">
        <v>8</v>
      </c>
      <c r="I16" s="6"/>
      <c r="J16" s="60">
        <f t="shared" si="0"/>
        <v>16</v>
      </c>
      <c r="K16" s="5">
        <v>7</v>
      </c>
      <c r="L16" s="5">
        <v>7</v>
      </c>
      <c r="M16" s="6"/>
      <c r="N16" s="61">
        <f t="shared" si="1"/>
        <v>14</v>
      </c>
      <c r="O16" s="5">
        <v>9</v>
      </c>
      <c r="P16" s="5">
        <v>7</v>
      </c>
      <c r="Q16" s="6"/>
      <c r="R16" s="61">
        <f t="shared" si="2"/>
        <v>16</v>
      </c>
      <c r="S16" s="5">
        <v>9</v>
      </c>
      <c r="T16" s="5">
        <v>8</v>
      </c>
      <c r="U16" s="6"/>
      <c r="V16" s="61">
        <f t="shared" si="3"/>
        <v>17</v>
      </c>
      <c r="W16" s="5">
        <v>5</v>
      </c>
      <c r="X16" s="5">
        <v>9</v>
      </c>
      <c r="Y16" s="6"/>
      <c r="Z16" s="61">
        <f t="shared" si="4"/>
        <v>14</v>
      </c>
      <c r="AA16" s="5">
        <v>4</v>
      </c>
      <c r="AB16" s="5">
        <v>8</v>
      </c>
      <c r="AC16" s="6"/>
      <c r="AD16" s="60">
        <f t="shared" si="5"/>
        <v>12</v>
      </c>
      <c r="AE16" s="58">
        <f t="shared" si="6"/>
        <v>89</v>
      </c>
      <c r="AF16" s="9" t="str">
        <f t="shared" si="7"/>
        <v>PASS</v>
      </c>
      <c r="AG16" s="12">
        <f t="shared" si="8"/>
        <v>14.833333333333334</v>
      </c>
      <c r="AH16" s="13" t="str">
        <f t="shared" si="9"/>
        <v>D</v>
      </c>
      <c r="AI16" s="6" t="s">
        <v>29</v>
      </c>
      <c r="AJ16" s="15" t="s">
        <v>86</v>
      </c>
      <c r="AK16" s="21">
        <v>39358</v>
      </c>
      <c r="AL16" s="2" t="s">
        <v>37</v>
      </c>
      <c r="AM16" s="20" t="str">
        <f t="shared" si="10"/>
        <v>HINDU</v>
      </c>
      <c r="AN16" s="20" t="s">
        <v>33</v>
      </c>
    </row>
    <row r="17" spans="1:40" ht="30" customHeight="1">
      <c r="A17" s="35">
        <v>15</v>
      </c>
      <c r="B17" s="54">
        <v>2694</v>
      </c>
      <c r="C17" s="55" t="s">
        <v>87</v>
      </c>
      <c r="D17" s="55" t="s">
        <v>88</v>
      </c>
      <c r="E17" s="54" t="s">
        <v>89</v>
      </c>
      <c r="F17" s="4"/>
      <c r="G17" s="5">
        <v>6</v>
      </c>
      <c r="H17" s="5">
        <v>5</v>
      </c>
      <c r="I17" s="6"/>
      <c r="J17" s="60">
        <f t="shared" si="0"/>
        <v>11</v>
      </c>
      <c r="K17" s="5">
        <v>4</v>
      </c>
      <c r="L17" s="5">
        <v>7</v>
      </c>
      <c r="M17" s="6"/>
      <c r="N17" s="61">
        <f t="shared" si="1"/>
        <v>11</v>
      </c>
      <c r="O17" s="5">
        <v>6</v>
      </c>
      <c r="P17" s="5">
        <v>7</v>
      </c>
      <c r="Q17" s="6"/>
      <c r="R17" s="61">
        <f t="shared" si="2"/>
        <v>13</v>
      </c>
      <c r="S17" s="5">
        <v>6</v>
      </c>
      <c r="T17" s="5">
        <v>7</v>
      </c>
      <c r="U17" s="6"/>
      <c r="V17" s="61">
        <f t="shared" si="3"/>
        <v>13</v>
      </c>
      <c r="W17" s="5">
        <v>6</v>
      </c>
      <c r="X17" s="5">
        <v>9</v>
      </c>
      <c r="Y17" s="6"/>
      <c r="Z17" s="61">
        <f t="shared" si="4"/>
        <v>15</v>
      </c>
      <c r="AA17" s="5">
        <v>5</v>
      </c>
      <c r="AB17" s="5">
        <v>7</v>
      </c>
      <c r="AC17" s="6"/>
      <c r="AD17" s="60">
        <f t="shared" si="5"/>
        <v>12</v>
      </c>
      <c r="AE17" s="58">
        <f t="shared" si="6"/>
        <v>75</v>
      </c>
      <c r="AF17" s="9" t="str">
        <f t="shared" si="7"/>
        <v>PASS</v>
      </c>
      <c r="AG17" s="12">
        <f t="shared" si="8"/>
        <v>12.5</v>
      </c>
      <c r="AH17" s="13" t="str">
        <f t="shared" si="9"/>
        <v>D</v>
      </c>
      <c r="AI17" s="6" t="s">
        <v>29</v>
      </c>
      <c r="AJ17" s="15" t="s">
        <v>90</v>
      </c>
      <c r="AK17" s="21">
        <v>38628</v>
      </c>
      <c r="AL17" s="2" t="s">
        <v>91</v>
      </c>
      <c r="AM17" s="20" t="str">
        <f t="shared" si="10"/>
        <v>MUSLIM</v>
      </c>
      <c r="AN17" s="20" t="s">
        <v>33</v>
      </c>
    </row>
    <row r="18" spans="1:40" ht="30" customHeight="1">
      <c r="A18" s="35">
        <v>16</v>
      </c>
      <c r="B18" s="54">
        <v>2715</v>
      </c>
      <c r="C18" s="55" t="s">
        <v>92</v>
      </c>
      <c r="D18" s="55" t="s">
        <v>93</v>
      </c>
      <c r="E18" s="54" t="s">
        <v>89</v>
      </c>
      <c r="F18" s="4"/>
      <c r="G18" s="5">
        <v>8</v>
      </c>
      <c r="H18" s="5">
        <v>10</v>
      </c>
      <c r="I18" s="6"/>
      <c r="J18" s="60">
        <f t="shared" si="0"/>
        <v>18</v>
      </c>
      <c r="K18" s="5">
        <v>8</v>
      </c>
      <c r="L18" s="5">
        <v>11</v>
      </c>
      <c r="M18" s="6"/>
      <c r="N18" s="61">
        <f t="shared" si="1"/>
        <v>19</v>
      </c>
      <c r="O18" s="5">
        <v>7</v>
      </c>
      <c r="P18" s="5">
        <v>6</v>
      </c>
      <c r="Q18" s="6"/>
      <c r="R18" s="61">
        <f t="shared" si="2"/>
        <v>13</v>
      </c>
      <c r="S18" s="5">
        <v>7</v>
      </c>
      <c r="T18" s="5">
        <v>6</v>
      </c>
      <c r="U18" s="6"/>
      <c r="V18" s="61">
        <f t="shared" si="3"/>
        <v>13</v>
      </c>
      <c r="W18" s="5">
        <v>4</v>
      </c>
      <c r="X18" s="5">
        <v>6</v>
      </c>
      <c r="Y18" s="6"/>
      <c r="Z18" s="61">
        <f t="shared" si="4"/>
        <v>10</v>
      </c>
      <c r="AA18" s="5">
        <v>4</v>
      </c>
      <c r="AB18" s="5">
        <v>7</v>
      </c>
      <c r="AC18" s="6"/>
      <c r="AD18" s="60">
        <f t="shared" si="5"/>
        <v>11</v>
      </c>
      <c r="AE18" s="58">
        <f t="shared" si="6"/>
        <v>84</v>
      </c>
      <c r="AF18" s="9" t="str">
        <f t="shared" si="7"/>
        <v>PASS</v>
      </c>
      <c r="AG18" s="12">
        <f t="shared" si="8"/>
        <v>14</v>
      </c>
      <c r="AH18" s="13" t="str">
        <f t="shared" si="9"/>
        <v>D</v>
      </c>
      <c r="AI18" s="6" t="s">
        <v>29</v>
      </c>
      <c r="AJ18" s="15" t="s">
        <v>94</v>
      </c>
      <c r="AK18" s="21">
        <v>38721</v>
      </c>
      <c r="AL18" s="2" t="s">
        <v>95</v>
      </c>
      <c r="AM18" s="20" t="str">
        <f t="shared" si="10"/>
        <v>MUSLIM</v>
      </c>
      <c r="AN18" s="20" t="s">
        <v>33</v>
      </c>
    </row>
    <row r="19" spans="1:40" ht="30" customHeight="1">
      <c r="A19" s="35">
        <v>17</v>
      </c>
      <c r="B19" s="54">
        <v>2721</v>
      </c>
      <c r="C19" s="55" t="s">
        <v>96</v>
      </c>
      <c r="D19" s="55" t="s">
        <v>97</v>
      </c>
      <c r="E19" s="54" t="s">
        <v>89</v>
      </c>
      <c r="F19" s="4"/>
      <c r="G19" s="5">
        <v>9</v>
      </c>
      <c r="H19" s="5">
        <v>11</v>
      </c>
      <c r="I19" s="6"/>
      <c r="J19" s="60">
        <f t="shared" si="0"/>
        <v>20</v>
      </c>
      <c r="K19" s="5">
        <v>8</v>
      </c>
      <c r="L19" s="5">
        <v>9</v>
      </c>
      <c r="M19" s="6"/>
      <c r="N19" s="61">
        <f t="shared" si="1"/>
        <v>17</v>
      </c>
      <c r="O19" s="5">
        <v>7</v>
      </c>
      <c r="P19" s="5">
        <v>7</v>
      </c>
      <c r="Q19" s="6"/>
      <c r="R19" s="61">
        <f t="shared" si="2"/>
        <v>14</v>
      </c>
      <c r="S19" s="5">
        <v>7</v>
      </c>
      <c r="T19" s="5">
        <v>7</v>
      </c>
      <c r="U19" s="6"/>
      <c r="V19" s="61">
        <f t="shared" si="3"/>
        <v>14</v>
      </c>
      <c r="W19" s="5">
        <v>4</v>
      </c>
      <c r="X19" s="5">
        <v>8</v>
      </c>
      <c r="Y19" s="6"/>
      <c r="Z19" s="61">
        <f t="shared" si="4"/>
        <v>12</v>
      </c>
      <c r="AA19" s="5">
        <v>6</v>
      </c>
      <c r="AB19" s="5">
        <v>9</v>
      </c>
      <c r="AC19" s="6"/>
      <c r="AD19" s="60">
        <f t="shared" si="5"/>
        <v>15</v>
      </c>
      <c r="AE19" s="58">
        <f t="shared" si="6"/>
        <v>92</v>
      </c>
      <c r="AF19" s="9" t="str">
        <f t="shared" si="7"/>
        <v>PASS</v>
      </c>
      <c r="AG19" s="12">
        <f t="shared" si="8"/>
        <v>15.333333333333334</v>
      </c>
      <c r="AH19" s="13" t="str">
        <f t="shared" si="9"/>
        <v>D</v>
      </c>
      <c r="AI19" s="6" t="s">
        <v>45</v>
      </c>
      <c r="AJ19" s="15" t="s">
        <v>98</v>
      </c>
      <c r="AK19" s="21">
        <v>38779</v>
      </c>
      <c r="AL19" s="2" t="s">
        <v>99</v>
      </c>
      <c r="AM19" s="20" t="str">
        <f t="shared" si="10"/>
        <v>MUSLIM</v>
      </c>
      <c r="AN19" s="20" t="s">
        <v>33</v>
      </c>
    </row>
    <row r="20" spans="1:40" ht="30" customHeight="1">
      <c r="A20" s="35">
        <v>18</v>
      </c>
      <c r="B20" s="54">
        <v>2771</v>
      </c>
      <c r="C20" s="55" t="s">
        <v>100</v>
      </c>
      <c r="D20" s="55" t="s">
        <v>101</v>
      </c>
      <c r="E20" s="54" t="s">
        <v>28</v>
      </c>
      <c r="F20" s="4"/>
      <c r="G20" s="5">
        <v>6</v>
      </c>
      <c r="H20" s="5">
        <v>13</v>
      </c>
      <c r="I20" s="6"/>
      <c r="J20" s="60">
        <f t="shared" si="0"/>
        <v>19</v>
      </c>
      <c r="K20" s="5">
        <v>5</v>
      </c>
      <c r="L20" s="5">
        <v>5</v>
      </c>
      <c r="M20" s="6"/>
      <c r="N20" s="61">
        <f t="shared" si="1"/>
        <v>10</v>
      </c>
      <c r="O20" s="5">
        <v>5</v>
      </c>
      <c r="P20" s="5">
        <v>7</v>
      </c>
      <c r="Q20" s="6"/>
      <c r="R20" s="61">
        <f t="shared" si="2"/>
        <v>12</v>
      </c>
      <c r="S20" s="5">
        <v>5</v>
      </c>
      <c r="T20" s="5">
        <v>7</v>
      </c>
      <c r="U20" s="6"/>
      <c r="V20" s="61">
        <f t="shared" si="3"/>
        <v>12</v>
      </c>
      <c r="W20" s="5">
        <v>9</v>
      </c>
      <c r="X20" s="5">
        <v>9</v>
      </c>
      <c r="Y20" s="6"/>
      <c r="Z20" s="61">
        <f t="shared" si="4"/>
        <v>18</v>
      </c>
      <c r="AA20" s="5">
        <v>6</v>
      </c>
      <c r="AB20" s="5">
        <v>5</v>
      </c>
      <c r="AC20" s="6"/>
      <c r="AD20" s="60">
        <f t="shared" si="5"/>
        <v>11</v>
      </c>
      <c r="AE20" s="58">
        <f t="shared" si="6"/>
        <v>82</v>
      </c>
      <c r="AF20" s="9" t="str">
        <f t="shared" si="7"/>
        <v>PASS</v>
      </c>
      <c r="AG20" s="12">
        <f t="shared" si="8"/>
        <v>13.666666666666666</v>
      </c>
      <c r="AH20" s="13" t="str">
        <f t="shared" si="9"/>
        <v>D</v>
      </c>
      <c r="AI20" s="6" t="s">
        <v>45</v>
      </c>
      <c r="AJ20" s="15" t="s">
        <v>102</v>
      </c>
      <c r="AK20" s="1" t="s">
        <v>103</v>
      </c>
      <c r="AL20" s="2" t="s">
        <v>37</v>
      </c>
      <c r="AM20" s="20" t="str">
        <f t="shared" si="10"/>
        <v>HINDU</v>
      </c>
      <c r="AN20" s="20" t="s">
        <v>33</v>
      </c>
    </row>
    <row r="21" spans="1:40" ht="30" customHeight="1">
      <c r="A21" s="35">
        <v>19</v>
      </c>
      <c r="B21" s="54">
        <v>2780</v>
      </c>
      <c r="C21" s="55" t="s">
        <v>104</v>
      </c>
      <c r="D21" s="55" t="s">
        <v>105</v>
      </c>
      <c r="E21" s="54" t="s">
        <v>28</v>
      </c>
      <c r="F21" s="4"/>
      <c r="G21" s="5">
        <v>5</v>
      </c>
      <c r="H21" s="5">
        <v>8</v>
      </c>
      <c r="I21" s="6"/>
      <c r="J21" s="60">
        <f t="shared" si="0"/>
        <v>13</v>
      </c>
      <c r="K21" s="5">
        <v>9</v>
      </c>
      <c r="L21" s="5">
        <v>8</v>
      </c>
      <c r="M21" s="6"/>
      <c r="N21" s="61">
        <f t="shared" si="1"/>
        <v>17</v>
      </c>
      <c r="O21" s="5">
        <v>6</v>
      </c>
      <c r="P21" s="5">
        <v>7</v>
      </c>
      <c r="Q21" s="6"/>
      <c r="R21" s="61">
        <f t="shared" si="2"/>
        <v>13</v>
      </c>
      <c r="S21" s="5">
        <v>6</v>
      </c>
      <c r="T21" s="5">
        <v>7</v>
      </c>
      <c r="U21" s="6"/>
      <c r="V21" s="61">
        <f t="shared" si="3"/>
        <v>13</v>
      </c>
      <c r="W21" s="5">
        <v>9</v>
      </c>
      <c r="X21" s="5">
        <v>7</v>
      </c>
      <c r="Y21" s="6"/>
      <c r="Z21" s="61">
        <f t="shared" si="4"/>
        <v>16</v>
      </c>
      <c r="AA21" s="5">
        <v>8</v>
      </c>
      <c r="AB21" s="5">
        <v>8</v>
      </c>
      <c r="AC21" s="6"/>
      <c r="AD21" s="60">
        <f t="shared" si="5"/>
        <v>16</v>
      </c>
      <c r="AE21" s="58">
        <f t="shared" si="6"/>
        <v>88</v>
      </c>
      <c r="AF21" s="9" t="str">
        <f t="shared" si="7"/>
        <v>PASS</v>
      </c>
      <c r="AG21" s="12">
        <f t="shared" si="8"/>
        <v>14.666666666666666</v>
      </c>
      <c r="AH21" s="13" t="str">
        <f t="shared" si="9"/>
        <v>D</v>
      </c>
      <c r="AI21" s="6" t="s">
        <v>45</v>
      </c>
      <c r="AJ21" s="15" t="s">
        <v>106</v>
      </c>
      <c r="AK21" s="1" t="s">
        <v>107</v>
      </c>
      <c r="AL21" s="2" t="s">
        <v>37</v>
      </c>
      <c r="AM21" s="20" t="str">
        <f t="shared" si="10"/>
        <v>HINDU</v>
      </c>
      <c r="AN21" s="20" t="s">
        <v>33</v>
      </c>
    </row>
    <row r="22" spans="1:40" ht="30" customHeight="1">
      <c r="A22" s="35">
        <v>20</v>
      </c>
      <c r="B22" s="54">
        <v>2791</v>
      </c>
      <c r="C22" s="55" t="s">
        <v>108</v>
      </c>
      <c r="D22" s="55" t="s">
        <v>109</v>
      </c>
      <c r="E22" s="54" t="s">
        <v>89</v>
      </c>
      <c r="F22" s="4"/>
      <c r="G22" s="5">
        <v>5</v>
      </c>
      <c r="H22" s="5">
        <v>7</v>
      </c>
      <c r="I22" s="6"/>
      <c r="J22" s="60">
        <f t="shared" si="0"/>
        <v>12</v>
      </c>
      <c r="K22" s="5">
        <v>6</v>
      </c>
      <c r="L22" s="5">
        <v>8</v>
      </c>
      <c r="M22" s="6"/>
      <c r="N22" s="61">
        <f t="shared" si="1"/>
        <v>14</v>
      </c>
      <c r="O22" s="5">
        <v>4</v>
      </c>
      <c r="P22" s="5">
        <v>6</v>
      </c>
      <c r="Q22" s="6"/>
      <c r="R22" s="61">
        <f t="shared" si="2"/>
        <v>10</v>
      </c>
      <c r="S22" s="5">
        <v>4</v>
      </c>
      <c r="T22" s="5">
        <v>6</v>
      </c>
      <c r="U22" s="6"/>
      <c r="V22" s="61">
        <f t="shared" si="3"/>
        <v>10</v>
      </c>
      <c r="W22" s="5">
        <v>5</v>
      </c>
      <c r="X22" s="5">
        <v>13</v>
      </c>
      <c r="Y22" s="6"/>
      <c r="Z22" s="61">
        <f t="shared" si="4"/>
        <v>18</v>
      </c>
      <c r="AA22" s="5">
        <v>4</v>
      </c>
      <c r="AB22" s="5">
        <v>10</v>
      </c>
      <c r="AC22" s="6"/>
      <c r="AD22" s="60">
        <f t="shared" si="5"/>
        <v>14</v>
      </c>
      <c r="AE22" s="58">
        <f t="shared" si="6"/>
        <v>78</v>
      </c>
      <c r="AF22" s="9" t="str">
        <f t="shared" si="7"/>
        <v>PASS</v>
      </c>
      <c r="AG22" s="12">
        <f t="shared" si="8"/>
        <v>13</v>
      </c>
      <c r="AH22" s="13" t="str">
        <f t="shared" si="9"/>
        <v>D</v>
      </c>
      <c r="AI22" s="6" t="s">
        <v>45</v>
      </c>
      <c r="AJ22" s="15" t="s">
        <v>110</v>
      </c>
      <c r="AK22" s="21">
        <v>39358</v>
      </c>
      <c r="AL22" s="2" t="s">
        <v>37</v>
      </c>
      <c r="AM22" s="20" t="str">
        <f t="shared" si="10"/>
        <v>MUSLIM</v>
      </c>
      <c r="AN22" s="20" t="s">
        <v>33</v>
      </c>
    </row>
    <row r="23" spans="1:40" ht="30" customHeight="1">
      <c r="A23" s="35">
        <v>21</v>
      </c>
      <c r="B23" s="54">
        <v>2794</v>
      </c>
      <c r="C23" s="55" t="s">
        <v>111</v>
      </c>
      <c r="D23" s="55" t="s">
        <v>112</v>
      </c>
      <c r="E23" s="54" t="s">
        <v>89</v>
      </c>
      <c r="F23" s="4"/>
      <c r="G23" s="5">
        <v>5</v>
      </c>
      <c r="H23" s="5">
        <v>5</v>
      </c>
      <c r="I23" s="6"/>
      <c r="J23" s="60">
        <f t="shared" si="0"/>
        <v>10</v>
      </c>
      <c r="K23" s="5">
        <v>8</v>
      </c>
      <c r="L23" s="5">
        <v>5</v>
      </c>
      <c r="M23" s="6"/>
      <c r="N23" s="61">
        <f t="shared" si="1"/>
        <v>13</v>
      </c>
      <c r="O23" s="5">
        <v>9</v>
      </c>
      <c r="P23" s="5">
        <v>6</v>
      </c>
      <c r="Q23" s="6"/>
      <c r="R23" s="61">
        <f t="shared" si="2"/>
        <v>15</v>
      </c>
      <c r="S23" s="5">
        <v>9</v>
      </c>
      <c r="T23" s="5">
        <v>6</v>
      </c>
      <c r="U23" s="6"/>
      <c r="V23" s="61">
        <f t="shared" si="3"/>
        <v>15</v>
      </c>
      <c r="W23" s="5">
        <v>8</v>
      </c>
      <c r="X23" s="5">
        <v>12</v>
      </c>
      <c r="Y23" s="6"/>
      <c r="Z23" s="61">
        <f t="shared" si="4"/>
        <v>20</v>
      </c>
      <c r="AA23" s="5">
        <v>4</v>
      </c>
      <c r="AB23" s="5">
        <v>11</v>
      </c>
      <c r="AC23" s="6"/>
      <c r="AD23" s="60">
        <f t="shared" si="5"/>
        <v>15</v>
      </c>
      <c r="AE23" s="58">
        <f t="shared" si="6"/>
        <v>88</v>
      </c>
      <c r="AF23" s="9" t="str">
        <f t="shared" si="7"/>
        <v>PASS</v>
      </c>
      <c r="AG23" s="12">
        <f t="shared" si="8"/>
        <v>14.666666666666666</v>
      </c>
      <c r="AH23" s="13" t="str">
        <f t="shared" si="9"/>
        <v>D</v>
      </c>
      <c r="AI23" s="6" t="s">
        <v>29</v>
      </c>
      <c r="AJ23" s="15" t="s">
        <v>113</v>
      </c>
      <c r="AK23" s="21">
        <v>38788</v>
      </c>
      <c r="AL23" s="2" t="s">
        <v>114</v>
      </c>
      <c r="AM23" s="20" t="str">
        <f t="shared" si="10"/>
        <v>MUSLIM</v>
      </c>
      <c r="AN23" s="20" t="s">
        <v>33</v>
      </c>
    </row>
    <row r="24" spans="1:40" ht="30" customHeight="1">
      <c r="A24" s="35">
        <v>22</v>
      </c>
      <c r="B24" s="54">
        <v>2810</v>
      </c>
      <c r="C24" s="55" t="s">
        <v>115</v>
      </c>
      <c r="D24" s="55" t="s">
        <v>116</v>
      </c>
      <c r="E24" s="54" t="s">
        <v>89</v>
      </c>
      <c r="F24" s="4"/>
      <c r="G24" s="5">
        <v>4</v>
      </c>
      <c r="H24" s="5">
        <v>8</v>
      </c>
      <c r="I24" s="6"/>
      <c r="J24" s="60">
        <f t="shared" si="0"/>
        <v>12</v>
      </c>
      <c r="K24" s="5">
        <v>5</v>
      </c>
      <c r="L24" s="5">
        <v>5</v>
      </c>
      <c r="M24" s="6"/>
      <c r="N24" s="61">
        <f t="shared" si="1"/>
        <v>10</v>
      </c>
      <c r="O24" s="5">
        <v>4</v>
      </c>
      <c r="P24" s="5">
        <v>5</v>
      </c>
      <c r="Q24" s="6"/>
      <c r="R24" s="61">
        <f t="shared" si="2"/>
        <v>9</v>
      </c>
      <c r="S24" s="5">
        <v>4</v>
      </c>
      <c r="T24" s="5">
        <v>5</v>
      </c>
      <c r="U24" s="6"/>
      <c r="V24" s="61">
        <f t="shared" si="3"/>
        <v>9</v>
      </c>
      <c r="W24" s="5">
        <v>8</v>
      </c>
      <c r="X24" s="5">
        <v>7</v>
      </c>
      <c r="Y24" s="6"/>
      <c r="Z24" s="61">
        <f t="shared" si="4"/>
        <v>15</v>
      </c>
      <c r="AA24" s="5">
        <v>8</v>
      </c>
      <c r="AB24" s="5">
        <v>10</v>
      </c>
      <c r="AC24" s="6"/>
      <c r="AD24" s="60">
        <f t="shared" si="5"/>
        <v>18</v>
      </c>
      <c r="AE24" s="58">
        <f t="shared" si="6"/>
        <v>73</v>
      </c>
      <c r="AF24" s="9" t="str">
        <f t="shared" si="7"/>
        <v>PASS</v>
      </c>
      <c r="AG24" s="12">
        <f t="shared" si="8"/>
        <v>12.166666666666666</v>
      </c>
      <c r="AH24" s="13" t="str">
        <f t="shared" si="9"/>
        <v>D</v>
      </c>
      <c r="AI24" s="6" t="s">
        <v>45</v>
      </c>
      <c r="AJ24" s="15" t="s">
        <v>117</v>
      </c>
      <c r="AK24" s="1" t="s">
        <v>118</v>
      </c>
      <c r="AL24" s="2" t="s">
        <v>119</v>
      </c>
      <c r="AM24" s="20" t="str">
        <f t="shared" si="10"/>
        <v>MUSLIM</v>
      </c>
      <c r="AN24" s="20" t="s">
        <v>33</v>
      </c>
    </row>
    <row r="25" spans="1:40" ht="30" customHeight="1">
      <c r="A25" s="35">
        <v>23</v>
      </c>
      <c r="B25" s="54">
        <v>2832</v>
      </c>
      <c r="C25" s="55" t="s">
        <v>120</v>
      </c>
      <c r="D25" s="55" t="s">
        <v>121</v>
      </c>
      <c r="E25" s="54" t="s">
        <v>28</v>
      </c>
      <c r="F25" s="4"/>
      <c r="G25" s="5">
        <v>4</v>
      </c>
      <c r="H25" s="5">
        <v>8</v>
      </c>
      <c r="I25" s="6"/>
      <c r="J25" s="60">
        <f t="shared" si="0"/>
        <v>12</v>
      </c>
      <c r="K25" s="5">
        <v>4</v>
      </c>
      <c r="L25" s="5">
        <v>6</v>
      </c>
      <c r="M25" s="6"/>
      <c r="N25" s="61">
        <f t="shared" si="1"/>
        <v>10</v>
      </c>
      <c r="O25" s="5">
        <v>5</v>
      </c>
      <c r="P25" s="5">
        <v>9</v>
      </c>
      <c r="Q25" s="6"/>
      <c r="R25" s="61">
        <f t="shared" si="2"/>
        <v>14</v>
      </c>
      <c r="S25" s="5">
        <v>5</v>
      </c>
      <c r="T25" s="5">
        <v>9</v>
      </c>
      <c r="U25" s="6"/>
      <c r="V25" s="61">
        <f t="shared" si="3"/>
        <v>14</v>
      </c>
      <c r="W25" s="5">
        <v>9</v>
      </c>
      <c r="X25" s="5">
        <v>7</v>
      </c>
      <c r="Y25" s="6"/>
      <c r="Z25" s="61">
        <f t="shared" si="4"/>
        <v>16</v>
      </c>
      <c r="AA25" s="5">
        <v>4</v>
      </c>
      <c r="AB25" s="5">
        <v>6</v>
      </c>
      <c r="AC25" s="6"/>
      <c r="AD25" s="60">
        <f t="shared" si="5"/>
        <v>10</v>
      </c>
      <c r="AE25" s="58">
        <f t="shared" si="6"/>
        <v>76</v>
      </c>
      <c r="AF25" s="9" t="str">
        <f t="shared" si="7"/>
        <v>PASS</v>
      </c>
      <c r="AG25" s="12">
        <f t="shared" si="8"/>
        <v>12.666666666666666</v>
      </c>
      <c r="AH25" s="13" t="str">
        <f t="shared" si="9"/>
        <v>D</v>
      </c>
      <c r="AI25" s="6" t="s">
        <v>29</v>
      </c>
      <c r="AJ25" s="15" t="s">
        <v>122</v>
      </c>
      <c r="AK25" s="21">
        <v>38236</v>
      </c>
      <c r="AL25" s="2" t="s">
        <v>123</v>
      </c>
      <c r="AM25" s="20" t="str">
        <f t="shared" si="10"/>
        <v>HINDU</v>
      </c>
      <c r="AN25" s="20" t="s">
        <v>33</v>
      </c>
    </row>
    <row r="26" spans="1:40" ht="30" customHeight="1">
      <c r="A26" s="35">
        <v>24</v>
      </c>
      <c r="B26" s="54">
        <v>2892</v>
      </c>
      <c r="C26" s="55" t="s">
        <v>124</v>
      </c>
      <c r="D26" s="55" t="s">
        <v>125</v>
      </c>
      <c r="E26" s="54" t="s">
        <v>28</v>
      </c>
      <c r="F26" s="4"/>
      <c r="G26" s="5">
        <v>9</v>
      </c>
      <c r="H26" s="5">
        <v>12</v>
      </c>
      <c r="I26" s="6"/>
      <c r="J26" s="60">
        <f t="shared" si="0"/>
        <v>21</v>
      </c>
      <c r="K26" s="5">
        <v>6</v>
      </c>
      <c r="L26" s="5">
        <v>7</v>
      </c>
      <c r="M26" s="6"/>
      <c r="N26" s="61">
        <f t="shared" si="1"/>
        <v>13</v>
      </c>
      <c r="O26" s="5">
        <v>9</v>
      </c>
      <c r="P26" s="5">
        <v>6</v>
      </c>
      <c r="Q26" s="6"/>
      <c r="R26" s="61">
        <f t="shared" si="2"/>
        <v>15</v>
      </c>
      <c r="S26" s="5">
        <v>9</v>
      </c>
      <c r="T26" s="5">
        <v>6</v>
      </c>
      <c r="U26" s="6"/>
      <c r="V26" s="61">
        <f t="shared" si="3"/>
        <v>15</v>
      </c>
      <c r="W26" s="5">
        <v>5</v>
      </c>
      <c r="X26" s="5">
        <v>10</v>
      </c>
      <c r="Y26" s="6"/>
      <c r="Z26" s="61">
        <f t="shared" si="4"/>
        <v>15</v>
      </c>
      <c r="AA26" s="5">
        <v>7</v>
      </c>
      <c r="AB26" s="5">
        <v>5</v>
      </c>
      <c r="AC26" s="6"/>
      <c r="AD26" s="60">
        <f t="shared" si="5"/>
        <v>12</v>
      </c>
      <c r="AE26" s="58">
        <f t="shared" si="6"/>
        <v>91</v>
      </c>
      <c r="AF26" s="9" t="str">
        <f t="shared" si="7"/>
        <v>PASS</v>
      </c>
      <c r="AG26" s="12">
        <f t="shared" si="8"/>
        <v>15.166666666666666</v>
      </c>
      <c r="AH26" s="13" t="str">
        <f t="shared" si="9"/>
        <v>D</v>
      </c>
      <c r="AI26" s="6" t="s">
        <v>29</v>
      </c>
      <c r="AJ26" s="15" t="s">
        <v>126</v>
      </c>
      <c r="AK26" s="1" t="s">
        <v>127</v>
      </c>
      <c r="AL26" s="2" t="s">
        <v>128</v>
      </c>
      <c r="AM26" s="20" t="str">
        <f t="shared" si="10"/>
        <v>HINDU</v>
      </c>
      <c r="AN26" s="20" t="s">
        <v>33</v>
      </c>
    </row>
    <row r="27" spans="1:40" ht="30" customHeight="1">
      <c r="A27" s="35">
        <v>25</v>
      </c>
      <c r="B27" s="54">
        <v>2899</v>
      </c>
      <c r="C27" s="55" t="s">
        <v>129</v>
      </c>
      <c r="D27" s="55" t="s">
        <v>130</v>
      </c>
      <c r="E27" s="54" t="s">
        <v>28</v>
      </c>
      <c r="F27" s="4"/>
      <c r="G27" s="5">
        <v>8</v>
      </c>
      <c r="H27" s="5">
        <v>9</v>
      </c>
      <c r="I27" s="6"/>
      <c r="J27" s="60">
        <f t="shared" si="0"/>
        <v>17</v>
      </c>
      <c r="K27" s="5">
        <v>7</v>
      </c>
      <c r="L27" s="5">
        <v>7</v>
      </c>
      <c r="M27" s="6"/>
      <c r="N27" s="61">
        <f t="shared" si="1"/>
        <v>14</v>
      </c>
      <c r="O27" s="5">
        <v>4</v>
      </c>
      <c r="P27" s="5">
        <v>11</v>
      </c>
      <c r="Q27" s="6"/>
      <c r="R27" s="61">
        <f t="shared" si="2"/>
        <v>15</v>
      </c>
      <c r="S27" s="5">
        <v>4</v>
      </c>
      <c r="T27" s="5">
        <v>11</v>
      </c>
      <c r="U27" s="6"/>
      <c r="V27" s="61">
        <f t="shared" si="3"/>
        <v>15</v>
      </c>
      <c r="W27" s="5">
        <v>9</v>
      </c>
      <c r="X27" s="5">
        <v>5</v>
      </c>
      <c r="Y27" s="6"/>
      <c r="Z27" s="61">
        <f t="shared" si="4"/>
        <v>14</v>
      </c>
      <c r="AA27" s="5">
        <v>6</v>
      </c>
      <c r="AB27" s="5">
        <v>8</v>
      </c>
      <c r="AC27" s="6"/>
      <c r="AD27" s="60">
        <f t="shared" si="5"/>
        <v>14</v>
      </c>
      <c r="AE27" s="58">
        <f t="shared" si="6"/>
        <v>89</v>
      </c>
      <c r="AF27" s="9" t="str">
        <f t="shared" si="7"/>
        <v>PASS</v>
      </c>
      <c r="AG27" s="12">
        <f t="shared" si="8"/>
        <v>14.833333333333334</v>
      </c>
      <c r="AH27" s="13" t="str">
        <f t="shared" si="9"/>
        <v>D</v>
      </c>
      <c r="AI27" s="6" t="s">
        <v>29</v>
      </c>
      <c r="AJ27" s="15" t="s">
        <v>131</v>
      </c>
      <c r="AK27" s="1" t="s">
        <v>132</v>
      </c>
      <c r="AL27" s="2" t="s">
        <v>133</v>
      </c>
      <c r="AM27" s="20" t="str">
        <f t="shared" si="10"/>
        <v>HINDU</v>
      </c>
      <c r="AN27" s="20" t="s">
        <v>134</v>
      </c>
    </row>
    <row r="28" spans="1:40" ht="30" customHeight="1">
      <c r="A28" s="35">
        <v>26</v>
      </c>
      <c r="B28" s="56">
        <v>2945</v>
      </c>
      <c r="C28" s="56" t="s">
        <v>135</v>
      </c>
      <c r="D28" s="56" t="s">
        <v>136</v>
      </c>
      <c r="E28" s="54" t="s">
        <v>28</v>
      </c>
      <c r="F28" s="4"/>
      <c r="G28" s="5">
        <v>9</v>
      </c>
      <c r="H28" s="5">
        <v>9</v>
      </c>
      <c r="I28" s="6"/>
      <c r="J28" s="60">
        <f t="shared" si="0"/>
        <v>18</v>
      </c>
      <c r="K28" s="5">
        <v>9</v>
      </c>
      <c r="L28" s="5">
        <v>9</v>
      </c>
      <c r="M28" s="6"/>
      <c r="N28" s="61">
        <f t="shared" si="1"/>
        <v>18</v>
      </c>
      <c r="O28" s="5">
        <v>9</v>
      </c>
      <c r="P28" s="5">
        <v>11</v>
      </c>
      <c r="Q28" s="6"/>
      <c r="R28" s="61">
        <f t="shared" si="2"/>
        <v>20</v>
      </c>
      <c r="S28" s="5">
        <v>9</v>
      </c>
      <c r="T28" s="5">
        <v>11</v>
      </c>
      <c r="U28" s="6"/>
      <c r="V28" s="61">
        <f t="shared" si="3"/>
        <v>20</v>
      </c>
      <c r="W28" s="5">
        <v>5</v>
      </c>
      <c r="X28" s="5">
        <v>8</v>
      </c>
      <c r="Y28" s="6"/>
      <c r="Z28" s="61">
        <f t="shared" si="4"/>
        <v>13</v>
      </c>
      <c r="AA28" s="5">
        <v>7</v>
      </c>
      <c r="AB28" s="5">
        <v>8</v>
      </c>
      <c r="AC28" s="6"/>
      <c r="AD28" s="60">
        <f t="shared" si="5"/>
        <v>15</v>
      </c>
      <c r="AE28" s="58">
        <f t="shared" si="6"/>
        <v>104</v>
      </c>
      <c r="AF28" s="9" t="str">
        <f t="shared" si="7"/>
        <v>PASS</v>
      </c>
      <c r="AG28" s="12">
        <f t="shared" si="8"/>
        <v>17.333333333333332</v>
      </c>
      <c r="AH28" s="13" t="str">
        <f t="shared" si="9"/>
        <v>D</v>
      </c>
      <c r="AI28" s="6" t="s">
        <v>45</v>
      </c>
      <c r="AJ28" s="16" t="s">
        <v>137</v>
      </c>
      <c r="AK28" s="22">
        <v>37898</v>
      </c>
      <c r="AL28" s="3" t="s">
        <v>138</v>
      </c>
      <c r="AM28" s="20" t="str">
        <f t="shared" si="10"/>
        <v>HINDU</v>
      </c>
      <c r="AN28" s="20" t="s">
        <v>33</v>
      </c>
    </row>
    <row r="29" spans="1:40" ht="30" customHeight="1">
      <c r="A29" s="35">
        <v>27</v>
      </c>
      <c r="B29" s="56">
        <v>2928</v>
      </c>
      <c r="C29" s="56" t="s">
        <v>139</v>
      </c>
      <c r="D29" s="56" t="s">
        <v>140</v>
      </c>
      <c r="E29" s="54" t="s">
        <v>141</v>
      </c>
      <c r="F29" s="4"/>
      <c r="G29" s="5">
        <v>6</v>
      </c>
      <c r="H29" s="5">
        <v>13</v>
      </c>
      <c r="I29" s="6"/>
      <c r="J29" s="60">
        <f t="shared" si="0"/>
        <v>19</v>
      </c>
      <c r="K29" s="5">
        <v>8</v>
      </c>
      <c r="L29" s="5">
        <v>7</v>
      </c>
      <c r="M29" s="6"/>
      <c r="N29" s="61">
        <f t="shared" si="1"/>
        <v>15</v>
      </c>
      <c r="O29" s="5">
        <v>4</v>
      </c>
      <c r="P29" s="5">
        <v>8</v>
      </c>
      <c r="Q29" s="6"/>
      <c r="R29" s="61">
        <f t="shared" si="2"/>
        <v>12</v>
      </c>
      <c r="S29" s="5">
        <v>4</v>
      </c>
      <c r="T29" s="5">
        <v>8</v>
      </c>
      <c r="U29" s="6"/>
      <c r="V29" s="61">
        <f t="shared" si="3"/>
        <v>12</v>
      </c>
      <c r="W29" s="5">
        <v>8</v>
      </c>
      <c r="X29" s="5">
        <v>5</v>
      </c>
      <c r="Y29" s="6"/>
      <c r="Z29" s="61">
        <f t="shared" si="4"/>
        <v>13</v>
      </c>
      <c r="AA29" s="5">
        <v>9</v>
      </c>
      <c r="AB29" s="5">
        <v>7</v>
      </c>
      <c r="AC29" s="6"/>
      <c r="AD29" s="60">
        <f t="shared" si="5"/>
        <v>16</v>
      </c>
      <c r="AE29" s="58">
        <f t="shared" si="6"/>
        <v>87</v>
      </c>
      <c r="AF29" s="9" t="str">
        <f t="shared" si="7"/>
        <v>PASS</v>
      </c>
      <c r="AG29" s="12">
        <f t="shared" si="8"/>
        <v>14.5</v>
      </c>
      <c r="AH29" s="13" t="str">
        <f t="shared" si="9"/>
        <v>D</v>
      </c>
      <c r="AI29" s="6" t="s">
        <v>29</v>
      </c>
      <c r="AJ29" s="16" t="s">
        <v>142</v>
      </c>
      <c r="AK29" s="22">
        <v>38452</v>
      </c>
      <c r="AL29" s="3" t="s">
        <v>37</v>
      </c>
      <c r="AM29" s="20" t="str">
        <f t="shared" si="10"/>
        <v>HINDU</v>
      </c>
      <c r="AN29" s="20" t="s">
        <v>33</v>
      </c>
    </row>
    <row r="30" spans="1:40" ht="30" customHeight="1">
      <c r="A30" s="35">
        <v>28</v>
      </c>
      <c r="B30" s="56">
        <v>2946</v>
      </c>
      <c r="C30" s="56" t="s">
        <v>143</v>
      </c>
      <c r="D30" s="56" t="s">
        <v>144</v>
      </c>
      <c r="E30" s="54" t="s">
        <v>40</v>
      </c>
      <c r="F30" s="4"/>
      <c r="G30" s="5">
        <v>7</v>
      </c>
      <c r="H30" s="5">
        <v>12</v>
      </c>
      <c r="I30" s="6"/>
      <c r="J30" s="60">
        <f t="shared" si="0"/>
        <v>19</v>
      </c>
      <c r="K30" s="5">
        <v>9</v>
      </c>
      <c r="L30" s="5">
        <v>13</v>
      </c>
      <c r="M30" s="6"/>
      <c r="N30" s="61">
        <f t="shared" si="1"/>
        <v>22</v>
      </c>
      <c r="O30" s="5">
        <v>5</v>
      </c>
      <c r="P30" s="5">
        <v>12</v>
      </c>
      <c r="Q30" s="6"/>
      <c r="R30" s="61">
        <f t="shared" si="2"/>
        <v>17</v>
      </c>
      <c r="S30" s="5">
        <v>5</v>
      </c>
      <c r="T30" s="5">
        <v>12</v>
      </c>
      <c r="U30" s="6"/>
      <c r="V30" s="61">
        <f t="shared" si="3"/>
        <v>17</v>
      </c>
      <c r="W30" s="5">
        <v>9</v>
      </c>
      <c r="X30" s="5">
        <v>10</v>
      </c>
      <c r="Y30" s="6"/>
      <c r="Z30" s="61">
        <f t="shared" si="4"/>
        <v>19</v>
      </c>
      <c r="AA30" s="5">
        <v>7</v>
      </c>
      <c r="AB30" s="5">
        <v>10</v>
      </c>
      <c r="AC30" s="6"/>
      <c r="AD30" s="60">
        <f t="shared" si="5"/>
        <v>17</v>
      </c>
      <c r="AE30" s="58">
        <f t="shared" si="6"/>
        <v>111</v>
      </c>
      <c r="AF30" s="9" t="str">
        <f t="shared" si="7"/>
        <v>IST</v>
      </c>
      <c r="AG30" s="12">
        <f t="shared" si="8"/>
        <v>18.5</v>
      </c>
      <c r="AH30" s="13" t="str">
        <f t="shared" si="9"/>
        <v>D</v>
      </c>
      <c r="AI30" s="6" t="s">
        <v>29</v>
      </c>
      <c r="AJ30" s="16" t="s">
        <v>145</v>
      </c>
      <c r="AK30" s="22">
        <v>38145</v>
      </c>
      <c r="AL30" s="3" t="s">
        <v>146</v>
      </c>
      <c r="AM30" s="20" t="str">
        <f t="shared" si="10"/>
        <v>HINDU</v>
      </c>
      <c r="AN30" s="20" t="s">
        <v>33</v>
      </c>
    </row>
    <row r="31" spans="1:40" ht="30" customHeight="1">
      <c r="A31" s="35">
        <v>29</v>
      </c>
      <c r="B31" s="54">
        <v>2713</v>
      </c>
      <c r="C31" s="55" t="s">
        <v>147</v>
      </c>
      <c r="D31" s="55" t="s">
        <v>148</v>
      </c>
      <c r="E31" s="54" t="s">
        <v>28</v>
      </c>
      <c r="F31" s="4"/>
      <c r="G31" s="5">
        <v>9</v>
      </c>
      <c r="H31" s="5">
        <v>7</v>
      </c>
      <c r="I31" s="6"/>
      <c r="J31" s="60">
        <f t="shared" si="0"/>
        <v>16</v>
      </c>
      <c r="K31" s="5">
        <v>6</v>
      </c>
      <c r="L31" s="5">
        <v>8</v>
      </c>
      <c r="M31" s="7"/>
      <c r="N31" s="61">
        <f t="shared" si="1"/>
        <v>14</v>
      </c>
      <c r="O31" s="5">
        <v>9</v>
      </c>
      <c r="P31" s="5">
        <v>9</v>
      </c>
      <c r="Q31" s="7"/>
      <c r="R31" s="61">
        <f t="shared" si="2"/>
        <v>18</v>
      </c>
      <c r="S31" s="5">
        <v>9</v>
      </c>
      <c r="T31" s="5">
        <v>5</v>
      </c>
      <c r="U31" s="7"/>
      <c r="V31" s="61">
        <f t="shared" si="3"/>
        <v>14</v>
      </c>
      <c r="W31" s="5">
        <v>5</v>
      </c>
      <c r="X31" s="5">
        <v>10</v>
      </c>
      <c r="Y31" s="7"/>
      <c r="Z31" s="61">
        <f t="shared" si="4"/>
        <v>15</v>
      </c>
      <c r="AA31" s="5">
        <v>5</v>
      </c>
      <c r="AB31" s="5">
        <v>12</v>
      </c>
      <c r="AC31" s="7"/>
      <c r="AD31" s="60">
        <f t="shared" si="5"/>
        <v>17</v>
      </c>
      <c r="AE31" s="58">
        <f t="shared" si="6"/>
        <v>94</v>
      </c>
      <c r="AF31" s="9" t="str">
        <f t="shared" si="7"/>
        <v>PASS</v>
      </c>
      <c r="AG31" s="12">
        <f t="shared" si="8"/>
        <v>15.666666666666666</v>
      </c>
      <c r="AH31" s="13" t="str">
        <f t="shared" si="9"/>
        <v>D</v>
      </c>
      <c r="AI31" s="6" t="s">
        <v>45</v>
      </c>
      <c r="AJ31" s="15" t="s">
        <v>149</v>
      </c>
      <c r="AK31" s="1" t="s">
        <v>150</v>
      </c>
      <c r="AL31" s="2" t="s">
        <v>37</v>
      </c>
      <c r="AM31" s="20" t="str">
        <f t="shared" si="10"/>
        <v>HINDU</v>
      </c>
      <c r="AN31" s="20" t="s">
        <v>33</v>
      </c>
    </row>
    <row r="32" spans="1:40" ht="30" customHeight="1">
      <c r="A32" s="35">
        <v>30</v>
      </c>
      <c r="B32" s="54">
        <v>2952</v>
      </c>
      <c r="C32" s="55" t="s">
        <v>151</v>
      </c>
      <c r="D32" s="55" t="s">
        <v>152</v>
      </c>
      <c r="E32" s="54" t="s">
        <v>77</v>
      </c>
      <c r="F32" s="4"/>
      <c r="G32" s="5">
        <v>4</v>
      </c>
      <c r="H32" s="5">
        <v>13</v>
      </c>
      <c r="I32" s="6"/>
      <c r="J32" s="60">
        <f t="shared" si="0"/>
        <v>17</v>
      </c>
      <c r="K32" s="5">
        <v>5</v>
      </c>
      <c r="L32" s="5">
        <v>11</v>
      </c>
      <c r="M32" s="6"/>
      <c r="N32" s="61">
        <f t="shared" si="1"/>
        <v>16</v>
      </c>
      <c r="O32" s="5">
        <v>9</v>
      </c>
      <c r="P32" s="5">
        <v>10</v>
      </c>
      <c r="Q32" s="6"/>
      <c r="R32" s="61">
        <f t="shared" si="2"/>
        <v>19</v>
      </c>
      <c r="S32" s="5">
        <v>9</v>
      </c>
      <c r="T32" s="5">
        <v>10</v>
      </c>
      <c r="U32" s="6"/>
      <c r="V32" s="61">
        <f t="shared" si="3"/>
        <v>19</v>
      </c>
      <c r="W32" s="5">
        <v>5</v>
      </c>
      <c r="X32" s="5">
        <v>9</v>
      </c>
      <c r="Y32" s="6"/>
      <c r="Z32" s="61">
        <f t="shared" si="4"/>
        <v>14</v>
      </c>
      <c r="AA32" s="5">
        <v>6</v>
      </c>
      <c r="AB32" s="5">
        <v>10</v>
      </c>
      <c r="AC32" s="6"/>
      <c r="AD32" s="60">
        <f t="shared" si="5"/>
        <v>16</v>
      </c>
      <c r="AE32" s="58">
        <f t="shared" si="6"/>
        <v>101</v>
      </c>
      <c r="AF32" s="9" t="str">
        <f t="shared" si="7"/>
        <v>PASS</v>
      </c>
      <c r="AG32" s="12">
        <f t="shared" si="8"/>
        <v>16.833333333333332</v>
      </c>
      <c r="AH32" s="13" t="str">
        <f t="shared" si="9"/>
        <v>D</v>
      </c>
      <c r="AI32" s="6" t="s">
        <v>29</v>
      </c>
      <c r="AJ32" s="15" t="s">
        <v>153</v>
      </c>
      <c r="AK32" s="21">
        <v>38823</v>
      </c>
      <c r="AL32" s="2" t="s">
        <v>154</v>
      </c>
      <c r="AM32" s="20" t="str">
        <f t="shared" si="10"/>
        <v>HINDU</v>
      </c>
      <c r="AN32" s="20" t="s">
        <v>33</v>
      </c>
    </row>
  </sheetData>
  <mergeCells count="12">
    <mergeCell ref="AA1:AD1"/>
    <mergeCell ref="A1:A2"/>
    <mergeCell ref="B1:B2"/>
    <mergeCell ref="C1:C2"/>
    <mergeCell ref="D1:D2"/>
    <mergeCell ref="E1:E2"/>
    <mergeCell ref="F1:F2"/>
    <mergeCell ref="G1:J1"/>
    <mergeCell ref="K1:N1"/>
    <mergeCell ref="O1:R1"/>
    <mergeCell ref="S1:V1"/>
    <mergeCell ref="W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2025-01-14T15:50:20Z</dcterms:created>
  <dcterms:modified xsi:type="dcterms:W3CDTF">2025-12-05T06:26:17Z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CD49E2604C8463F73C17866715340260_41</vt:lpwstr>
  </property>
  <property fmtid="{D5CDD505-2E9C-101B-9397-08002B2CF9AE}" pid="3" name="KSOProductBuildVer">
    <vt:lpwstr>2052-6.8.2.8850</vt:lpwstr>
  </property>
</Properties>
</file>