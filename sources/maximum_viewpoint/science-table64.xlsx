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0CF2A78-E3D7-47CC-82B6-427F173E0879}" xr6:coauthVersionLast="47" xr6:coauthVersionMax="47" xr10:uidLastSave="{00000000-0000-0000-0000-000000000000}"/>
  <bookViews>
    <workbookView xWindow="1170" yWindow="117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<sst xmlns="http://schemas.openxmlformats.org/spreadsheetml/2006/main" count="25" uniqueCount="22">
  <si>
    <t>Expt-1</t>
  </si>
  <si>
    <t>Expt-2</t>
  </si>
  <si>
    <t>spleen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</si>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</sst>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2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/>
    <xf numFmtId="0" fontId="3" fillId="2" borderId="5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Alignment="1"/>
    <xf numFmtId="0" fontId="0" fillId="3" borderId="6" xfId="0" applyFill="1" applyBorder="1" applyAlignment="1"/>
    <xf numFmtId="0" fontId="0" fillId="3" borderId="7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3" sqref="A3:B9"/>
    </sheetView>
  </sheetViews>
  <sheetFormatPr defaultColWidth="8.7109375" defaultRowHeight="15"/>
  <cols>
    <col min="1" max="1" width="5.5703125" customWidth="1"/>
    <col min="2" max="2" width="47.85546875" customWidth="1"/>
    <col min="3" max="5" width="12.85546875" customWidth="1"/>
    <col min="7" max="11" width="12.85546875" customWidth="1"/>
  </cols>
  <sheetData>
    <row r="1" spans="1:11" ht="18.75">
      <c r="A1" s="1"/>
      <c r="B1" s="2"/>
      <c r="C1" s="16" t="s">
        <v>0</v>
      </c>
      <c r="D1" s="17"/>
      <c r="E1" s="18"/>
      <c r="F1" s="2"/>
      <c r="G1" s="16" t="s">
        <v>1</v>
      </c>
      <c r="H1" s="17"/>
      <c r="I1" s="18"/>
      <c r="J1" s="2"/>
      <c r="K1" s="12"/>
    </row>
    <row r="2" spans="1:11" ht="15.75">
      <c r="A2" s="3"/>
      <c r="B2" s="15" t="s">
        <v>2</v>
      </c>
      <c r="C2" s="19" t="s">
        <v>3</v>
      </c>
      <c r="D2" s="20" t="s">
        <v>4</v>
      </c>
      <c r="E2" s="21" t="s">
        <v>5</v>
      </c>
      <c r="F2" s="4"/>
      <c r="G2" s="19" t="s">
        <v>3</v>
      </c>
      <c r="H2" s="20" t="s">
        <v>4</v>
      </c>
      <c r="I2" s="21" t="s">
        <v>5</v>
      </c>
      <c r="J2" s="20" t="s">
        <v>6</v>
      </c>
      <c r="K2" s="22" t="s">
        <v>7</v>
      </c>
    </row>
    <row r="3" spans="1:11">
      <c r="A3" s="23" t="s">
        <v>8</v>
      </c>
      <c r="B3" s="24" t="s">
        <v>9</v>
      </c>
      <c r="C3" s="5">
        <v>533.80999999999995</v>
      </c>
      <c r="D3" s="6">
        <v>884.05</v>
      </c>
      <c r="E3" s="7">
        <v>636</v>
      </c>
      <c r="F3" s="4"/>
      <c r="G3" s="5">
        <v>696.3</v>
      </c>
      <c r="H3" s="6">
        <v>566.20000000000005</v>
      </c>
      <c r="I3" s="7">
        <v>696</v>
      </c>
      <c r="J3" s="4">
        <f t="shared" ref="J3:J9" si="0">AVERAGE(C3:I3)</f>
        <v>668.72666666666703</v>
      </c>
      <c r="K3" s="13">
        <f t="shared" ref="K3:K9" si="1">STDEV(C3:I3)</f>
        <v>124.622245472735</v>
      </c>
    </row>
    <row r="4" spans="1:11">
      <c r="A4" s="23" t="s">
        <v>10</v>
      </c>
      <c r="B4" s="24" t="s">
        <v>11</v>
      </c>
      <c r="C4" s="5">
        <v>520.80999999999995</v>
      </c>
      <c r="D4" s="6">
        <v>823.83</v>
      </c>
      <c r="E4" s="7">
        <v>702.1</v>
      </c>
      <c r="F4" s="4"/>
      <c r="G4" s="5">
        <v>670.6</v>
      </c>
      <c r="H4" s="6">
        <v>591.20000000000005</v>
      </c>
      <c r="I4" s="7">
        <v>636.75</v>
      </c>
      <c r="J4" s="4">
        <f t="shared" si="0"/>
        <v>657.54833333333295</v>
      </c>
      <c r="K4" s="13">
        <f t="shared" si="1"/>
        <v>103.282944848928</v>
      </c>
    </row>
    <row r="5" spans="1:11">
      <c r="A5" s="23" t="s">
        <v>12</v>
      </c>
      <c r="B5" s="24" t="s">
        <v>13</v>
      </c>
      <c r="C5" s="5">
        <v>265.01</v>
      </c>
      <c r="D5" s="6">
        <v>287.8</v>
      </c>
      <c r="E5" s="7">
        <v>296.5</v>
      </c>
      <c r="F5" s="4"/>
      <c r="G5" s="5">
        <v>302.5</v>
      </c>
      <c r="H5" s="6">
        <v>309.60000000000002</v>
      </c>
      <c r="I5" s="7">
        <v>285.60000000000002</v>
      </c>
      <c r="J5" s="4">
        <f t="shared" si="0"/>
        <v>291.16833333333301</v>
      </c>
      <c r="K5" s="13">
        <f t="shared" si="1"/>
        <v>15.640780564494399</v>
      </c>
    </row>
    <row r="6" spans="1:11">
      <c r="A6" s="23" t="s">
        <v>14</v>
      </c>
      <c r="B6" s="24" t="s">
        <v>15</v>
      </c>
      <c r="C6" s="5">
        <v>263.54000000000002</v>
      </c>
      <c r="D6" s="6">
        <v>279.24</v>
      </c>
      <c r="E6" s="7">
        <v>301.7</v>
      </c>
      <c r="F6" s="4"/>
      <c r="G6" s="5">
        <v>295.62</v>
      </c>
      <c r="H6" s="6">
        <v>312.77999999999997</v>
      </c>
      <c r="I6" s="7">
        <v>265.60000000000002</v>
      </c>
      <c r="J6" s="4">
        <f t="shared" si="0"/>
        <v>286.41333333333301</v>
      </c>
      <c r="K6" s="13">
        <f t="shared" si="1"/>
        <v>20.107147651187798</v>
      </c>
    </row>
    <row r="7" spans="1:11">
      <c r="A7" s="23" t="s">
        <v>16</v>
      </c>
      <c r="B7" s="24" t="s">
        <v>17</v>
      </c>
      <c r="C7" s="5">
        <v>670.94</v>
      </c>
      <c r="D7" s="6">
        <v>732.09</v>
      </c>
      <c r="E7" s="7">
        <v>636.5</v>
      </c>
      <c r="F7" s="4"/>
      <c r="G7" s="5">
        <v>572.5</v>
      </c>
      <c r="H7" s="6">
        <v>720.3</v>
      </c>
      <c r="I7" s="7">
        <v>756.36</v>
      </c>
      <c r="J7" s="4">
        <f t="shared" si="0"/>
        <v>681.44833333333304</v>
      </c>
      <c r="K7" s="13">
        <f t="shared" si="1"/>
        <v>68.8277637052568</v>
      </c>
    </row>
    <row r="8" spans="1:11">
      <c r="A8" s="23" t="s">
        <v>18</v>
      </c>
      <c r="B8" s="24" t="s">
        <v>19</v>
      </c>
      <c r="C8" s="5">
        <v>803.49</v>
      </c>
      <c r="D8" s="6">
        <v>974.62</v>
      </c>
      <c r="E8" s="7">
        <v>570</v>
      </c>
      <c r="F8" s="4"/>
      <c r="G8" s="5">
        <v>630.20000000000005</v>
      </c>
      <c r="H8" s="6">
        <v>502.76</v>
      </c>
      <c r="I8" s="7">
        <v>486.72</v>
      </c>
      <c r="J8" s="4">
        <f t="shared" si="0"/>
        <v>661.29833333333397</v>
      </c>
      <c r="K8" s="13">
        <f t="shared" si="1"/>
        <v>191.46980257123201</v>
      </c>
    </row>
    <row r="9" spans="1:11">
      <c r="A9" s="25" t="s">
        <v>20</v>
      </c>
      <c r="B9" s="26" t="s">
        <v>21</v>
      </c>
      <c r="C9" s="9">
        <v>252.78</v>
      </c>
      <c r="D9" s="10">
        <v>238.33</v>
      </c>
      <c r="E9" s="11">
        <v>240.2</v>
      </c>
      <c r="F9" s="8"/>
      <c r="G9" s="9">
        <v>223.5</v>
      </c>
      <c r="H9" s="10">
        <v>246.95</v>
      </c>
      <c r="I9" s="11">
        <v>365.79</v>
      </c>
      <c r="J9" s="8">
        <f t="shared" si="0"/>
        <v>261.25833333333298</v>
      </c>
      <c r="K9" s="14">
        <f t="shared" si="1"/>
        <v>52.150423743884097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2025-01-13T08:54:16Z</dcterms:created>
  <dcterms:modified xsi:type="dcterms:W3CDTF">2025-12-10T03:15:07Z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103FF758379C4D109B9232E9A5349682_11</vt:lpwstr>
  </property>
  <property fmtid="{D5CDD505-2E9C-101B-9397-08002B2CF9AE}" pid="3" name="KSOProductBuildVer">
    <vt:lpwstr>2052-12.1.0.19302</vt:lpwstr>
  </property>
</Properties>
</file>