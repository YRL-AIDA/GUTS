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66006A7-EFED-44C4-A8E7-F0219056B23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CF Repor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4" l="1"/>
  <c r="D18" i="4"/>
  <c r="C18" i="4"/>
</calcChain>
</file>

<file path=xl/sharedStrings.xml><?xml version="1.0" encoding="utf-8"?>
<sst xmlns="http://schemas.openxmlformats.org/spreadsheetml/2006/main" count="18" uniqueCount="9">
  <si>
    <t>Calendar Year</t>
  </si>
  <si>
    <t>Total Approved ECFs</t>
  </si>
  <si>
    <t xml:space="preserve">Cumulative PSLF Borrowers </t>
  </si>
  <si>
    <t>TOTAL</t>
  </si>
  <si>
    <t>Q1</t>
  </si>
  <si>
    <t>Q2</t>
  </si>
  <si>
    <t>Q3</t>
  </si>
  <si>
    <t>Q4</t>
  </si>
  <si>
    <t>Total Denied ECFs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</si>
</sst>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5" fontId="1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 wrapText="1"/>
    </xf>
    <xf numFmtId="165" fontId="0" fillId="0" borderId="0" xfId="0" applyNumberFormat="1"/>
    <xf numFmtId="3" fontId="5" fillId="0" borderId="1" xfId="0" applyNumberFormat="1" applyFont="1" applyBorder="1"/>
    <xf numFmtId="165" fontId="3" fillId="2" borderId="1" xfId="1" applyNumberFormat="1" applyFont="1" applyFill="1" applyBorder="1" applyAlignment="1">
      <alignment horizontal="center" vertical="center" wrapText="1"/>
    </xf>
    <xf numFmtId="165" fontId="3" fillId="2" borderId="3" xfId="1" applyNumberFormat="1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 wrapText="1"/>
    </xf>
    <xf numFmtId="0" fontId="1" fillId="3" borderId="3" xfId="1" applyNumberFormat="1" applyFont="1" applyFill="1" applyBorder="1" applyAlignment="1">
      <alignment horizontal="center" vertical="center"/>
    </xf>
    <xf numFmtId="0" fontId="1" fillId="3" borderId="4" xfId="1" applyNumberFormat="1" applyFont="1" applyFill="1" applyBorder="1" applyAlignment="1">
      <alignment horizontal="center" vertical="center"/>
    </xf>
    <xf numFmtId="0" fontId="1" fillId="3" borderId="5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0" fontId="1" fillId="3" borderId="6" xfId="1" applyNumberFormat="1" applyFont="1" applyFill="1" applyBorder="1" applyAlignment="1">
      <alignment horizontal="center" vertical="center"/>
    </xf>
    <xf numFmtId="0" fontId="1" fillId="3" borderId="7" xfId="1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5" fontId="2" fillId="4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11" sqref="E11"/>
    </sheetView>
  </sheetViews>
  <sheetFormatPr defaultRowHeight="15"/>
  <cols>
    <col min="1" max="1" width="11.42578125" customWidth="1"/>
    <col min="2" max="2" width="5.7109375" customWidth="1"/>
    <col min="3" max="5" width="21.42578125" customWidth="1"/>
    <col min="6" max="7" width="14.28515625" customWidth="1"/>
  </cols>
  <sheetData>
    <row r="1" spans="1:7" ht="30">
      <c r="A1" s="7" t="s">
        <v>0</v>
      </c>
      <c r="B1" s="8"/>
      <c r="C1" s="6" t="s">
        <v>1</v>
      </c>
      <c r="D1" s="6" t="s">
        <v>8</v>
      </c>
      <c r="E1" s="6" t="s">
        <v>2</v>
      </c>
    </row>
    <row r="2" spans="1:7">
      <c r="A2" s="9">
        <v>2012</v>
      </c>
      <c r="B2" s="10"/>
      <c r="C2" s="2">
        <v>28788</v>
      </c>
      <c r="D2" s="2">
        <v>14643</v>
      </c>
      <c r="E2" s="2">
        <v>25683</v>
      </c>
      <c r="G2" s="1"/>
    </row>
    <row r="3" spans="1:7">
      <c r="A3" s="9">
        <v>2013</v>
      </c>
      <c r="B3" s="10"/>
      <c r="C3" s="2">
        <v>71083</v>
      </c>
      <c r="D3" s="2">
        <v>27510</v>
      </c>
      <c r="E3" s="2">
        <v>82995</v>
      </c>
      <c r="G3" s="1"/>
    </row>
    <row r="4" spans="1:7">
      <c r="A4" s="9">
        <v>2014</v>
      </c>
      <c r="B4" s="10"/>
      <c r="C4" s="2">
        <v>147172</v>
      </c>
      <c r="D4" s="2">
        <v>58963</v>
      </c>
      <c r="E4" s="2">
        <v>191432</v>
      </c>
      <c r="G4" s="1"/>
    </row>
    <row r="5" spans="1:7">
      <c r="A5" s="11">
        <v>2015</v>
      </c>
      <c r="B5" s="12" t="s">
        <v>4</v>
      </c>
      <c r="C5" s="2">
        <v>44202</v>
      </c>
      <c r="D5" s="2">
        <v>19014</v>
      </c>
      <c r="E5" s="2">
        <v>222387</v>
      </c>
      <c r="G5" s="1"/>
    </row>
    <row r="6" spans="1:7">
      <c r="A6" s="13"/>
      <c r="B6" s="12" t="s">
        <v>5</v>
      </c>
      <c r="C6" s="2">
        <v>50710</v>
      </c>
      <c r="D6" s="2">
        <v>27260</v>
      </c>
      <c r="E6" s="2">
        <v>265724</v>
      </c>
      <c r="G6" s="1"/>
    </row>
    <row r="7" spans="1:7">
      <c r="A7" s="13"/>
      <c r="B7" s="12" t="s">
        <v>6</v>
      </c>
      <c r="C7" s="2">
        <v>59247</v>
      </c>
      <c r="D7" s="2">
        <v>34907</v>
      </c>
      <c r="E7" s="2">
        <v>294546</v>
      </c>
      <c r="G7" s="1"/>
    </row>
    <row r="8" spans="1:7">
      <c r="A8" s="14"/>
      <c r="B8" s="12" t="s">
        <v>7</v>
      </c>
      <c r="C8" s="2">
        <v>64151</v>
      </c>
      <c r="D8" s="2">
        <v>39298</v>
      </c>
      <c r="E8" s="2">
        <v>334708</v>
      </c>
      <c r="G8" s="1"/>
    </row>
    <row r="9" spans="1:7">
      <c r="A9" s="15">
        <v>2016</v>
      </c>
      <c r="B9" s="16" t="s">
        <v>4</v>
      </c>
      <c r="C9" s="2">
        <v>75761</v>
      </c>
      <c r="D9" s="2">
        <v>47426</v>
      </c>
      <c r="E9" s="2">
        <v>378839</v>
      </c>
      <c r="G9" s="1"/>
    </row>
    <row r="10" spans="1:7">
      <c r="A10" s="17"/>
      <c r="B10" s="16" t="s">
        <v>5</v>
      </c>
      <c r="C10" s="2">
        <v>91938</v>
      </c>
      <c r="D10" s="2">
        <v>47049</v>
      </c>
      <c r="E10" s="3">
        <v>431853</v>
      </c>
      <c r="G10" s="1"/>
    </row>
    <row r="11" spans="1:7">
      <c r="A11" s="17"/>
      <c r="B11" s="16" t="s">
        <v>6</v>
      </c>
      <c r="C11" s="2">
        <v>107820</v>
      </c>
      <c r="D11" s="2">
        <v>56352</v>
      </c>
      <c r="E11" s="3">
        <v>494200</v>
      </c>
      <c r="G11" s="1"/>
    </row>
    <row r="12" spans="1:7">
      <c r="A12" s="18"/>
      <c r="B12" s="16" t="s">
        <v>7</v>
      </c>
      <c r="C12" s="2">
        <v>106850</v>
      </c>
      <c r="D12" s="2">
        <v>56062</v>
      </c>
      <c r="E12" s="5">
        <v>552931</v>
      </c>
      <c r="G12" s="1"/>
    </row>
    <row r="13" spans="1:7">
      <c r="A13" s="15">
        <v>2017</v>
      </c>
      <c r="B13" s="16" t="s">
        <v>4</v>
      </c>
      <c r="C13" s="2">
        <v>116488</v>
      </c>
      <c r="D13" s="2">
        <v>63559</v>
      </c>
      <c r="E13" s="5">
        <v>611598</v>
      </c>
      <c r="G13" s="1"/>
    </row>
    <row r="14" spans="1:7">
      <c r="A14" s="17"/>
      <c r="B14" s="16" t="s">
        <v>5</v>
      </c>
      <c r="C14" s="2">
        <v>121922</v>
      </c>
      <c r="D14" s="2">
        <v>62789</v>
      </c>
      <c r="E14" s="5">
        <v>669426</v>
      </c>
      <c r="G14" s="1"/>
    </row>
    <row r="15" spans="1:7">
      <c r="A15" s="17"/>
      <c r="B15" s="16" t="s">
        <v>6</v>
      </c>
      <c r="C15" s="2">
        <v>144809</v>
      </c>
      <c r="D15" s="2">
        <v>78615</v>
      </c>
      <c r="E15" s="5">
        <v>739719</v>
      </c>
      <c r="G15" s="1"/>
    </row>
    <row r="16" spans="1:7">
      <c r="A16" s="18"/>
      <c r="B16" s="16" t="s">
        <v>7</v>
      </c>
      <c r="C16" s="2">
        <v>130243</v>
      </c>
      <c r="D16" s="2">
        <v>71915</v>
      </c>
      <c r="E16" s="5">
        <v>802040</v>
      </c>
      <c r="G16" s="1"/>
    </row>
    <row r="17" spans="1:7">
      <c r="A17" s="19">
        <v>2018</v>
      </c>
      <c r="B17" s="16" t="s">
        <v>4</v>
      </c>
      <c r="C17" s="2">
        <v>169513</v>
      </c>
      <c r="D17" s="2">
        <v>71518</v>
      </c>
      <c r="E17" s="5">
        <v>874379</v>
      </c>
      <c r="G17" s="1"/>
    </row>
    <row r="18" spans="1:7">
      <c r="A18" s="20" t="s">
        <v>3</v>
      </c>
      <c r="B18" s="21"/>
      <c r="C18" s="22">
        <f>SUM(C2:C17)</f>
        <v>1530697</v>
      </c>
      <c r="D18" s="22">
        <f>SUM(D2:D17)</f>
        <v>776880</v>
      </c>
      <c r="E18" s="22">
        <f>E17</f>
        <v>874379</v>
      </c>
      <c r="G18" s="1"/>
    </row>
    <row r="19" spans="1:7">
      <c r="C19" s="1"/>
    </row>
    <row r="21" spans="1:7">
      <c r="C21" s="4"/>
    </row>
  </sheetData>
  <mergeCells count="8">
    <mergeCell ref="A1:B1"/>
    <mergeCell ref="A18:B18"/>
    <mergeCell ref="A5:A8"/>
    <mergeCell ref="A13:A16"/>
    <mergeCell ref="A9:A12"/>
    <mergeCell ref="A2:B2"/>
    <mergeCell ref="A3:B3"/>
    <mergeCell ref="A4:B4"/>
  </mergeCells>
  <phoneticPr fontId="6" type="noConversion"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ECF Report</vt:lpstr>
    </vt:vector>
  </TitlesOfParts>
  <Company>U.S.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Foss</dc:creator>
  <cp:lastModifiedBy>Илья Охотин</cp:lastModifiedBy>
  <cp:lastPrinted>2018-01-23T18:09:20Z</cp:lastPrinted>
  <dcterms:created xsi:type="dcterms:W3CDTF">2015-08-07T12:56:17Z</dcterms:created>
  <dcterms:modified xsi:type="dcterms:W3CDTF">2025-12-04T03:32:38Z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